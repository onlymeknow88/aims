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drawings/drawing4.xml" ContentType="application/vnd.openxmlformats-officedocument.drawing+xml"/>
  <Override PartName="/xl/comments1.xml" ContentType="application/vnd.openxmlformats-officedocument.spreadsheetml.comments+xml"/>
  <Override PartName="/xl/charts/chart40.xml" ContentType="application/vnd.openxmlformats-officedocument.drawingml.chart+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pivotTables/pivotTable3.xml" ContentType="application/vnd.openxmlformats-officedocument.spreadsheetml.pivotTable+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omments3.xml" ContentType="application/vnd.openxmlformats-officedocument.spreadsheetml.comments+xml"/>
  <Override PartName="/xl/pivotTables/pivotTable4.xml" ContentType="application/vnd.openxmlformats-officedocument.spreadsheetml.pivotTable+xml"/>
  <Override PartName="/xl/drawings/drawing10.xml" ContentType="application/vnd.openxmlformats-officedocument.drawing+xml"/>
  <Override PartName="/xl/charts/chart6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1.xml" ContentType="application/vnd.openxmlformats-officedocument.drawing+xml"/>
  <Override PartName="/xl/charts/chart64.xml" ContentType="application/vnd.openxmlformats-officedocument.drawingml.chart+xml"/>
  <Override PartName="/xl/charts/style43.xml" ContentType="application/vnd.ms-office.chartstyle+xml"/>
  <Override PartName="/xl/charts/colors43.xml" ContentType="application/vnd.ms-office.chartcolorstyle+xml"/>
  <Override PartName="/xl/charts/chart65.xml" ContentType="application/vnd.openxmlformats-officedocument.drawingml.chart+xml"/>
  <Override PartName="/xl/charts/style44.xml" ContentType="application/vnd.ms-office.chartstyle+xml"/>
  <Override PartName="/xl/charts/colors4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8"/>
  <workbookPr codeName="ThisWorkbook"/>
  <mc:AlternateContent xmlns:mc="http://schemas.openxmlformats.org/markup-compatibility/2006">
    <mc:Choice Requires="x15">
      <x15ac:absPath xmlns:x15ac="http://schemas.microsoft.com/office/spreadsheetml/2010/11/ac" url="D:\SIS_AMC\CSMS\PT SAPTAINDRA SEJATI\5. MONITORING, EVALUASI, &amp; TINDAK LANJUT\FR &amp; SR\"/>
    </mc:Choice>
  </mc:AlternateContent>
  <xr:revisionPtr revIDLastSave="0" documentId="13_ncr:1_{63FD9F89-54D6-46F4-A440-16E861D7E6A0}" xr6:coauthVersionLast="47" xr6:coauthVersionMax="47" xr10:uidLastSave="{00000000-0000-0000-0000-000000000000}"/>
  <bookViews>
    <workbookView xWindow="28680" yWindow="-120" windowWidth="20730" windowHeight="11160" tabRatio="863" firstSheet="3" activeTab="3" xr2:uid="{00000000-000D-0000-FFFF-FFFF00000000}"/>
  </bookViews>
  <sheets>
    <sheet name="Dashboard Monthly (2)" sheetId="39" state="hidden" r:id="rId1"/>
    <sheet name="Dashboard Monthly" sheetId="28" state="hidden" r:id="rId2"/>
    <sheet name="DASHBOARD" sheetId="17" state="hidden" r:id="rId3"/>
    <sheet name="LONG TERM" sheetId="29" r:id="rId4"/>
    <sheet name="RINCIAN KECELAKAAN" sheetId="24" state="hidden" r:id="rId5"/>
    <sheet name="Sheet3" sheetId="44" state="hidden" r:id="rId6"/>
    <sheet name="DT 090" sheetId="34" state="hidden" r:id="rId7"/>
    <sheet name="Summary Rekomendasi Open" sheetId="33" state="hidden" r:id="rId8"/>
    <sheet name="Sheet4" sheetId="45" state="hidden" r:id="rId9"/>
    <sheet name="Sheet6" sheetId="46" state="hidden" r:id="rId10"/>
    <sheet name="Sheet9" sheetId="43" state="hidden" r:id="rId11"/>
    <sheet name="BASIC CAUSE INSIDEN" sheetId="27" state="hidden" r:id="rId12"/>
    <sheet name="ANALISA INSIDEN" sheetId="25" state="hidden" r:id="rId13"/>
    <sheet name="GRAFIK" sheetId="26" state="hidden" r:id="rId14"/>
    <sheet name="DT 090 2" sheetId="36" state="hidden" r:id="rId15"/>
    <sheet name="Sheet5" sheetId="22" state="hidden" r:id="rId16"/>
    <sheet name="Sheet2" sheetId="19" state="hidden" r:id="rId17"/>
    <sheet name="Sheet1" sheetId="18" state="hidden" r:id="rId18"/>
  </sheets>
  <externalReferences>
    <externalReference r:id="rId19"/>
    <externalReference r:id="rId20"/>
    <externalReference r:id="rId21"/>
    <externalReference r:id="rId22"/>
    <externalReference r:id="rId23"/>
    <externalReference r:id="rId24"/>
    <externalReference r:id="rId25"/>
  </externalReferences>
  <definedNames>
    <definedName name="_xlnm._FilterDatabase" localSheetId="12" hidden="1">'ANALISA INSIDEN'!$A$9:$DQ$78</definedName>
    <definedName name="_xlnm._FilterDatabase" localSheetId="11" hidden="1">'BASIC CAUSE INSIDEN'!$A$1:$AR$75</definedName>
    <definedName name="_xlnm._FilterDatabase" localSheetId="4" hidden="1">'RINCIAN KECELAKAAN'!$A$7:$AG$428</definedName>
    <definedName name="_xlnm._FilterDatabase" localSheetId="16" hidden="1">Sheet2!$G$4:$N$26</definedName>
    <definedName name="a" localSheetId="11">#REF!</definedName>
    <definedName name="a" localSheetId="1">#REF!</definedName>
    <definedName name="a" localSheetId="0">#REF!</definedName>
    <definedName name="a" localSheetId="3">#REF!</definedName>
    <definedName name="a">#REF!</definedName>
    <definedName name="aa" localSheetId="11">#REF!</definedName>
    <definedName name="aa" localSheetId="1">#REF!</definedName>
    <definedName name="aa" localSheetId="0">#REF!</definedName>
    <definedName name="aa" localSheetId="3">#REF!</definedName>
    <definedName name="aa">#REF!</definedName>
    <definedName name="aaaa" localSheetId="11">#REF!</definedName>
    <definedName name="aaaa" localSheetId="1">#REF!</definedName>
    <definedName name="aaaa" localSheetId="0">#REF!</definedName>
    <definedName name="aaaa" localSheetId="3">#REF!</definedName>
    <definedName name="aaaa">#REF!</definedName>
    <definedName name="accident">[1]Insiden!$I$21:$I$29</definedName>
    <definedName name="Alat">[2]Validasi!$H$8:$H$26</definedName>
    <definedName name="Area">[3]Sum!$C$77:$C$79</definedName>
    <definedName name="as" localSheetId="11">#REF!</definedName>
    <definedName name="as" localSheetId="1">#REF!</definedName>
    <definedName name="as" localSheetId="0">#REF!</definedName>
    <definedName name="as" localSheetId="3">#REF!</definedName>
    <definedName name="as">#REF!</definedName>
    <definedName name="Company">[3]Sum!$J$46:$J$87</definedName>
    <definedName name="Departemen">[2]Validasi!$C$8:$C$22</definedName>
    <definedName name="Departments">[3]Sum!$G$9:$G$26</definedName>
    <definedName name="ENGINEERING">"eng"</definedName>
    <definedName name="Excel_BuiltIn__FilterDatabase_6" localSheetId="11">#REF!</definedName>
    <definedName name="Excel_BuiltIn__FilterDatabase_6" localSheetId="1">#REF!</definedName>
    <definedName name="Excel_BuiltIn__FilterDatabase_6" localSheetId="0">#REF!</definedName>
    <definedName name="Excel_BuiltIn__FilterDatabase_6" localSheetId="3">#REF!</definedName>
    <definedName name="Excel_BuiltIn__FilterDatabase_6">#REF!</definedName>
    <definedName name="Excel_BuiltIn__FilterDatabase_8" localSheetId="11">#REF!</definedName>
    <definedName name="Excel_BuiltIn__FilterDatabase_8" localSheetId="1">#REF!</definedName>
    <definedName name="Excel_BuiltIn__FilterDatabase_8" localSheetId="0">#REF!</definedName>
    <definedName name="Excel_BuiltIn__FilterDatabase_8" localSheetId="3">#REF!</definedName>
    <definedName name="Excel_BuiltIn__FilterDatabase_8">#REF!</definedName>
    <definedName name="Excel_BuiltIn_Print_Area" localSheetId="11">#REF!</definedName>
    <definedName name="Excel_BuiltIn_Print_Area" localSheetId="1">#REF!</definedName>
    <definedName name="Excel_BuiltIn_Print_Area" localSheetId="0">#REF!</definedName>
    <definedName name="Excel_BuiltIn_Print_Area" localSheetId="3">#REF!</definedName>
    <definedName name="Excel_BuiltIn_Print_Area">#REF!</definedName>
    <definedName name="F.Pekerjaan">[4]Sum!$C$26:$C$34</definedName>
    <definedName name="F.Pribadi">[4]Sum!$C$17:$C$22</definedName>
    <definedName name="Faktor_Pekerjaan">[5]Sum!$C$46:$C$53</definedName>
    <definedName name="Faktor_Pribadi">[5]Sum!$C$36:$C$43</definedName>
    <definedName name="Hari">[2]Validasi!$N$8:$N$14</definedName>
    <definedName name="Jabatan">[5]Sum!$G$77:$G$94</definedName>
    <definedName name="Jam">[2]Validasi!$Q$9:$Q$32</definedName>
    <definedName name="Jenis_Kontak">[5]Sum!$C$59:$C$72</definedName>
    <definedName name="Job">[2]Validasi!$M$8:$M$15</definedName>
    <definedName name="Kondisi_tidak_aman">[5]Sum!$C$20:$C$33</definedName>
    <definedName name="Kontak">[2]Validasi!$I$8:$I$22</definedName>
    <definedName name="KTA">[2]Validasi!$K$8:$K$21</definedName>
    <definedName name="Lama">[2]Validasi!$P$7:$P$12</definedName>
    <definedName name="LOGISTIC_HEAVY_EQUIP">"log"</definedName>
    <definedName name="Lokasi">[2]Validasi!$D$8:$D$26</definedName>
    <definedName name="MACO" localSheetId="11">#REF!</definedName>
    <definedName name="MACO" localSheetId="1">#REF!</definedName>
    <definedName name="MACO" localSheetId="0">#REF!</definedName>
    <definedName name="MACO" localSheetId="3">#REF!</definedName>
    <definedName name="MACO">#REF!</definedName>
    <definedName name="MINING">"prod"</definedName>
    <definedName name="ndndndnnd" localSheetId="11">#REF!</definedName>
    <definedName name="ndndndnnd" localSheetId="1">#REF!</definedName>
    <definedName name="ndndndnnd" localSheetId="0">#REF!</definedName>
    <definedName name="ndndndnnd" localSheetId="3">#REF!</definedName>
    <definedName name="ndndndnnd">#REF!</definedName>
    <definedName name="OK" localSheetId="11">#REF!</definedName>
    <definedName name="OK" localSheetId="1">#REF!</definedName>
    <definedName name="OK" localSheetId="0">#REF!</definedName>
    <definedName name="OK" localSheetId="3">#REF!</definedName>
    <definedName name="OK">#REF!</definedName>
    <definedName name="perusahaan" localSheetId="11">#REF!</definedName>
    <definedName name="perusahaan" localSheetId="1">#REF!</definedName>
    <definedName name="perusahaan" localSheetId="0">#REF!</definedName>
    <definedName name="perusahaan" localSheetId="3">#REF!</definedName>
    <definedName name="perusahaan">#REF!</definedName>
    <definedName name="PLANT_HEAVY_EQUIP">"plant"</definedName>
    <definedName name="Pribadi">[2]Validasi!$L$8:$L$15</definedName>
    <definedName name="_xlnm.Print_Area" localSheetId="12">'ANALISA INSIDEN'!$A$1:$AC$89</definedName>
    <definedName name="_xlnm.Print_Area" localSheetId="1">'Dashboard Monthly'!$B$2:$X$55</definedName>
    <definedName name="_xlnm.Print_Area" localSheetId="0">'Dashboard Monthly (2)'!$B$2:$X$56</definedName>
    <definedName name="_xlnm.Print_Area" localSheetId="13">GRAFIK!$A$1:$M$279</definedName>
    <definedName name="_xlnm.Print_Area" localSheetId="4">'RINCIAN KECELAKAAN'!$A$1:$Z$646</definedName>
    <definedName name="Print_Area_MI" localSheetId="11">#REF!</definedName>
    <definedName name="Print_Area_MI" localSheetId="1">#REF!</definedName>
    <definedName name="Print_Area_MI" localSheetId="0">#REF!</definedName>
    <definedName name="Print_Area_MI" localSheetId="3">#REF!</definedName>
    <definedName name="Print_Area_MI">#REF!</definedName>
    <definedName name="Print_Titles_MI" localSheetId="11">#REF!</definedName>
    <definedName name="Print_Titles_MI" localSheetId="1">#REF!</definedName>
    <definedName name="Print_Titles_MI" localSheetId="0">#REF!</definedName>
    <definedName name="Print_Titles_MI" localSheetId="3">#REF!</definedName>
    <definedName name="Print_Titles_MI">#REF!</definedName>
    <definedName name="PT._AMR" localSheetId="11">#REF!</definedName>
    <definedName name="PT._AMR" localSheetId="1">#REF!</definedName>
    <definedName name="PT._AMR" localSheetId="0">#REF!</definedName>
    <definedName name="PT._AMR" localSheetId="3">#REF!</definedName>
    <definedName name="PT._AMR">#REF!</definedName>
    <definedName name="s" localSheetId="11">#REF!</definedName>
    <definedName name="s" localSheetId="1">#REF!</definedName>
    <definedName name="s" localSheetId="0">#REF!</definedName>
    <definedName name="s" localSheetId="3">#REF!</definedName>
    <definedName name="s">#REF!</definedName>
    <definedName name="September" localSheetId="11">#REF!</definedName>
    <definedName name="September" localSheetId="1">#REF!</definedName>
    <definedName name="September" localSheetId="0">#REF!</definedName>
    <definedName name="September" localSheetId="3">#REF!</definedName>
    <definedName name="September">#REF!</definedName>
    <definedName name="site">[2]Validasi!$E$8:$E$15</definedName>
    <definedName name="ss">[4]Sum!$G$30:$G$38</definedName>
    <definedName name="ssss">[4]Sum!$C$38:$C$51</definedName>
    <definedName name="ssssss">[4]Sum!$G$9:$G$26</definedName>
    <definedName name="sssssss">[4]Sum!$C$10:$C$13</definedName>
    <definedName name="Status">[2]June!$U$61:$U$62</definedName>
    <definedName name="Tindakan_Tidak_Aman">[5]Sum!$C$3:$C$17</definedName>
    <definedName name="TTA">[2]Validasi!$J$8:$J$22</definedName>
    <definedName name="Type">[2]Validasi!$G$8:$G$14</definedName>
    <definedName name="Type_Of_Incident">[3]Sum!$G$30:$G$38</definedName>
    <definedName name="Umur">[2]Validasi!$O$8:$O$52</definedName>
    <definedName name="unit">[6]Accident!$M$10:$M$26</definedName>
    <definedName name="Unit_Type">[5]Sum!$J$3:$J$38</definedName>
  </definedNames>
  <calcPr calcId="191028"/>
  <pivotCaches>
    <pivotCache cacheId="31723" r:id="rId26"/>
    <pivotCache cacheId="31724" r:id="rId27"/>
    <pivotCache cacheId="31725" r:id="rId28"/>
    <pivotCache cacheId="31726"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3" i="25" l="1"/>
  <c r="A82" i="25"/>
  <c r="Q59" i="39"/>
  <c r="V42" i="17" l="1"/>
  <c r="U42" i="17"/>
  <c r="W42" i="17" s="1"/>
  <c r="T42" i="17"/>
  <c r="S42" i="17"/>
  <c r="R42" i="17"/>
  <c r="Q42" i="17"/>
  <c r="P42" i="17"/>
  <c r="O42" i="17"/>
  <c r="N42" i="17"/>
  <c r="M42" i="17"/>
  <c r="L42" i="17"/>
  <c r="K42" i="17"/>
  <c r="J42" i="17"/>
  <c r="I42" i="17"/>
  <c r="H42" i="17"/>
  <c r="F42" i="17"/>
  <c r="E42" i="17"/>
  <c r="R33" i="29"/>
  <c r="Q33" i="29"/>
  <c r="P33" i="29"/>
  <c r="O33" i="29"/>
  <c r="N33" i="29"/>
  <c r="M33" i="29"/>
  <c r="L33" i="29"/>
  <c r="K33" i="29"/>
  <c r="J33" i="29"/>
  <c r="I33" i="29"/>
  <c r="H33" i="29"/>
  <c r="F33" i="29"/>
  <c r="K44" i="39"/>
  <c r="K43" i="39"/>
  <c r="K42" i="39"/>
  <c r="K41" i="39"/>
  <c r="K40" i="39"/>
  <c r="K39" i="39"/>
  <c r="K38" i="39"/>
  <c r="K37" i="39"/>
  <c r="K36" i="39"/>
  <c r="K35" i="39"/>
  <c r="R62" i="17"/>
  <c r="Q62" i="17"/>
  <c r="P62" i="17"/>
  <c r="O62" i="17"/>
  <c r="N62" i="17"/>
  <c r="M62" i="17"/>
  <c r="L62" i="17"/>
  <c r="K62" i="17"/>
  <c r="J62" i="17"/>
  <c r="I62" i="17"/>
  <c r="H62" i="17"/>
  <c r="G62" i="17"/>
  <c r="F62" i="17"/>
  <c r="E62" i="17"/>
  <c r="R61" i="17"/>
  <c r="Q61" i="17"/>
  <c r="P61" i="17"/>
  <c r="O61" i="17"/>
  <c r="N61" i="17"/>
  <c r="M61" i="17"/>
  <c r="L61" i="17"/>
  <c r="K61" i="17"/>
  <c r="J61" i="17"/>
  <c r="I61" i="17"/>
  <c r="H61" i="17"/>
  <c r="G61" i="17"/>
  <c r="F61" i="17"/>
  <c r="E61" i="17"/>
  <c r="V41" i="17"/>
  <c r="U41" i="17"/>
  <c r="T41" i="17"/>
  <c r="S41" i="17"/>
  <c r="R41" i="17"/>
  <c r="Q41" i="17"/>
  <c r="P41" i="17"/>
  <c r="O41" i="17"/>
  <c r="N41" i="17"/>
  <c r="M41" i="17"/>
  <c r="L41" i="17"/>
  <c r="K41" i="17"/>
  <c r="J41" i="17"/>
  <c r="I41" i="17"/>
  <c r="H41" i="17"/>
  <c r="F41" i="17"/>
  <c r="E41" i="17"/>
  <c r="V40" i="17"/>
  <c r="U40" i="17"/>
  <c r="T40" i="17"/>
  <c r="S40" i="17"/>
  <c r="R40" i="17"/>
  <c r="Q40" i="17"/>
  <c r="P40" i="17"/>
  <c r="O40" i="17"/>
  <c r="N40" i="17"/>
  <c r="M40" i="17"/>
  <c r="L40" i="17"/>
  <c r="K40" i="17"/>
  <c r="J40" i="17"/>
  <c r="I40" i="17"/>
  <c r="H40" i="17"/>
  <c r="F40" i="17"/>
  <c r="E40" i="17"/>
  <c r="P51" i="39"/>
  <c r="G42" i="17" l="1"/>
  <c r="S62" i="17"/>
  <c r="W41" i="17"/>
  <c r="E46" i="29"/>
  <c r="G22" i="17"/>
  <c r="Q50" i="39" l="1"/>
  <c r="P50" i="39"/>
  <c r="G41" i="17"/>
  <c r="R47" i="29" l="1"/>
  <c r="R46" i="29"/>
  <c r="AE18" i="39"/>
  <c r="AI50" i="39" l="1"/>
  <c r="J13" i="17" l="1"/>
  <c r="D5" i="39"/>
  <c r="R41" i="29" l="1"/>
  <c r="R42" i="29"/>
  <c r="R43" i="29"/>
  <c r="R44" i="29"/>
  <c r="R45" i="29"/>
  <c r="G21" i="17" l="1"/>
  <c r="E45" i="29"/>
  <c r="E44" i="29"/>
  <c r="G19" i="17"/>
  <c r="G20" i="17"/>
  <c r="B264" i="26"/>
  <c r="B263" i="26"/>
  <c r="B262" i="26"/>
  <c r="B261" i="26"/>
  <c r="B260" i="26"/>
  <c r="B259" i="26"/>
  <c r="B258" i="26"/>
  <c r="B257" i="26"/>
  <c r="B251" i="26"/>
  <c r="B250" i="26"/>
  <c r="B249" i="26"/>
  <c r="B248" i="26"/>
  <c r="B247" i="26"/>
  <c r="B246" i="26"/>
  <c r="B245" i="26"/>
  <c r="S22" i="39"/>
  <c r="R22" i="39"/>
  <c r="Q24" i="17"/>
  <c r="Q23" i="17"/>
  <c r="Q22" i="17"/>
  <c r="Q21" i="17"/>
  <c r="Q20" i="17"/>
  <c r="Q19" i="17"/>
  <c r="Q18" i="17"/>
  <c r="Q17" i="17"/>
  <c r="Q16" i="17"/>
  <c r="Q15" i="17"/>
  <c r="Q14" i="17"/>
  <c r="Q13" i="17"/>
  <c r="P24" i="17"/>
  <c r="P23" i="17"/>
  <c r="P22" i="17"/>
  <c r="P21" i="17"/>
  <c r="P20" i="17"/>
  <c r="P19" i="17"/>
  <c r="P18" i="17"/>
  <c r="P17" i="17"/>
  <c r="P16" i="17"/>
  <c r="P15" i="17"/>
  <c r="P14" i="17"/>
  <c r="P13" i="17"/>
  <c r="O24" i="17"/>
  <c r="U24" i="17" s="1"/>
  <c r="O23" i="17"/>
  <c r="U23" i="17" s="1"/>
  <c r="O22" i="17"/>
  <c r="U22" i="17" s="1"/>
  <c r="O21" i="17"/>
  <c r="U21" i="17" s="1"/>
  <c r="O20" i="17"/>
  <c r="O19" i="17"/>
  <c r="U19" i="17" s="1"/>
  <c r="O18" i="17"/>
  <c r="U18" i="17" s="1"/>
  <c r="O17" i="17"/>
  <c r="U17" i="17" s="1"/>
  <c r="O16" i="17"/>
  <c r="U16" i="17" s="1"/>
  <c r="O15" i="17"/>
  <c r="U15" i="17" s="1"/>
  <c r="O14" i="17"/>
  <c r="U14" i="17" s="1"/>
  <c r="O13" i="17"/>
  <c r="U13" i="17" s="1"/>
  <c r="N24" i="17"/>
  <c r="N23" i="17"/>
  <c r="N22" i="17"/>
  <c r="N21" i="17"/>
  <c r="N20" i="17"/>
  <c r="N19" i="17"/>
  <c r="N18" i="17"/>
  <c r="N17" i="17"/>
  <c r="N16" i="17"/>
  <c r="N15" i="17"/>
  <c r="N14" i="17"/>
  <c r="N13" i="17"/>
  <c r="M24" i="17"/>
  <c r="M23" i="17"/>
  <c r="M22" i="17"/>
  <c r="M21" i="17"/>
  <c r="M20" i="17"/>
  <c r="M19" i="17"/>
  <c r="M18" i="17"/>
  <c r="M17" i="17"/>
  <c r="M16" i="17"/>
  <c r="M15" i="17"/>
  <c r="M14" i="17"/>
  <c r="M13" i="17"/>
  <c r="L24" i="17"/>
  <c r="L23" i="17"/>
  <c r="L22" i="17"/>
  <c r="L21" i="17"/>
  <c r="L20" i="17"/>
  <c r="L19" i="17"/>
  <c r="L18" i="17"/>
  <c r="L17" i="17"/>
  <c r="L16" i="17"/>
  <c r="L15" i="17"/>
  <c r="L14" i="17"/>
  <c r="L13" i="17"/>
  <c r="K24" i="17"/>
  <c r="W24" i="17" s="1"/>
  <c r="K23" i="17"/>
  <c r="W23" i="17" s="1"/>
  <c r="K22" i="17"/>
  <c r="K21" i="17"/>
  <c r="W21" i="17" s="1"/>
  <c r="K20" i="17"/>
  <c r="W20" i="17" s="1"/>
  <c r="K19" i="17"/>
  <c r="W19" i="17" s="1"/>
  <c r="K18" i="17"/>
  <c r="K17" i="17"/>
  <c r="W17" i="17" s="1"/>
  <c r="K16" i="17"/>
  <c r="K15" i="17"/>
  <c r="K14" i="17"/>
  <c r="K13" i="17"/>
  <c r="W13" i="17" s="1"/>
  <c r="J24" i="17"/>
  <c r="J23" i="17"/>
  <c r="J22" i="17"/>
  <c r="J21" i="17"/>
  <c r="J20" i="17"/>
  <c r="J19" i="17"/>
  <c r="J18" i="17"/>
  <c r="J17" i="17"/>
  <c r="J16" i="17"/>
  <c r="J15" i="17"/>
  <c r="J14" i="17"/>
  <c r="C57" i="39"/>
  <c r="C56" i="39"/>
  <c r="D62" i="39"/>
  <c r="D61" i="39"/>
  <c r="D60" i="39"/>
  <c r="C63" i="39"/>
  <c r="R60" i="17"/>
  <c r="Q60" i="17"/>
  <c r="P60" i="17"/>
  <c r="O60" i="17"/>
  <c r="N60" i="17"/>
  <c r="M60" i="17"/>
  <c r="L60" i="17"/>
  <c r="K60" i="17"/>
  <c r="J60" i="17"/>
  <c r="I60" i="17"/>
  <c r="H60" i="17"/>
  <c r="G60" i="17"/>
  <c r="F60" i="17"/>
  <c r="E60" i="17"/>
  <c r="R59" i="17"/>
  <c r="Q59" i="17"/>
  <c r="P59" i="17"/>
  <c r="O59" i="17"/>
  <c r="N59" i="17"/>
  <c r="M59" i="17"/>
  <c r="L59" i="17"/>
  <c r="K59" i="17"/>
  <c r="J59" i="17"/>
  <c r="I59" i="17"/>
  <c r="H59" i="17"/>
  <c r="G59" i="17"/>
  <c r="F59" i="17"/>
  <c r="E59" i="17"/>
  <c r="S39" i="17"/>
  <c r="S38" i="17"/>
  <c r="S37" i="17"/>
  <c r="S36" i="17"/>
  <c r="S35" i="17"/>
  <c r="S34" i="17"/>
  <c r="S33" i="17"/>
  <c r="T39" i="17"/>
  <c r="T38" i="17"/>
  <c r="T37" i="17"/>
  <c r="T36" i="17"/>
  <c r="T35" i="17"/>
  <c r="T34" i="17"/>
  <c r="T33" i="17"/>
  <c r="R39" i="17"/>
  <c r="R38" i="17"/>
  <c r="R37" i="17"/>
  <c r="R36" i="17"/>
  <c r="R35" i="17"/>
  <c r="R34" i="17"/>
  <c r="R33" i="17"/>
  <c r="V39" i="17"/>
  <c r="U39" i="17"/>
  <c r="Q39" i="17"/>
  <c r="P39" i="17"/>
  <c r="O39" i="17"/>
  <c r="N39" i="17"/>
  <c r="M39" i="17"/>
  <c r="L39" i="17"/>
  <c r="K39" i="17"/>
  <c r="J39" i="17"/>
  <c r="I39" i="17"/>
  <c r="H39" i="17"/>
  <c r="V38" i="17"/>
  <c r="U38" i="17"/>
  <c r="V37" i="17"/>
  <c r="U37" i="17"/>
  <c r="V36" i="17"/>
  <c r="U36" i="17"/>
  <c r="V35" i="17"/>
  <c r="U35" i="17"/>
  <c r="V34" i="17"/>
  <c r="U34" i="17"/>
  <c r="V33" i="17"/>
  <c r="U33" i="17"/>
  <c r="E37" i="46"/>
  <c r="E38" i="46"/>
  <c r="E39" i="46"/>
  <c r="E40" i="46"/>
  <c r="E41" i="46"/>
  <c r="E42" i="46"/>
  <c r="E43" i="46"/>
  <c r="E44" i="46"/>
  <c r="E36" i="46"/>
  <c r="D45" i="46"/>
  <c r="H17" i="45"/>
  <c r="H18" i="45"/>
  <c r="H19" i="45"/>
  <c r="H16" i="45"/>
  <c r="F39" i="17"/>
  <c r="E39" i="17"/>
  <c r="Q38" i="17"/>
  <c r="P38" i="17"/>
  <c r="O38" i="17"/>
  <c r="N38" i="17"/>
  <c r="M38" i="17"/>
  <c r="L38" i="17"/>
  <c r="K38" i="17"/>
  <c r="J38" i="17"/>
  <c r="I38" i="17"/>
  <c r="H38" i="17"/>
  <c r="F38" i="17"/>
  <c r="E38" i="17"/>
  <c r="Q41" i="39"/>
  <c r="N37" i="39"/>
  <c r="O41" i="39"/>
  <c r="N41" i="39"/>
  <c r="A4" i="43"/>
  <c r="A5" i="43"/>
  <c r="A6" i="43"/>
  <c r="A7" i="43"/>
  <c r="A8" i="43"/>
  <c r="A9" i="43"/>
  <c r="A10" i="43"/>
  <c r="A11" i="43"/>
  <c r="A12" i="43"/>
  <c r="A13" i="43"/>
  <c r="A14" i="43"/>
  <c r="A15" i="43"/>
  <c r="A16" i="43"/>
  <c r="A17" i="43"/>
  <c r="A18" i="43"/>
  <c r="A19" i="43"/>
  <c r="A20" i="43"/>
  <c r="A21" i="43"/>
  <c r="A22" i="43"/>
  <c r="A23" i="43"/>
  <c r="A24"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59" i="43"/>
  <c r="A60" i="43"/>
  <c r="E5" i="39"/>
  <c r="F5" i="39"/>
  <c r="G5" i="39"/>
  <c r="H5" i="39"/>
  <c r="I5" i="39"/>
  <c r="J5" i="39"/>
  <c r="K5" i="39"/>
  <c r="L5" i="39"/>
  <c r="M5" i="39"/>
  <c r="N5" i="39"/>
  <c r="O5" i="39"/>
  <c r="P6" i="39"/>
  <c r="T6" i="39"/>
  <c r="U6" i="39"/>
  <c r="V6" i="39"/>
  <c r="W6" i="39"/>
  <c r="P7" i="39"/>
  <c r="T7" i="39"/>
  <c r="U7" i="39"/>
  <c r="V7" i="39"/>
  <c r="W7" i="39"/>
  <c r="P8" i="39"/>
  <c r="T8" i="39"/>
  <c r="U8" i="39"/>
  <c r="V8" i="39"/>
  <c r="W8" i="39"/>
  <c r="P9" i="39"/>
  <c r="T9" i="39"/>
  <c r="U9" i="39"/>
  <c r="V9" i="39"/>
  <c r="W9" i="39"/>
  <c r="P10" i="39"/>
  <c r="T10" i="39"/>
  <c r="U10" i="39"/>
  <c r="V10" i="39"/>
  <c r="W10" i="39"/>
  <c r="P11" i="39"/>
  <c r="T11" i="39"/>
  <c r="X11" i="39"/>
  <c r="U11" i="39"/>
  <c r="V11" i="39"/>
  <c r="W11" i="39"/>
  <c r="P12" i="39"/>
  <c r="T12" i="39"/>
  <c r="U12" i="39"/>
  <c r="V12" i="39"/>
  <c r="W12" i="39"/>
  <c r="X12" i="39" s="1"/>
  <c r="P13" i="39"/>
  <c r="T13" i="39"/>
  <c r="U13" i="39"/>
  <c r="V13" i="39"/>
  <c r="X13" i="39" s="1"/>
  <c r="W13" i="39"/>
  <c r="F34" i="39"/>
  <c r="H34" i="39"/>
  <c r="I34" i="39"/>
  <c r="J34" i="39"/>
  <c r="L34" i="39"/>
  <c r="E34" i="39"/>
  <c r="F69" i="39"/>
  <c r="G69" i="39"/>
  <c r="H69" i="39"/>
  <c r="F72" i="39"/>
  <c r="F75" i="39"/>
  <c r="U5" i="39"/>
  <c r="X7" i="39"/>
  <c r="X9" i="39"/>
  <c r="T5" i="39"/>
  <c r="X6" i="39"/>
  <c r="K34" i="39"/>
  <c r="X8" i="39"/>
  <c r="E36" i="17"/>
  <c r="E5" i="28"/>
  <c r="F5" i="28"/>
  <c r="G5" i="28"/>
  <c r="H5" i="28"/>
  <c r="I5" i="28"/>
  <c r="J5" i="28"/>
  <c r="K5" i="28"/>
  <c r="L5" i="28"/>
  <c r="M5" i="28"/>
  <c r="N5" i="28"/>
  <c r="O5" i="28"/>
  <c r="D5" i="28"/>
  <c r="A64" i="25"/>
  <c r="A65" i="25" s="1"/>
  <c r="A66" i="25" s="1"/>
  <c r="A67" i="25" s="1"/>
  <c r="A68" i="25" s="1"/>
  <c r="A69" i="25" s="1"/>
  <c r="A70" i="25" s="1"/>
  <c r="A71" i="25" s="1"/>
  <c r="A72" i="25" s="1"/>
  <c r="A73" i="25" s="1"/>
  <c r="A74" i="25" s="1"/>
  <c r="A75" i="25" s="1"/>
  <c r="A76" i="25" s="1"/>
  <c r="A77" i="25" s="1"/>
  <c r="A78" i="25" s="1"/>
  <c r="A79" i="25" s="1"/>
  <c r="A80" i="25" s="1"/>
  <c r="A81" i="25" s="1"/>
  <c r="D468" i="24"/>
  <c r="G17" i="17"/>
  <c r="E43" i="29"/>
  <c r="E43" i="28"/>
  <c r="E42" i="28"/>
  <c r="E41" i="28"/>
  <c r="E40" i="28"/>
  <c r="E39" i="28"/>
  <c r="E38" i="28"/>
  <c r="E37" i="28"/>
  <c r="E36" i="28"/>
  <c r="G18" i="17"/>
  <c r="H78" i="17"/>
  <c r="G78" i="17"/>
  <c r="F78" i="17"/>
  <c r="E78" i="17"/>
  <c r="H77" i="17"/>
  <c r="G77" i="17"/>
  <c r="F77" i="17"/>
  <c r="E77" i="17"/>
  <c r="H76" i="17"/>
  <c r="G76" i="17"/>
  <c r="F76" i="17"/>
  <c r="E76" i="17"/>
  <c r="H75" i="17"/>
  <c r="G75" i="17"/>
  <c r="F75" i="17"/>
  <c r="E75" i="17"/>
  <c r="H74" i="17"/>
  <c r="G74" i="17"/>
  <c r="F74" i="17"/>
  <c r="E74" i="17"/>
  <c r="B239" i="26"/>
  <c r="B238" i="26"/>
  <c r="B237" i="26"/>
  <c r="B236" i="26"/>
  <c r="B235" i="26"/>
  <c r="B234" i="26"/>
  <c r="B233" i="26"/>
  <c r="B232" i="26"/>
  <c r="B231" i="26"/>
  <c r="B230" i="26"/>
  <c r="B229" i="26"/>
  <c r="B228" i="26"/>
  <c r="B227" i="26"/>
  <c r="B226" i="26"/>
  <c r="B220" i="26"/>
  <c r="B219" i="26"/>
  <c r="B218" i="26"/>
  <c r="B217" i="26"/>
  <c r="B216" i="26"/>
  <c r="B215" i="26"/>
  <c r="B214" i="26"/>
  <c r="B213" i="26"/>
  <c r="B212" i="26"/>
  <c r="B211" i="26"/>
  <c r="B210" i="26"/>
  <c r="B209" i="26"/>
  <c r="B208" i="26"/>
  <c r="B207" i="26"/>
  <c r="B206" i="26"/>
  <c r="B205" i="26"/>
  <c r="B204" i="26"/>
  <c r="B198" i="26"/>
  <c r="B197" i="26"/>
  <c r="B196" i="26"/>
  <c r="B195" i="26"/>
  <c r="B194" i="26"/>
  <c r="B193" i="26"/>
  <c r="B192" i="26"/>
  <c r="B191" i="26"/>
  <c r="B190" i="26"/>
  <c r="B189" i="26"/>
  <c r="B188" i="26"/>
  <c r="B182" i="26"/>
  <c r="B181" i="26"/>
  <c r="B180" i="26"/>
  <c r="B179" i="26"/>
  <c r="B178" i="26"/>
  <c r="B177" i="26"/>
  <c r="B176" i="26"/>
  <c r="B175" i="26"/>
  <c r="B174" i="26"/>
  <c r="B173" i="26"/>
  <c r="B172" i="26"/>
  <c r="B171" i="26"/>
  <c r="B165" i="26"/>
  <c r="B164" i="26"/>
  <c r="B163" i="26"/>
  <c r="B162" i="26"/>
  <c r="B161" i="26"/>
  <c r="B155" i="26"/>
  <c r="B154" i="26"/>
  <c r="B153" i="26"/>
  <c r="B152" i="26"/>
  <c r="B151" i="26"/>
  <c r="B144" i="26"/>
  <c r="B143" i="26"/>
  <c r="B142" i="26"/>
  <c r="B141" i="26"/>
  <c r="B140" i="26"/>
  <c r="B139" i="26"/>
  <c r="B138" i="26"/>
  <c r="B137" i="26"/>
  <c r="E38" i="29"/>
  <c r="E39" i="29"/>
  <c r="E40" i="29"/>
  <c r="E41" i="29"/>
  <c r="E42" i="29"/>
  <c r="R58" i="17"/>
  <c r="Q58" i="17"/>
  <c r="P58" i="17"/>
  <c r="O58" i="17"/>
  <c r="N58" i="17"/>
  <c r="M58" i="17"/>
  <c r="L58" i="17"/>
  <c r="K58" i="17"/>
  <c r="J58" i="17"/>
  <c r="I58" i="17"/>
  <c r="H58" i="17"/>
  <c r="G58" i="17"/>
  <c r="F58" i="17"/>
  <c r="E58" i="17"/>
  <c r="E37" i="17"/>
  <c r="Q37" i="17"/>
  <c r="P37" i="17"/>
  <c r="O37" i="17"/>
  <c r="N37" i="17"/>
  <c r="M37" i="17"/>
  <c r="L37" i="17"/>
  <c r="K37" i="17"/>
  <c r="J37" i="17"/>
  <c r="I37" i="17"/>
  <c r="H37" i="17"/>
  <c r="F37" i="17"/>
  <c r="B130" i="26"/>
  <c r="B129" i="26"/>
  <c r="B128" i="26"/>
  <c r="B127" i="26"/>
  <c r="B126" i="26"/>
  <c r="B125" i="26"/>
  <c r="B124" i="26"/>
  <c r="B118" i="26"/>
  <c r="B117" i="26"/>
  <c r="B116" i="26"/>
  <c r="B115" i="26"/>
  <c r="B114" i="26"/>
  <c r="B113" i="26"/>
  <c r="B112" i="26"/>
  <c r="B106" i="26"/>
  <c r="B105" i="26"/>
  <c r="B99" i="26"/>
  <c r="B98" i="26"/>
  <c r="B97" i="26"/>
  <c r="B96" i="26"/>
  <c r="B95" i="26"/>
  <c r="B94" i="26"/>
  <c r="B93" i="26"/>
  <c r="B87" i="26"/>
  <c r="B86" i="26"/>
  <c r="B85" i="26"/>
  <c r="B84" i="26"/>
  <c r="B83" i="26"/>
  <c r="B82" i="26"/>
  <c r="B81" i="26"/>
  <c r="B80" i="26"/>
  <c r="B79" i="26"/>
  <c r="B78" i="26"/>
  <c r="B77" i="26"/>
  <c r="B76" i="26"/>
  <c r="B75" i="26"/>
  <c r="B74" i="26"/>
  <c r="B73" i="26"/>
  <c r="B72" i="26"/>
  <c r="B71" i="26"/>
  <c r="B70" i="26"/>
  <c r="B69" i="26"/>
  <c r="B68" i="26"/>
  <c r="B67" i="26"/>
  <c r="B66" i="26"/>
  <c r="B65" i="26"/>
  <c r="B64" i="26"/>
  <c r="B58" i="26"/>
  <c r="B57" i="26"/>
  <c r="B56" i="26"/>
  <c r="B55" i="26"/>
  <c r="B54" i="26"/>
  <c r="B53" i="26"/>
  <c r="B52" i="26"/>
  <c r="B51" i="26"/>
  <c r="B50" i="26"/>
  <c r="B49" i="26"/>
  <c r="B48" i="26"/>
  <c r="B47" i="26"/>
  <c r="B46" i="26"/>
  <c r="B45" i="26"/>
  <c r="B44" i="26"/>
  <c r="B38" i="26"/>
  <c r="B37" i="26"/>
  <c r="B31" i="26"/>
  <c r="B30" i="26"/>
  <c r="B29" i="26"/>
  <c r="B28" i="26"/>
  <c r="B27" i="26"/>
  <c r="B26" i="26"/>
  <c r="B25" i="26"/>
  <c r="B19" i="26"/>
  <c r="B18" i="26"/>
  <c r="B17" i="26"/>
  <c r="B16" i="26"/>
  <c r="B15" i="26"/>
  <c r="B14" i="26"/>
  <c r="B13" i="26"/>
  <c r="D85" i="28"/>
  <c r="R57" i="17"/>
  <c r="Q57" i="17"/>
  <c r="P57" i="17"/>
  <c r="O57" i="17"/>
  <c r="N57" i="17"/>
  <c r="M57" i="17"/>
  <c r="L57" i="17"/>
  <c r="K57" i="17"/>
  <c r="J57" i="17"/>
  <c r="I57" i="17"/>
  <c r="H57" i="17"/>
  <c r="G57" i="17"/>
  <c r="F57" i="17"/>
  <c r="E57" i="17"/>
  <c r="R56" i="17"/>
  <c r="Q56" i="17"/>
  <c r="P56" i="17"/>
  <c r="O56" i="17"/>
  <c r="N56" i="17"/>
  <c r="M56" i="17"/>
  <c r="L56" i="17"/>
  <c r="K56" i="17"/>
  <c r="J56" i="17"/>
  <c r="I56" i="17"/>
  <c r="H56" i="17"/>
  <c r="G56" i="17"/>
  <c r="F56" i="17"/>
  <c r="E56" i="17"/>
  <c r="R55" i="17"/>
  <c r="Q55" i="17"/>
  <c r="P55" i="17"/>
  <c r="O55" i="17"/>
  <c r="N55" i="17"/>
  <c r="M55" i="17"/>
  <c r="L55" i="17"/>
  <c r="K55" i="17"/>
  <c r="J55" i="17"/>
  <c r="I55" i="17"/>
  <c r="H55" i="17"/>
  <c r="G55" i="17"/>
  <c r="F55" i="17"/>
  <c r="E55" i="17"/>
  <c r="Q36" i="17"/>
  <c r="P36" i="17"/>
  <c r="O36" i="17"/>
  <c r="N36" i="17"/>
  <c r="M36" i="17"/>
  <c r="L36" i="17"/>
  <c r="K36" i="17"/>
  <c r="J36" i="17"/>
  <c r="I36" i="17"/>
  <c r="H36" i="17"/>
  <c r="F36" i="17"/>
  <c r="Q35" i="17"/>
  <c r="P35" i="17"/>
  <c r="O35" i="17"/>
  <c r="N35" i="17"/>
  <c r="M35" i="17"/>
  <c r="L35" i="17"/>
  <c r="K35" i="17"/>
  <c r="J35" i="17"/>
  <c r="I35" i="17"/>
  <c r="H35" i="17"/>
  <c r="Q34" i="17"/>
  <c r="P34" i="17"/>
  <c r="O34" i="17"/>
  <c r="N34" i="17"/>
  <c r="M34" i="17"/>
  <c r="L34" i="17"/>
  <c r="K34" i="17"/>
  <c r="J34" i="17"/>
  <c r="I34" i="17"/>
  <c r="H34" i="17"/>
  <c r="F35" i="17"/>
  <c r="F34" i="17"/>
  <c r="F33" i="17"/>
  <c r="A3" i="27"/>
  <c r="A4" i="27" s="1"/>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K28" i="34"/>
  <c r="L26" i="34"/>
  <c r="U42" i="29"/>
  <c r="Z13" i="17"/>
  <c r="L25" i="34"/>
  <c r="L27" i="34"/>
  <c r="E29" i="33"/>
  <c r="D29" i="33"/>
  <c r="F16" i="33"/>
  <c r="F14" i="33"/>
  <c r="F11" i="33"/>
  <c r="F8" i="33"/>
  <c r="F7" i="33"/>
  <c r="E35" i="17"/>
  <c r="E34" i="17"/>
  <c r="F29" i="33"/>
  <c r="J35" i="28"/>
  <c r="G16" i="17"/>
  <c r="G15" i="17"/>
  <c r="G14" i="17"/>
  <c r="P42" i="28"/>
  <c r="P41" i="28"/>
  <c r="R40" i="29"/>
  <c r="H33" i="17"/>
  <c r="E33" i="17"/>
  <c r="B276" i="26"/>
  <c r="B275" i="26"/>
  <c r="B274" i="26"/>
  <c r="B273" i="26"/>
  <c r="B272" i="26"/>
  <c r="B271" i="26"/>
  <c r="B270" i="26"/>
  <c r="E21" i="29"/>
  <c r="E22" i="29"/>
  <c r="E23" i="29"/>
  <c r="W7" i="28"/>
  <c r="W8" i="28"/>
  <c r="W9" i="28"/>
  <c r="W10" i="28"/>
  <c r="W11" i="28"/>
  <c r="W12" i="28"/>
  <c r="W13" i="28"/>
  <c r="W6" i="28"/>
  <c r="V7" i="28"/>
  <c r="V8" i="28"/>
  <c r="V9" i="28"/>
  <c r="V10" i="28"/>
  <c r="V11" i="28"/>
  <c r="V12" i="28"/>
  <c r="V13" i="28"/>
  <c r="V6" i="28"/>
  <c r="U7" i="28"/>
  <c r="U8" i="28"/>
  <c r="U9" i="28"/>
  <c r="U10" i="28"/>
  <c r="U11" i="28"/>
  <c r="U12" i="28"/>
  <c r="U13" i="28"/>
  <c r="U6" i="28"/>
  <c r="T7" i="28"/>
  <c r="T8" i="28"/>
  <c r="T9" i="28"/>
  <c r="T10" i="28"/>
  <c r="T11" i="28"/>
  <c r="T12" i="28"/>
  <c r="T13" i="28"/>
  <c r="T6" i="28"/>
  <c r="X7" i="28"/>
  <c r="X12" i="28"/>
  <c r="X11" i="28"/>
  <c r="X10" i="28"/>
  <c r="X8" i="28"/>
  <c r="T5" i="28"/>
  <c r="X13" i="28"/>
  <c r="X9" i="28"/>
  <c r="U5" i="28"/>
  <c r="V5" i="28"/>
  <c r="W5" i="28"/>
  <c r="X6" i="28"/>
  <c r="X15" i="17"/>
  <c r="X16" i="17"/>
  <c r="X17" i="17"/>
  <c r="X18" i="17"/>
  <c r="X19" i="17"/>
  <c r="X20" i="17"/>
  <c r="X21" i="17"/>
  <c r="X22" i="17"/>
  <c r="X23" i="17"/>
  <c r="X24" i="17"/>
  <c r="Z14" i="17"/>
  <c r="Z15" i="17"/>
  <c r="Z16" i="17"/>
  <c r="Z17" i="17"/>
  <c r="Z18" i="17"/>
  <c r="Z19" i="17"/>
  <c r="Z20" i="17"/>
  <c r="Z21" i="17"/>
  <c r="Z22" i="17"/>
  <c r="Z23" i="17"/>
  <c r="Z24" i="17"/>
  <c r="X14" i="17"/>
  <c r="U20" i="17"/>
  <c r="Y19" i="17" a="1"/>
  <c r="Y21" i="17" a="1"/>
  <c r="Y22" i="17" a="1"/>
  <c r="V23" i="17" a="1"/>
  <c r="V15" i="17" a="1"/>
  <c r="V18" i="17" a="1"/>
  <c r="X5" i="28"/>
  <c r="Y14" i="17" a="1"/>
  <c r="Y23" i="17" a="1"/>
  <c r="Y18" i="17" a="1"/>
  <c r="Y15" i="17" a="1"/>
  <c r="V20" i="17" a="1"/>
  <c r="V17" i="17" a="1"/>
  <c r="V14" i="17" a="1"/>
  <c r="Y20" i="17" a="1"/>
  <c r="Y17" i="17" a="1"/>
  <c r="V22" i="17" a="1"/>
  <c r="V19" i="17" a="1"/>
  <c r="V24" i="17" a="1"/>
  <c r="V21" i="17" a="1"/>
  <c r="V16" i="17" a="1"/>
  <c r="Y24" i="17" a="1"/>
  <c r="Y16" i="17" a="1"/>
  <c r="T50" i="29"/>
  <c r="Z50" i="29" s="1"/>
  <c r="S50" i="29"/>
  <c r="Q50" i="29"/>
  <c r="P50" i="29"/>
  <c r="O50" i="29"/>
  <c r="N50" i="29"/>
  <c r="M50" i="29"/>
  <c r="L50" i="29"/>
  <c r="K50" i="29"/>
  <c r="J50" i="29"/>
  <c r="I50" i="29"/>
  <c r="H50" i="29"/>
  <c r="G50" i="29"/>
  <c r="F50" i="29"/>
  <c r="D50" i="29"/>
  <c r="C50" i="29"/>
  <c r="Z49" i="29"/>
  <c r="Y49" i="29"/>
  <c r="X49" i="29"/>
  <c r="W49" i="29"/>
  <c r="V49" i="29"/>
  <c r="U49" i="29"/>
  <c r="Z48" i="29"/>
  <c r="Y48" i="29"/>
  <c r="X48" i="29"/>
  <c r="W48" i="29"/>
  <c r="V48" i="29"/>
  <c r="U48" i="29"/>
  <c r="Z47" i="29"/>
  <c r="Y47" i="29"/>
  <c r="X47" i="29"/>
  <c r="W47" i="29"/>
  <c r="V47" i="29"/>
  <c r="U47" i="29"/>
  <c r="Z46" i="29"/>
  <c r="Y46" i="29"/>
  <c r="X46" i="29"/>
  <c r="W46" i="29"/>
  <c r="V46" i="29"/>
  <c r="U46" i="29"/>
  <c r="Z45" i="29"/>
  <c r="Y45" i="29"/>
  <c r="X45" i="29"/>
  <c r="W45" i="29"/>
  <c r="V45" i="29"/>
  <c r="U45" i="29"/>
  <c r="Z44" i="29"/>
  <c r="Y44" i="29"/>
  <c r="X44" i="29"/>
  <c r="W44" i="29"/>
  <c r="V44" i="29"/>
  <c r="U44" i="29"/>
  <c r="Z43" i="29"/>
  <c r="Y43" i="29"/>
  <c r="X43" i="29"/>
  <c r="W43" i="29"/>
  <c r="V43" i="29"/>
  <c r="U43" i="29"/>
  <c r="Z42" i="29"/>
  <c r="Y42" i="29"/>
  <c r="X42" i="29"/>
  <c r="W42" i="29"/>
  <c r="V42" i="29"/>
  <c r="Z41" i="29"/>
  <c r="Y41" i="29"/>
  <c r="X41" i="29"/>
  <c r="W41" i="29"/>
  <c r="V41" i="29"/>
  <c r="U41" i="29"/>
  <c r="Z40" i="29"/>
  <c r="Y40" i="29"/>
  <c r="X40" i="29"/>
  <c r="W40" i="29"/>
  <c r="V40" i="29"/>
  <c r="U40" i="29"/>
  <c r="Z39" i="29"/>
  <c r="Y39" i="29"/>
  <c r="X39" i="29"/>
  <c r="W39" i="29"/>
  <c r="V39" i="29"/>
  <c r="U39" i="29"/>
  <c r="R39" i="29"/>
  <c r="Z38" i="29"/>
  <c r="Y38" i="29"/>
  <c r="X38" i="29"/>
  <c r="W38" i="29"/>
  <c r="V38" i="29"/>
  <c r="U38" i="29"/>
  <c r="R38" i="29"/>
  <c r="T33" i="29"/>
  <c r="S33" i="29"/>
  <c r="G33" i="29"/>
  <c r="D33" i="29"/>
  <c r="C33" i="29"/>
  <c r="Z32" i="29"/>
  <c r="Y32" i="29"/>
  <c r="X32" i="29"/>
  <c r="W32" i="29"/>
  <c r="V32" i="29"/>
  <c r="U32" i="29"/>
  <c r="R32" i="29"/>
  <c r="E32" i="29"/>
  <c r="Z31" i="29"/>
  <c r="Y31" i="29"/>
  <c r="X31" i="29"/>
  <c r="W31" i="29"/>
  <c r="V31" i="29"/>
  <c r="U31" i="29"/>
  <c r="R31" i="29"/>
  <c r="E31" i="29"/>
  <c r="Z30" i="29"/>
  <c r="Y30" i="29"/>
  <c r="X30" i="29"/>
  <c r="W30" i="29"/>
  <c r="V30" i="29"/>
  <c r="U30" i="29"/>
  <c r="R30" i="29"/>
  <c r="E30" i="29"/>
  <c r="Z29" i="29"/>
  <c r="Y29" i="29"/>
  <c r="X29" i="29"/>
  <c r="W29" i="29"/>
  <c r="V29" i="29"/>
  <c r="U29" i="29"/>
  <c r="R29" i="29"/>
  <c r="E29" i="29"/>
  <c r="Z28" i="29"/>
  <c r="Y28" i="29"/>
  <c r="X28" i="29"/>
  <c r="W28" i="29"/>
  <c r="V28" i="29"/>
  <c r="U28" i="29"/>
  <c r="R28" i="29"/>
  <c r="E28" i="29"/>
  <c r="Z27" i="29"/>
  <c r="Y27" i="29"/>
  <c r="X27" i="29"/>
  <c r="W27" i="29"/>
  <c r="V27" i="29"/>
  <c r="U27" i="29"/>
  <c r="R27" i="29"/>
  <c r="E27" i="29"/>
  <c r="Z26" i="29"/>
  <c r="Y26" i="29"/>
  <c r="X26" i="29"/>
  <c r="W26" i="29"/>
  <c r="V26" i="29"/>
  <c r="U26" i="29"/>
  <c r="R26" i="29"/>
  <c r="Z25" i="29"/>
  <c r="Y25" i="29"/>
  <c r="X25" i="29"/>
  <c r="W25" i="29"/>
  <c r="V25" i="29"/>
  <c r="U25" i="29"/>
  <c r="R25" i="29"/>
  <c r="E25" i="29"/>
  <c r="Z24" i="29"/>
  <c r="Y24" i="29"/>
  <c r="X24" i="29"/>
  <c r="W24" i="29"/>
  <c r="V24" i="29"/>
  <c r="U24" i="29"/>
  <c r="R24" i="29"/>
  <c r="E24" i="29"/>
  <c r="Z23" i="29"/>
  <c r="Y23" i="29"/>
  <c r="X23" i="29"/>
  <c r="W23" i="29"/>
  <c r="V23" i="29"/>
  <c r="U23" i="29"/>
  <c r="R23" i="29"/>
  <c r="Z22" i="29"/>
  <c r="Y22" i="29"/>
  <c r="X22" i="29"/>
  <c r="W22" i="29"/>
  <c r="V22" i="29"/>
  <c r="U22" i="29"/>
  <c r="R22" i="29"/>
  <c r="Z21" i="29"/>
  <c r="Y21" i="29"/>
  <c r="X21" i="29"/>
  <c r="W21" i="29"/>
  <c r="V21" i="29"/>
  <c r="U21" i="29"/>
  <c r="R21" i="29"/>
  <c r="S16" i="29"/>
  <c r="Q16" i="29"/>
  <c r="P16" i="29"/>
  <c r="O16" i="29"/>
  <c r="N16" i="29"/>
  <c r="M16" i="29"/>
  <c r="L16" i="29"/>
  <c r="K16" i="29"/>
  <c r="J16" i="29"/>
  <c r="H16" i="29"/>
  <c r="G16" i="29"/>
  <c r="F16" i="29"/>
  <c r="D16" i="29"/>
  <c r="C16" i="29"/>
  <c r="Z15" i="29"/>
  <c r="Y15" i="29"/>
  <c r="X15" i="29"/>
  <c r="W15" i="29"/>
  <c r="V15" i="29"/>
  <c r="U15" i="29"/>
  <c r="R15" i="29"/>
  <c r="E15" i="29"/>
  <c r="Z14" i="29"/>
  <c r="Y14" i="29"/>
  <c r="X14" i="29"/>
  <c r="W14" i="29"/>
  <c r="V14" i="29"/>
  <c r="U14" i="29"/>
  <c r="R14" i="29"/>
  <c r="E14" i="29"/>
  <c r="Z13" i="29"/>
  <c r="Y13" i="29"/>
  <c r="X13" i="29"/>
  <c r="W13" i="29"/>
  <c r="V13" i="29"/>
  <c r="U13" i="29"/>
  <c r="R13" i="29"/>
  <c r="E13" i="29"/>
  <c r="Z12" i="29"/>
  <c r="Y12" i="29"/>
  <c r="X12" i="29"/>
  <c r="W12" i="29"/>
  <c r="V12" i="29"/>
  <c r="U12" i="29"/>
  <c r="R12" i="29"/>
  <c r="E12" i="29"/>
  <c r="Z11" i="29"/>
  <c r="Y11" i="29"/>
  <c r="X11" i="29"/>
  <c r="W11" i="29"/>
  <c r="V11" i="29"/>
  <c r="U11" i="29"/>
  <c r="R11" i="29"/>
  <c r="E11" i="29"/>
  <c r="Z10" i="29"/>
  <c r="Y10" i="29"/>
  <c r="X10" i="29"/>
  <c r="W10" i="29"/>
  <c r="V10" i="29"/>
  <c r="U10" i="29"/>
  <c r="R10" i="29"/>
  <c r="E10" i="29"/>
  <c r="Z9" i="29"/>
  <c r="Y9" i="29"/>
  <c r="X9" i="29"/>
  <c r="W9" i="29"/>
  <c r="V9" i="29"/>
  <c r="U9" i="29"/>
  <c r="R9" i="29"/>
  <c r="E9" i="29"/>
  <c r="Z8" i="29"/>
  <c r="Y8" i="29"/>
  <c r="X8" i="29"/>
  <c r="W8" i="29"/>
  <c r="V8" i="29"/>
  <c r="U8" i="29"/>
  <c r="R8" i="29"/>
  <c r="E8" i="29"/>
  <c r="Z7" i="29"/>
  <c r="Y7" i="29"/>
  <c r="X7" i="29"/>
  <c r="W7" i="29"/>
  <c r="V7" i="29"/>
  <c r="U7" i="29"/>
  <c r="R7" i="29"/>
  <c r="E7" i="29"/>
  <c r="Z6" i="29"/>
  <c r="Y6" i="29"/>
  <c r="X6" i="29"/>
  <c r="W6" i="29"/>
  <c r="V6" i="29"/>
  <c r="U6" i="29"/>
  <c r="R6" i="29"/>
  <c r="E6" i="29"/>
  <c r="Z5" i="29"/>
  <c r="Y5" i="29"/>
  <c r="X5" i="29"/>
  <c r="W5" i="29"/>
  <c r="V5" i="29"/>
  <c r="U5" i="29"/>
  <c r="R5" i="29"/>
  <c r="E5" i="29"/>
  <c r="Z4" i="29"/>
  <c r="Y4" i="29"/>
  <c r="X4" i="29"/>
  <c r="W4" i="29"/>
  <c r="V4" i="29"/>
  <c r="U4" i="29"/>
  <c r="R4" i="29"/>
  <c r="E4" i="29"/>
  <c r="P6" i="28"/>
  <c r="P7" i="28"/>
  <c r="P8" i="28"/>
  <c r="P9" i="28"/>
  <c r="P10" i="28"/>
  <c r="P11" i="28"/>
  <c r="P12" i="28"/>
  <c r="P13" i="28"/>
  <c r="E35" i="28"/>
  <c r="F35" i="28"/>
  <c r="H35" i="28"/>
  <c r="I35" i="28"/>
  <c r="M35" i="28"/>
  <c r="O35" i="28"/>
  <c r="K36" i="28"/>
  <c r="M36" i="28"/>
  <c r="K37" i="28"/>
  <c r="K38" i="28"/>
  <c r="K39" i="28"/>
  <c r="K40" i="28"/>
  <c r="K41" i="28"/>
  <c r="K42" i="28"/>
  <c r="K43" i="28"/>
  <c r="X16" i="29"/>
  <c r="E16" i="29"/>
  <c r="R16" i="29"/>
  <c r="V16" i="29"/>
  <c r="K35" i="28"/>
  <c r="Z33" i="29"/>
  <c r="U33" i="29"/>
  <c r="W16" i="29"/>
  <c r="U16" i="29"/>
  <c r="E33" i="29"/>
  <c r="W33" i="29"/>
  <c r="Y33" i="29"/>
  <c r="P5" i="28"/>
  <c r="T16" i="29"/>
  <c r="Z16" i="29"/>
  <c r="Y16" i="29"/>
  <c r="V33" i="29"/>
  <c r="X33" i="29"/>
  <c r="K54" i="17"/>
  <c r="L54" i="17"/>
  <c r="M54" i="17"/>
  <c r="N54" i="17"/>
  <c r="O54" i="17"/>
  <c r="P54" i="17"/>
  <c r="Q54" i="17"/>
  <c r="R54" i="17"/>
  <c r="I54" i="17"/>
  <c r="G54" i="17"/>
  <c r="E54" i="17"/>
  <c r="I79" i="17"/>
  <c r="I80" i="17"/>
  <c r="I81" i="17"/>
  <c r="I82" i="17"/>
  <c r="I83" i="17"/>
  <c r="I84" i="17"/>
  <c r="I85" i="17"/>
  <c r="F54" i="17"/>
  <c r="H54" i="17"/>
  <c r="J54" i="17"/>
  <c r="E467" i="24"/>
  <c r="E466" i="24"/>
  <c r="E465" i="24"/>
  <c r="E464" i="24"/>
  <c r="E463" i="24"/>
  <c r="E462" i="24"/>
  <c r="U85" i="25"/>
  <c r="F25" i="17"/>
  <c r="H25" i="17"/>
  <c r="I25" i="17"/>
  <c r="E25" i="17"/>
  <c r="S25" i="17"/>
  <c r="T25" i="17"/>
  <c r="X13" i="17"/>
  <c r="I33" i="17"/>
  <c r="J33" i="17"/>
  <c r="K33" i="17"/>
  <c r="L33" i="17"/>
  <c r="M33" i="17"/>
  <c r="N33" i="17"/>
  <c r="O33" i="17"/>
  <c r="P33" i="17"/>
  <c r="Q33" i="17"/>
  <c r="G13" i="17"/>
  <c r="G25" i="17"/>
  <c r="Y13" i="17" a="1"/>
  <c r="V13" i="17" a="1"/>
  <c r="N21" i="22"/>
  <c r="M21" i="22"/>
  <c r="L21" i="22"/>
  <c r="K21" i="22"/>
  <c r="O21" i="22"/>
  <c r="P8" i="19"/>
  <c r="O8" i="19"/>
  <c r="J24" i="18"/>
  <c r="J25" i="18"/>
  <c r="J26" i="18"/>
  <c r="J27" i="18"/>
  <c r="J28" i="18"/>
  <c r="J29" i="18"/>
  <c r="J30" i="18"/>
  <c r="J31" i="18"/>
  <c r="J32" i="18"/>
  <c r="J23" i="18"/>
  <c r="J33" i="18"/>
  <c r="K33" i="18"/>
  <c r="I33" i="18"/>
  <c r="H33" i="18"/>
  <c r="Y25" i="17" a="1"/>
  <c r="V25" i="17" a="1"/>
  <c r="P41" i="39"/>
  <c r="W5" i="39" l="1"/>
  <c r="B156" i="26"/>
  <c r="C154" i="26" s="1"/>
  <c r="X10" i="39"/>
  <c r="B199" i="26"/>
  <c r="C194" i="26" s="1"/>
  <c r="X25" i="17"/>
  <c r="Z25" i="17"/>
  <c r="B145" i="26"/>
  <c r="C138" i="26" s="1"/>
  <c r="B100" i="26"/>
  <c r="C97" i="26" s="1"/>
  <c r="U50" i="29"/>
  <c r="Y50" i="29"/>
  <c r="E50" i="29"/>
  <c r="W50" i="29" s="1"/>
  <c r="X50" i="29"/>
  <c r="V50" i="29"/>
  <c r="B166" i="26"/>
  <c r="C163" i="26" s="1"/>
  <c r="B131" i="26"/>
  <c r="C126" i="26" s="1"/>
  <c r="B119" i="26"/>
  <c r="C114" i="26" s="1"/>
  <c r="B252" i="26"/>
  <c r="C245" i="26" s="1"/>
  <c r="B277" i="26"/>
  <c r="C270" i="26" s="1"/>
  <c r="C277" i="26" s="1"/>
  <c r="C142" i="26"/>
  <c r="C141" i="26"/>
  <c r="C191" i="26"/>
  <c r="B183" i="26"/>
  <c r="C181" i="26" s="1"/>
  <c r="B59" i="26"/>
  <c r="C47" i="26" s="1"/>
  <c r="B265" i="26"/>
  <c r="C264" i="26" s="1"/>
  <c r="B107" i="26"/>
  <c r="C105" i="26" s="1"/>
  <c r="B221" i="26"/>
  <c r="C215" i="26" s="1"/>
  <c r="B240" i="26"/>
  <c r="C228" i="26" s="1"/>
  <c r="C274" i="26"/>
  <c r="C275" i="26"/>
  <c r="C259" i="26"/>
  <c r="C195" i="26"/>
  <c r="C272" i="26"/>
  <c r="C276" i="26"/>
  <c r="B20" i="26"/>
  <c r="C18" i="26" s="1"/>
  <c r="B32" i="26"/>
  <c r="C28" i="26" s="1"/>
  <c r="C116" i="26"/>
  <c r="B39" i="26"/>
  <c r="C38" i="26" s="1"/>
  <c r="P5" i="39"/>
  <c r="V5" i="39"/>
  <c r="X5" i="39" s="1"/>
  <c r="R50" i="29"/>
  <c r="Q25" i="17"/>
  <c r="P25" i="17"/>
  <c r="E461" i="24"/>
  <c r="E468" i="24" s="1"/>
  <c r="W38" i="17"/>
  <c r="V21" i="17"/>
  <c r="F86" i="17"/>
  <c r="V24" i="17"/>
  <c r="Y21" i="17"/>
  <c r="R24" i="17"/>
  <c r="Y24" i="17"/>
  <c r="G86" i="17"/>
  <c r="V20" i="17"/>
  <c r="V18" i="17"/>
  <c r="I77" i="17"/>
  <c r="Y20" i="17"/>
  <c r="Y18" i="17"/>
  <c r="R18" i="17"/>
  <c r="V14" i="17"/>
  <c r="V22" i="17"/>
  <c r="E86" i="17"/>
  <c r="R20" i="17"/>
  <c r="Y16" i="17"/>
  <c r="R13" i="17"/>
  <c r="R21" i="17"/>
  <c r="R19" i="17"/>
  <c r="W14" i="17"/>
  <c r="C139" i="26"/>
  <c r="C113" i="26"/>
  <c r="C189" i="26"/>
  <c r="C188" i="26"/>
  <c r="C115" i="26"/>
  <c r="B88" i="26"/>
  <c r="C81" i="26" s="1"/>
  <c r="C271" i="26"/>
  <c r="C117" i="26"/>
  <c r="C273" i="26"/>
  <c r="C261" i="26"/>
  <c r="C137" i="26"/>
  <c r="C249" i="26"/>
  <c r="C118" i="26"/>
  <c r="R15" i="17"/>
  <c r="Y19" i="17"/>
  <c r="M25" i="17"/>
  <c r="N25" i="17"/>
  <c r="H86" i="17"/>
  <c r="I76" i="17"/>
  <c r="I78" i="17"/>
  <c r="I75" i="17"/>
  <c r="W18" i="17"/>
  <c r="Y13" i="17"/>
  <c r="I74" i="17"/>
  <c r="V17" i="17"/>
  <c r="R22" i="17"/>
  <c r="R14" i="17"/>
  <c r="V13" i="17"/>
  <c r="R23" i="17"/>
  <c r="W22" i="17"/>
  <c r="R17" i="17"/>
  <c r="Y17" i="17"/>
  <c r="Y23" i="17"/>
  <c r="O25" i="17"/>
  <c r="U25" i="17" s="1"/>
  <c r="V15" i="17"/>
  <c r="L25" i="17"/>
  <c r="V16" i="17"/>
  <c r="Y14" i="17"/>
  <c r="Y22" i="17"/>
  <c r="R16" i="17"/>
  <c r="V19" i="17"/>
  <c r="W15" i="17"/>
  <c r="V23" i="17"/>
  <c r="W16" i="17"/>
  <c r="Y15" i="17"/>
  <c r="K25" i="17"/>
  <c r="J25" i="17"/>
  <c r="V45" i="17"/>
  <c r="W37" i="17"/>
  <c r="S59" i="17"/>
  <c r="S45" i="17"/>
  <c r="S60" i="17"/>
  <c r="G40" i="17"/>
  <c r="E66" i="17"/>
  <c r="Q66" i="17"/>
  <c r="M66" i="17"/>
  <c r="G36" i="17"/>
  <c r="G34" i="17"/>
  <c r="W34" i="17"/>
  <c r="W36" i="17"/>
  <c r="G37" i="17"/>
  <c r="L66" i="17"/>
  <c r="G35" i="17"/>
  <c r="S56" i="17"/>
  <c r="S58" i="17"/>
  <c r="M45" i="17"/>
  <c r="I66" i="17"/>
  <c r="O66" i="17"/>
  <c r="H66" i="17"/>
  <c r="R66" i="17"/>
  <c r="K45" i="17"/>
  <c r="N66" i="17"/>
  <c r="F66" i="17"/>
  <c r="G66" i="17"/>
  <c r="G38" i="17"/>
  <c r="O45" i="17"/>
  <c r="Q45" i="17"/>
  <c r="P45" i="17"/>
  <c r="I45" i="17"/>
  <c r="P66" i="17"/>
  <c r="J45" i="17"/>
  <c r="J66" i="17"/>
  <c r="G33" i="17"/>
  <c r="S55" i="17"/>
  <c r="S57" i="17"/>
  <c r="L45" i="17"/>
  <c r="K66" i="17"/>
  <c r="H45" i="17"/>
  <c r="G39" i="17"/>
  <c r="T45" i="17"/>
  <c r="N45" i="17"/>
  <c r="S54" i="17"/>
  <c r="U45" i="17"/>
  <c r="W35" i="17"/>
  <c r="W40" i="17"/>
  <c r="W39" i="17"/>
  <c r="R45" i="17"/>
  <c r="S61" i="17"/>
  <c r="F45" i="17"/>
  <c r="E45" i="17"/>
  <c r="W33" i="17"/>
  <c r="C247" i="26" l="1"/>
  <c r="C155" i="26"/>
  <c r="C248" i="26"/>
  <c r="C263" i="26"/>
  <c r="C262" i="26"/>
  <c r="C49" i="26"/>
  <c r="C153" i="26"/>
  <c r="C156" i="26" s="1"/>
  <c r="C48" i="26"/>
  <c r="C94" i="26"/>
  <c r="C99" i="26"/>
  <c r="C98" i="26"/>
  <c r="C151" i="26"/>
  <c r="C251" i="26"/>
  <c r="C96" i="26"/>
  <c r="C44" i="26"/>
  <c r="C152" i="26"/>
  <c r="C143" i="26"/>
  <c r="C246" i="26"/>
  <c r="C46" i="26"/>
  <c r="C140" i="26"/>
  <c r="C93" i="26"/>
  <c r="C95" i="26"/>
  <c r="C52" i="26"/>
  <c r="C144" i="26"/>
  <c r="C257" i="26"/>
  <c r="C112" i="26"/>
  <c r="C250" i="26"/>
  <c r="C258" i="26"/>
  <c r="C211" i="26"/>
  <c r="C175" i="26"/>
  <c r="C196" i="26"/>
  <c r="C129" i="26"/>
  <c r="C210" i="26"/>
  <c r="C178" i="26"/>
  <c r="C179" i="26"/>
  <c r="C204" i="26"/>
  <c r="C16" i="26"/>
  <c r="C182" i="26"/>
  <c r="C125" i="26"/>
  <c r="C260" i="26"/>
  <c r="C198" i="26"/>
  <c r="C124" i="26"/>
  <c r="C127" i="26"/>
  <c r="C13" i="26"/>
  <c r="C206" i="26"/>
  <c r="C190" i="26"/>
  <c r="C197" i="26"/>
  <c r="C177" i="26"/>
  <c r="C128" i="26"/>
  <c r="C219" i="26"/>
  <c r="C130" i="26"/>
  <c r="C193" i="26"/>
  <c r="C192" i="26"/>
  <c r="C213" i="26"/>
  <c r="C209" i="26"/>
  <c r="C162" i="26"/>
  <c r="C161" i="26"/>
  <c r="C15" i="26"/>
  <c r="C164" i="26"/>
  <c r="C50" i="26"/>
  <c r="C165" i="26"/>
  <c r="C218" i="26"/>
  <c r="C25" i="26"/>
  <c r="C180" i="26"/>
  <c r="C106" i="26"/>
  <c r="C107" i="26" s="1"/>
  <c r="C172" i="26"/>
  <c r="C51" i="26"/>
  <c r="C55" i="26"/>
  <c r="C53" i="26"/>
  <c r="C58" i="26"/>
  <c r="C54" i="26"/>
  <c r="C57" i="26"/>
  <c r="C56" i="26"/>
  <c r="C45" i="26"/>
  <c r="C17" i="26"/>
  <c r="C19" i="26"/>
  <c r="C14" i="26"/>
  <c r="C239" i="26"/>
  <c r="C229" i="26"/>
  <c r="C234" i="26"/>
  <c r="C233" i="26"/>
  <c r="C30" i="26"/>
  <c r="C235" i="26"/>
  <c r="C237" i="26"/>
  <c r="C217" i="26"/>
  <c r="C207" i="26"/>
  <c r="C29" i="26"/>
  <c r="C37" i="26"/>
  <c r="C39" i="26" s="1"/>
  <c r="C205" i="26"/>
  <c r="C220" i="26"/>
  <c r="C208" i="26"/>
  <c r="C214" i="26"/>
  <c r="C236" i="26"/>
  <c r="C231" i="26"/>
  <c r="C232" i="26"/>
  <c r="C119" i="26"/>
  <c r="C27" i="26"/>
  <c r="C238" i="26"/>
  <c r="C226" i="26"/>
  <c r="C31" i="26"/>
  <c r="C216" i="26"/>
  <c r="C212" i="26"/>
  <c r="C230" i="26"/>
  <c r="C227" i="26"/>
  <c r="C171" i="26"/>
  <c r="C173" i="26"/>
  <c r="C174" i="26"/>
  <c r="C176" i="26"/>
  <c r="C252" i="26"/>
  <c r="C26" i="26"/>
  <c r="C85" i="26"/>
  <c r="C72" i="26"/>
  <c r="C67" i="26"/>
  <c r="C76" i="26"/>
  <c r="C74" i="26"/>
  <c r="C64" i="26"/>
  <c r="C83" i="26"/>
  <c r="C70" i="26"/>
  <c r="C84" i="26"/>
  <c r="C66" i="26"/>
  <c r="C69" i="26"/>
  <c r="C75" i="26"/>
  <c r="C78" i="26"/>
  <c r="C80" i="26"/>
  <c r="C87" i="26"/>
  <c r="C86" i="26"/>
  <c r="C77" i="26"/>
  <c r="C68" i="26"/>
  <c r="C71" i="26"/>
  <c r="C82" i="26"/>
  <c r="C79" i="26"/>
  <c r="C73" i="26"/>
  <c r="C65" i="26"/>
  <c r="I86" i="17"/>
  <c r="F87" i="17" s="1"/>
  <c r="R25" i="17"/>
  <c r="V25" i="17"/>
  <c r="W25" i="17"/>
  <c r="Y25" i="17"/>
  <c r="S66" i="17"/>
  <c r="G45" i="17"/>
  <c r="W45" i="17"/>
  <c r="E46" i="17"/>
  <c r="C145" i="26" l="1"/>
  <c r="C100" i="26"/>
  <c r="C265" i="26"/>
  <c r="C131" i="26"/>
  <c r="C199" i="26"/>
  <c r="C166" i="26"/>
  <c r="C20" i="26"/>
  <c r="C221" i="26"/>
  <c r="C183" i="26"/>
  <c r="C59" i="26"/>
  <c r="C240" i="26"/>
  <c r="C32" i="26"/>
  <c r="I87" i="17"/>
  <c r="E87" i="17"/>
  <c r="G87" i="17"/>
  <c r="H87" i="17"/>
  <c r="C88"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C E R</author>
    <author>She Maco</author>
  </authors>
  <commentList>
    <comment ref="S27" authorId="0" shapeId="0" xr:uid="{00000000-0006-0000-0400-000001000000}">
      <text>
        <r>
          <rPr>
            <b/>
            <sz val="9"/>
            <color indexed="81"/>
            <rFont val="Tahoma"/>
            <family val="2"/>
          </rPr>
          <t>A C E R:</t>
        </r>
        <r>
          <rPr>
            <sz val="9"/>
            <color indexed="81"/>
            <rFont val="Tahoma"/>
            <family val="2"/>
          </rPr>
          <t xml:space="preserve">
AKHIR MEI CLOSE
BY. PAK FAD</t>
        </r>
      </text>
    </comment>
    <comment ref="N152" authorId="1" shapeId="0" xr:uid="{00000000-0006-0000-0400-000002000000}">
      <text>
        <r>
          <rPr>
            <b/>
            <sz val="9"/>
            <color indexed="81"/>
            <rFont val="Tahoma"/>
            <family val="2"/>
          </rPr>
          <t>She Maco:</t>
        </r>
        <r>
          <rPr>
            <sz val="9"/>
            <color indexed="81"/>
            <rFont val="Tahoma"/>
            <family val="2"/>
          </rPr>
          <t xml:space="preserve">
di fplder konseling EDY SUTRISNO
</t>
        </r>
      </text>
    </comment>
    <comment ref="N163" authorId="1" shapeId="0" xr:uid="{00000000-0006-0000-0400-000003000000}">
      <text>
        <r>
          <rPr>
            <b/>
            <sz val="9"/>
            <color indexed="81"/>
            <rFont val="Tahoma"/>
            <family val="2"/>
          </rPr>
          <t>She Maco:</t>
        </r>
        <r>
          <rPr>
            <sz val="9"/>
            <color indexed="81"/>
            <rFont val="Tahoma"/>
            <family val="2"/>
          </rPr>
          <t xml:space="preserve">
PAK ROERRY CUTI, MENYUSUL TTD BELIAU
</t>
        </r>
      </text>
    </comment>
    <comment ref="S165" authorId="1" shapeId="0" xr:uid="{00000000-0006-0000-0400-000004000000}">
      <text>
        <r>
          <rPr>
            <b/>
            <sz val="9"/>
            <color indexed="81"/>
            <rFont val="Tahoma"/>
            <family val="2"/>
          </rPr>
          <t>She Maco:</t>
        </r>
        <r>
          <rPr>
            <sz val="9"/>
            <color indexed="81"/>
            <rFont val="Tahoma"/>
            <family val="2"/>
          </rPr>
          <t xml:space="preserve">
PROGRESS</t>
        </r>
      </text>
    </comment>
    <comment ref="S169" authorId="1" shapeId="0" xr:uid="{00000000-0006-0000-0400-000005000000}">
      <text>
        <r>
          <rPr>
            <b/>
            <sz val="9"/>
            <color indexed="81"/>
            <rFont val="Tahoma"/>
            <family val="2"/>
          </rPr>
          <t>She Maco:</t>
        </r>
        <r>
          <rPr>
            <sz val="9"/>
            <color indexed="81"/>
            <rFont val="Tahoma"/>
            <family val="2"/>
          </rPr>
          <t xml:space="preserve">
PROGRESS</t>
        </r>
      </text>
    </comment>
    <comment ref="S170" authorId="1" shapeId="0" xr:uid="{00000000-0006-0000-0400-000006000000}">
      <text>
        <r>
          <rPr>
            <b/>
            <sz val="9"/>
            <color indexed="81"/>
            <rFont val="Tahoma"/>
            <family val="2"/>
          </rPr>
          <t>She Maco:</t>
        </r>
        <r>
          <rPr>
            <sz val="9"/>
            <color indexed="81"/>
            <rFont val="Tahoma"/>
            <family val="2"/>
          </rPr>
          <t xml:space="preserve">
PROGRESS</t>
        </r>
      </text>
    </comment>
    <comment ref="S171" authorId="1" shapeId="0" xr:uid="{00000000-0006-0000-0400-000007000000}">
      <text>
        <r>
          <rPr>
            <b/>
            <sz val="9"/>
            <color indexed="81"/>
            <rFont val="Tahoma"/>
            <family val="2"/>
          </rPr>
          <t>She Maco:</t>
        </r>
        <r>
          <rPr>
            <sz val="9"/>
            <color indexed="81"/>
            <rFont val="Tahoma"/>
            <family val="2"/>
          </rPr>
          <t xml:space="preserve">
PROGRESS</t>
        </r>
      </text>
    </comment>
    <comment ref="S174" authorId="1" shapeId="0" xr:uid="{00000000-0006-0000-0400-000008000000}">
      <text>
        <r>
          <rPr>
            <b/>
            <sz val="9"/>
            <color indexed="81"/>
            <rFont val="Tahoma"/>
            <family val="2"/>
          </rPr>
          <t>She Maco:</t>
        </r>
        <r>
          <rPr>
            <sz val="9"/>
            <color indexed="81"/>
            <rFont val="Tahoma"/>
            <family val="2"/>
          </rPr>
          <t xml:space="preserve">
PROGRESS</t>
        </r>
      </text>
    </comment>
    <comment ref="N299" authorId="1" shapeId="0" xr:uid="{00000000-0006-0000-0400-000009000000}">
      <text>
        <r>
          <rPr>
            <b/>
            <sz val="9"/>
            <color indexed="81"/>
            <rFont val="Tahoma"/>
            <family val="2"/>
          </rPr>
          <t>She Maco:</t>
        </r>
        <r>
          <rPr>
            <sz val="9"/>
            <color indexed="81"/>
            <rFont val="Tahoma"/>
            <family val="2"/>
          </rPr>
          <t xml:space="preserve">
MASIH CUTI/ANAKNYA BARU MENINGGAL </t>
        </r>
      </text>
    </comment>
    <comment ref="N395" authorId="1" shapeId="0" xr:uid="{0C1E5BB8-1FE3-4B7A-9514-859B5BEB5162}">
      <text>
        <r>
          <rPr>
            <b/>
            <sz val="9"/>
            <color indexed="81"/>
            <rFont val="Tahoma"/>
            <family val="2"/>
          </rPr>
          <t>She Maco:</t>
        </r>
        <r>
          <rPr>
            <sz val="9"/>
            <color indexed="81"/>
            <rFont val="Tahoma"/>
            <family val="2"/>
          </rPr>
          <t xml:space="preserve">
Di wakilkan pak Benny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She Maco</author>
  </authors>
  <commentList>
    <comment ref="S1" authorId="0" shapeId="0" xr:uid="{553A2311-5F03-48A3-89CF-6A467321C162}">
      <text>
        <r>
          <rPr>
            <b/>
            <sz val="9"/>
            <color indexed="81"/>
            <rFont val="Tahoma"/>
            <family val="2"/>
          </rPr>
          <t>She Maco:</t>
        </r>
        <r>
          <rPr>
            <sz val="9"/>
            <color indexed="81"/>
            <rFont val="Tahoma"/>
            <family val="2"/>
          </rPr>
          <t xml:space="preserve">
DATA ASLI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She Maco</author>
  </authors>
  <commentList>
    <comment ref="E9" authorId="0" shapeId="0" xr:uid="{00000000-0006-0000-0C00-000001000000}">
      <text>
        <r>
          <rPr>
            <b/>
            <sz val="9"/>
            <color indexed="81"/>
            <rFont val="Tahoma"/>
            <family val="2"/>
          </rPr>
          <t>She Maco:</t>
        </r>
        <r>
          <rPr>
            <sz val="9"/>
            <color indexed="81"/>
            <rFont val="Tahoma"/>
            <family val="2"/>
          </rPr>
          <t xml:space="preserve">
PAK ROERRY CUTI, MENYUSUL TTD BELIAU
</t>
        </r>
      </text>
    </comment>
    <comment ref="I11" authorId="0" shapeId="0" xr:uid="{00000000-0006-0000-0C00-000002000000}">
      <text>
        <r>
          <rPr>
            <b/>
            <sz val="9"/>
            <color indexed="81"/>
            <rFont val="Tahoma"/>
            <family val="2"/>
          </rPr>
          <t>She Maco:</t>
        </r>
        <r>
          <rPr>
            <sz val="9"/>
            <color indexed="81"/>
            <rFont val="Tahoma"/>
            <family val="2"/>
          </rPr>
          <t xml:space="preserve">
PROGRESS</t>
        </r>
      </text>
    </comment>
    <comment ref="I12" authorId="0" shapeId="0" xr:uid="{00000000-0006-0000-0C00-000003000000}">
      <text>
        <r>
          <rPr>
            <b/>
            <sz val="9"/>
            <color indexed="81"/>
            <rFont val="Tahoma"/>
            <family val="2"/>
          </rPr>
          <t>She Maco:</t>
        </r>
        <r>
          <rPr>
            <sz val="9"/>
            <color indexed="81"/>
            <rFont val="Tahoma"/>
            <family val="2"/>
          </rPr>
          <t xml:space="preserve">
PROGRESS</t>
        </r>
      </text>
    </comment>
    <comment ref="I15" authorId="0" shapeId="0" xr:uid="{00000000-0006-0000-0C00-000004000000}">
      <text>
        <r>
          <rPr>
            <b/>
            <sz val="9"/>
            <color indexed="81"/>
            <rFont val="Tahoma"/>
            <family val="2"/>
          </rPr>
          <t>She Maco:</t>
        </r>
        <r>
          <rPr>
            <sz val="9"/>
            <color indexed="81"/>
            <rFont val="Tahoma"/>
            <family val="2"/>
          </rPr>
          <t xml:space="preserve">
PROGRESS</t>
        </r>
      </text>
    </comment>
    <comment ref="I16" authorId="0" shapeId="0" xr:uid="{00000000-0006-0000-0C00-000005000000}">
      <text>
        <r>
          <rPr>
            <b/>
            <sz val="9"/>
            <color indexed="81"/>
            <rFont val="Tahoma"/>
            <family val="2"/>
          </rPr>
          <t>She Maco:</t>
        </r>
        <r>
          <rPr>
            <sz val="9"/>
            <color indexed="81"/>
            <rFont val="Tahoma"/>
            <family val="2"/>
          </rPr>
          <t xml:space="preserve">
PROGRESS</t>
        </r>
      </text>
    </comment>
    <comment ref="I17" authorId="0" shapeId="0" xr:uid="{00000000-0006-0000-0C00-000006000000}">
      <text>
        <r>
          <rPr>
            <b/>
            <sz val="9"/>
            <color indexed="81"/>
            <rFont val="Tahoma"/>
            <family val="2"/>
          </rPr>
          <t>She Maco:</t>
        </r>
        <r>
          <rPr>
            <sz val="9"/>
            <color indexed="81"/>
            <rFont val="Tahoma"/>
            <family val="2"/>
          </rPr>
          <t xml:space="preserve">
PROGRESS</t>
        </r>
      </text>
    </comment>
    <comment ref="I20" authorId="0" shapeId="0" xr:uid="{00000000-0006-0000-0C00-000007000000}">
      <text>
        <r>
          <rPr>
            <b/>
            <sz val="9"/>
            <color indexed="81"/>
            <rFont val="Tahoma"/>
            <family val="2"/>
          </rPr>
          <t>She Maco:</t>
        </r>
        <r>
          <rPr>
            <sz val="9"/>
            <color indexed="81"/>
            <rFont val="Tahoma"/>
            <family val="2"/>
          </rPr>
          <t xml:space="preserve">
PROGRESS</t>
        </r>
      </text>
    </comment>
  </commentList>
</comments>
</file>

<file path=xl/sharedStrings.xml><?xml version="1.0" encoding="utf-8"?>
<sst xmlns="http://schemas.openxmlformats.org/spreadsheetml/2006/main" count="9772" uniqueCount="2395">
  <si>
    <t>PARAMETER</t>
  </si>
  <si>
    <t xml:space="preserve">UNIT </t>
  </si>
  <si>
    <t>JAN</t>
  </si>
  <si>
    <t>FEB</t>
  </si>
  <si>
    <t>MAR</t>
  </si>
  <si>
    <t>APR</t>
  </si>
  <si>
    <t>MEI</t>
  </si>
  <si>
    <t>JUNI</t>
  </si>
  <si>
    <t>JULI</t>
  </si>
  <si>
    <t>AUG</t>
  </si>
  <si>
    <t>SEPT</t>
  </si>
  <si>
    <t>OCT</t>
  </si>
  <si>
    <t>NOV</t>
  </si>
  <si>
    <t>DES</t>
  </si>
  <si>
    <t>YTD 2022</t>
  </si>
  <si>
    <t xml:space="preserve">PARAMETER </t>
  </si>
  <si>
    <t>UNIT</t>
  </si>
  <si>
    <t>Q1</t>
  </si>
  <si>
    <t>Q2</t>
  </si>
  <si>
    <t>Q3</t>
  </si>
  <si>
    <t>Q4</t>
  </si>
  <si>
    <t>SAFETY INSIDENT</t>
  </si>
  <si>
    <t>Safety Incident</t>
  </si>
  <si>
    <t xml:space="preserve">TOTAL INCIDENT </t>
  </si>
  <si>
    <t>Freq</t>
  </si>
  <si>
    <t>Total Inciden</t>
  </si>
  <si>
    <t>FATALITY</t>
  </si>
  <si>
    <t>-</t>
  </si>
  <si>
    <t xml:space="preserve">Fatality </t>
  </si>
  <si>
    <t xml:space="preserve">LTI </t>
  </si>
  <si>
    <t>LTI</t>
  </si>
  <si>
    <t xml:space="preserve">MTI </t>
  </si>
  <si>
    <t>First Aid</t>
  </si>
  <si>
    <t>FAI</t>
  </si>
  <si>
    <t>MTI</t>
  </si>
  <si>
    <t xml:space="preserve">PROPERTY DAMAGE </t>
  </si>
  <si>
    <t>Properti Damage</t>
  </si>
  <si>
    <t xml:space="preserve">FIRE CASE </t>
  </si>
  <si>
    <t>Fire Case</t>
  </si>
  <si>
    <t>ENVIRONMENT</t>
  </si>
  <si>
    <t>Environment</t>
  </si>
  <si>
    <t>NEARMISS</t>
  </si>
  <si>
    <t>Near Miss</t>
  </si>
  <si>
    <t xml:space="preserve">SHE Legal Compliance </t>
  </si>
  <si>
    <t>Audit SMKP</t>
  </si>
  <si>
    <t>SAP YTD 2021</t>
  </si>
  <si>
    <t xml:space="preserve">Patuh </t>
  </si>
  <si>
    <t xml:space="preserve">Observasi </t>
  </si>
  <si>
    <t xml:space="preserve">Tidak Patuh </t>
  </si>
  <si>
    <t xml:space="preserve">Hazard </t>
  </si>
  <si>
    <t>Inspeksi</t>
  </si>
  <si>
    <t>Unit</t>
  </si>
  <si>
    <t>MTD Vs</t>
  </si>
  <si>
    <t>Okt-21</t>
  </si>
  <si>
    <t>Okt-22</t>
  </si>
  <si>
    <t xml:space="preserve">Long Term </t>
  </si>
  <si>
    <t>Total Incident</t>
  </si>
  <si>
    <t>HPRI</t>
  </si>
  <si>
    <t>NON HPRI</t>
  </si>
  <si>
    <t>FA</t>
  </si>
  <si>
    <t xml:space="preserve">Hauling </t>
  </si>
  <si>
    <t xml:space="preserve">Mining </t>
  </si>
  <si>
    <t xml:space="preserve">Workshop </t>
  </si>
  <si>
    <t>Mess</t>
  </si>
  <si>
    <t>PD</t>
  </si>
  <si>
    <t>FC</t>
  </si>
  <si>
    <t>EI</t>
  </si>
  <si>
    <t>NM</t>
  </si>
  <si>
    <t xml:space="preserve">Penyebab dasar insiden </t>
  </si>
  <si>
    <t xml:space="preserve">Basic Cause </t>
  </si>
  <si>
    <t xml:space="preserve">% </t>
  </si>
  <si>
    <t>Kurangnya Keterampilan</t>
  </si>
  <si>
    <t>Kurangnya Pengawasan</t>
  </si>
  <si>
    <t xml:space="preserve">Kurangnya pengetahuan </t>
  </si>
  <si>
    <t>Pelanggaran Prosedur</t>
  </si>
  <si>
    <t>Prosedur Kerja Tidak Memadai</t>
  </si>
  <si>
    <t>Employee Awareness</t>
  </si>
  <si>
    <t>SOP Compliance</t>
  </si>
  <si>
    <t>Supervisory Skill</t>
  </si>
  <si>
    <t>Grand Total</t>
  </si>
  <si>
    <t>YTD Okt 2021</t>
  </si>
  <si>
    <t xml:space="preserve">YTD Okt 2022 </t>
  </si>
  <si>
    <t xml:space="preserve">MP </t>
  </si>
  <si>
    <t xml:space="preserve">Populasi alat </t>
  </si>
  <si>
    <t>YTD Sep 2021</t>
  </si>
  <si>
    <t xml:space="preserve">YTD Sep 2022 </t>
  </si>
  <si>
    <t>Parameter</t>
  </si>
  <si>
    <t>Ytd 2021</t>
  </si>
  <si>
    <t>c</t>
  </si>
  <si>
    <t>Jul-21</t>
  </si>
  <si>
    <t>Jul-22</t>
  </si>
  <si>
    <t>NONHPRI</t>
  </si>
  <si>
    <t>DASHBOARD MONITORING INSIDEN YTD 2022</t>
  </si>
  <si>
    <t>NO</t>
  </si>
  <si>
    <t>BULAN</t>
  </si>
  <si>
    <t>MAN POWER</t>
  </si>
  <si>
    <t>MAN HOURS</t>
  </si>
  <si>
    <t>MAN HOURS NLTI</t>
  </si>
  <si>
    <t>KTA</t>
  </si>
  <si>
    <t xml:space="preserve">Jumlah Insiden </t>
  </si>
  <si>
    <t>LOST DAY</t>
  </si>
  <si>
    <t>LOST COST</t>
  </si>
  <si>
    <t>LTIFR/FR</t>
  </si>
  <si>
    <t>AIFR</t>
  </si>
  <si>
    <t>PDFR</t>
  </si>
  <si>
    <t>LTI SR</t>
  </si>
  <si>
    <t>IR</t>
  </si>
  <si>
    <t>LR</t>
  </si>
  <si>
    <t>TTA</t>
  </si>
  <si>
    <t>RWI</t>
  </si>
  <si>
    <t>FATAL</t>
  </si>
  <si>
    <t>TOTAL INSIDEN</t>
  </si>
  <si>
    <t>761</t>
  </si>
  <si>
    <t>130</t>
  </si>
  <si>
    <t>569</t>
  </si>
  <si>
    <t>37</t>
  </si>
  <si>
    <t>JUN</t>
  </si>
  <si>
    <t>888</t>
  </si>
  <si>
    <t>158</t>
  </si>
  <si>
    <t>1143</t>
  </si>
  <si>
    <t>193</t>
  </si>
  <si>
    <t>AGST</t>
  </si>
  <si>
    <t>OKT</t>
  </si>
  <si>
    <t xml:space="preserve">TOTAL </t>
  </si>
  <si>
    <t>REKOMENDASI &amp; LAYERING PENANGGUNG JAWAB AREA (PJA)</t>
  </si>
  <si>
    <t>Rekomendasi Insiden</t>
  </si>
  <si>
    <t>Layering Penanggung Jawab Area (PJA)</t>
  </si>
  <si>
    <t>Klasifikasi</t>
  </si>
  <si>
    <t>REKOMENDASI</t>
  </si>
  <si>
    <t>ACTUAL</t>
  </si>
  <si>
    <t>PERSEN %</t>
  </si>
  <si>
    <t>PRODUKSI HAULING</t>
  </si>
  <si>
    <t>PRODUKSI MINING</t>
  </si>
  <si>
    <t>PROCON</t>
  </si>
  <si>
    <t>MINE PLAN</t>
  </si>
  <si>
    <t>PITCON &amp; SURVEY</t>
  </si>
  <si>
    <t>TRAINING</t>
  </si>
  <si>
    <t>PLANT TUHUP</t>
  </si>
  <si>
    <t>PLANT HAJU</t>
  </si>
  <si>
    <t>PLANT CHPP</t>
  </si>
  <si>
    <t>HRGA</t>
  </si>
  <si>
    <t>LOGISTIK</t>
  </si>
  <si>
    <t>SHE</t>
  </si>
  <si>
    <t>AMC</t>
  </si>
  <si>
    <t>TOTAL</t>
  </si>
  <si>
    <t>LOKASI INSIDEN</t>
  </si>
  <si>
    <t>MINING</t>
  </si>
  <si>
    <t>LNR</t>
  </si>
  <si>
    <t>CHR</t>
  </si>
  <si>
    <t>SHR</t>
  </si>
  <si>
    <t>ROM CHPP</t>
  </si>
  <si>
    <t>PORT TUHUP</t>
  </si>
  <si>
    <t>CSA</t>
  </si>
  <si>
    <t>PIT STOP</t>
  </si>
  <si>
    <t>TPS</t>
  </si>
  <si>
    <t>WORKSHOP</t>
  </si>
  <si>
    <t>WAREHOUSE</t>
  </si>
  <si>
    <t>MESS</t>
  </si>
  <si>
    <t>KLINIK</t>
  </si>
  <si>
    <t>MINE ROAD AKSES</t>
  </si>
  <si>
    <t xml:space="preserve">Bulan </t>
  </si>
  <si>
    <t>BASIC CAUSE INCIDENT</t>
  </si>
  <si>
    <t>Management of Change</t>
  </si>
  <si>
    <t>%</t>
  </si>
  <si>
    <t>MONTH</t>
  </si>
  <si>
    <t xml:space="preserve">MAN HOURS </t>
  </si>
  <si>
    <t>MI</t>
  </si>
  <si>
    <t>LTIFR / FR</t>
  </si>
  <si>
    <t>JANUARI</t>
  </si>
  <si>
    <t>FEBRUARI</t>
  </si>
  <si>
    <t>MARET</t>
  </si>
  <si>
    <t>APRIL</t>
  </si>
  <si>
    <t>JUNE</t>
  </si>
  <si>
    <t xml:space="preserve">AGUSTUS </t>
  </si>
  <si>
    <t xml:space="preserve">SEPTEMBER </t>
  </si>
  <si>
    <t>OKTOBER</t>
  </si>
  <si>
    <t xml:space="preserve">NOVEMBER </t>
  </si>
  <si>
    <t xml:space="preserve">DESEMBER </t>
  </si>
  <si>
    <t>SPR - 04</t>
  </si>
  <si>
    <t>RINGKASAN KECELAKAAN BULANAN TAHUN 2022</t>
  </si>
  <si>
    <t>RINCIAN DARI KECELAKAAN</t>
  </si>
  <si>
    <t>Eviden Perbaikan</t>
  </si>
  <si>
    <t>Due Date</t>
  </si>
  <si>
    <t>PIC</t>
  </si>
  <si>
    <t>Layering PJA</t>
  </si>
  <si>
    <t>Status</t>
  </si>
  <si>
    <t>HARI HILANG</t>
  </si>
  <si>
    <t>ESTIMASI BIAYA (Rp)</t>
  </si>
  <si>
    <t>NO. REGISTER</t>
  </si>
  <si>
    <t>KATEGORI</t>
  </si>
  <si>
    <t>HARI &amp; TANGGAL, JAM</t>
  </si>
  <si>
    <t>LOKASI</t>
  </si>
  <si>
    <t>NAMA KORBAN / NOMOR UNIT</t>
  </si>
  <si>
    <t>RINCIAN KERUSAKAN UNIT / LUKA-LUKA KORBAN</t>
  </si>
  <si>
    <t>PENJELASAN KEJADIAN (KRONOLOGI SINGKAT)</t>
  </si>
  <si>
    <t>PENYEBAB KEJADIAN</t>
  </si>
  <si>
    <t>TINDAKAN PERBAIKAN</t>
  </si>
  <si>
    <t>HPRI VS Non HPRI</t>
  </si>
  <si>
    <t>MANUSIA</t>
  </si>
  <si>
    <t>ALAT</t>
  </si>
  <si>
    <t>PERBAIKAN</t>
  </si>
  <si>
    <t>MEDIS</t>
  </si>
  <si>
    <t>BIAYA LAIN-LAIN</t>
  </si>
  <si>
    <t>TOTAL BIAYA</t>
  </si>
  <si>
    <t>LPI-01-I-2022-MACO</t>
  </si>
  <si>
    <t>1/2/2022</t>
  </si>
  <si>
    <t>KM 2.5</t>
  </si>
  <si>
    <t>Andi Kurniawan</t>
  </si>
  <si>
    <t>Setelah DT-083 dumping di PORT, unit Travel kosongan menuju CHPP. Pada saat melintas di Km 02 unit berpapasan dengan sepeda Motor. DT-083 menghindari kendaraan Motor dikarenakan unit mengambil jalur terlalu kiri &amp; kondisi Jalan Lembek menyebabkan unit Sleding dan Amblas</t>
  </si>
  <si>
    <t>TINDAKAN TIDAK AMAN</t>
  </si>
  <si>
    <t>Operator gagal mengantisipasi dalam memilih jalan saat berpapasan</t>
  </si>
  <si>
    <t>Memberikan sanksi kepada operator sesuai dengan SPDK yang berlaku</t>
  </si>
  <si>
    <t>20/01/2022</t>
  </si>
  <si>
    <t>Aljary</t>
  </si>
  <si>
    <t>CLOSED</t>
  </si>
  <si>
    <t>Melakukan perbaikan di sepanjang Km 2</t>
  </si>
  <si>
    <t>Terlampir</t>
  </si>
  <si>
    <t>OPEN</t>
  </si>
  <si>
    <t>Melaksanakan CHRI di SHR bersama PT MC dan menindaklanjuti temuan jalan yang tidak layak</t>
  </si>
  <si>
    <t>LPI-02-I-2022-MACO</t>
  </si>
  <si>
    <t>1/8/2022</t>
  </si>
  <si>
    <t>Jembatan Timbang</t>
  </si>
  <si>
    <t>Rendi Nata</t>
  </si>
  <si>
    <t>Sdr Rendi Nata mengoperasikan unit DT 040-005 muatan ke tuhup
sekitar Pukul 11.00 mulai antri di timbangan, menunggu unit kosongan menimbang 
pada saat masuk timbangan tidak ada masalah, ketika sampai depan loket unit di belokkan ke kanan supaya kabin mendekat loket untuk menyerahkan doket muatan batubara. setelah menyerahkan doket muatan batubara, ujung muffler menyangkut atap jendela loket sehingga menyebabkan atap jendela rusak.</t>
  </si>
  <si>
    <t>Operator Kurang melakukan screening saat memasuki Timbangan</t>
  </si>
  <si>
    <t>Memberikan coaching kepada operator</t>
  </si>
  <si>
    <t>Thasmiadi</t>
  </si>
  <si>
    <t>KONDISI  TIDAK AMAN</t>
  </si>
  <si>
    <t>Belum ada acuan jarak aman</t>
  </si>
  <si>
    <t>Membuat Instruksi pekerjaan penimbangan</t>
  </si>
  <si>
    <t xml:space="preserve">Belum tandatangan dan sosialiassi ke OPERATOR </t>
  </si>
  <si>
    <t>Pemasangan acuan jarak aman antara unit dengan kontainer</t>
  </si>
  <si>
    <t>Belum ada lampiran</t>
  </si>
  <si>
    <t>'Posisi unit terlalu ke kanan mendekat loket (bangunan kontainer)</t>
  </si>
  <si>
    <t>Perbaikan atap</t>
  </si>
  <si>
    <t xml:space="preserve">Atap dilepas </t>
  </si>
  <si>
    <t>Pembuatan alat bantu keranjang doket</t>
  </si>
  <si>
    <t>LPI-03-I-2022-MACO</t>
  </si>
  <si>
    <t>1/9/2022</t>
  </si>
  <si>
    <t>KM 53 Jembatan Briwit</t>
  </si>
  <si>
    <t>Yunus Santosa</t>
  </si>
  <si>
    <t xml:space="preserve">Pada saat proses penghantaran karyawan cuti , saat tiba di km 53 tangki MH 01 terlepas dan unit berhenti. </t>
  </si>
  <si>
    <t>Baut bracket tangki solar patah rusak</t>
  </si>
  <si>
    <t>Mengganti bolt bracket tangki yang patah</t>
  </si>
  <si>
    <t>Albert</t>
  </si>
  <si>
    <t>Melakukan periodic service semua Manhaul</t>
  </si>
  <si>
    <t>P2H tidak melakukan pengecekan ke arah kolong unit</t>
  </si>
  <si>
    <t>Couching semua operator Manhaul perihal kebersihan Manhaul</t>
  </si>
  <si>
    <t xml:space="preserve">Evidence coaching pada saat reinduksi </t>
  </si>
  <si>
    <t>Fadly</t>
  </si>
  <si>
    <t>Membuat jadwal pencucian unit</t>
  </si>
  <si>
    <t xml:space="preserve">Pencucian unit pada saat sercive </t>
  </si>
  <si>
    <t>LPI-04-I-2022-MACO</t>
  </si>
  <si>
    <t>1/10/2022</t>
  </si>
  <si>
    <t>KM 69 - LNR</t>
  </si>
  <si>
    <t>Amirudin</t>
  </si>
  <si>
    <t>Pada Tanggal 10 Januari 2022 Sdr Amirudin berangkat dari mes pukul 05.30 WIB, sampai di office Sdr Amirudin mengikuti P5M yang dibawakan oleh Pengawas Sdr, Rian. Setelah selesai P5M Sdr Amirudin di antar oleh Sdr. Rian ke parkiran transko (Bawah Camp) karena unit CP010-001 parkir di area tersebut. Stelah sampai di unit CP010-001 Sdr. Amirudin langsung melakukan P2H dan unit dinyatakan layak. Selesai P2H Sdr. Amiruddin langsung melakukan compacting area CHPP dan sekitar pukul 8.00 Wib Sdr. Amirudin mengarah ke area LNR karena cakupan pekerjaan  sampai di KM 68, Setelah melakukan compacting di area KM 68 Sdr Amirudin mengarah ke KM 69, sampai di area median Km 69 Sdr. Amirudin melakukan manuver di ujung median dari sisi kosongan menuju sisi muatan. Tiba tiba bagian dram depan menginjak material lembek dan unit  tidak bisa bergerak mundur.</t>
  </si>
  <si>
    <t>Operator bermanuver di area yang licin</t>
  </si>
  <si>
    <t>Melakukan couching &amp; konseling terhadap operator compact</t>
  </si>
  <si>
    <t>1/15/2022</t>
  </si>
  <si>
    <t>Mugiono</t>
  </si>
  <si>
    <t>FAKTOR PRIBADI</t>
  </si>
  <si>
    <t>Operator gagal dalam mengidentifikasi bahaya</t>
  </si>
  <si>
    <t>Melakukan inclass kepada Sdr. Amiruddin terkait refresh pengoperasian unit compact</t>
  </si>
  <si>
    <t>1/17/2022</t>
  </si>
  <si>
    <t>FAKTOR PEKERJAAN</t>
  </si>
  <si>
    <t>OTD belum maksimal melakukan kepengawasan terhadap NH saat orientasi</t>
  </si>
  <si>
    <t>Memberikan sanksi administrasi kepada Sdr. Mugiono</t>
  </si>
  <si>
    <t>Cakupan untuk area orientasi  NH belum terdapat di IK pelatihan</t>
  </si>
  <si>
    <t>Melakukan review INK pelatihan operator terkait cakupan batas area orientasi NH</t>
  </si>
  <si>
    <t>1/30/2022</t>
  </si>
  <si>
    <t>Rasio manpower OTD belum sesuai dengan jumlah NH dan OPP</t>
  </si>
  <si>
    <t>Segera melakukan pemenuhan OTD sesuai dengan jumlah NH dan OPP</t>
  </si>
  <si>
    <t>3/13/2022</t>
  </si>
  <si>
    <t>Terdapat timbunan serta material gravel sudah terkikis material timbunan dan air</t>
  </si>
  <si>
    <t>Segera melakukan pemadatan dan penambahan grevel di area LNR Km 69</t>
  </si>
  <si>
    <t>Pengawas belum melakukan identifikasi bahaya area jalan LNR</t>
  </si>
  <si>
    <t>Memberikan sanksi administrasi kepada Sdr. Thasmiadi</t>
  </si>
  <si>
    <t xml:space="preserve">Budi Gangsar </t>
  </si>
  <si>
    <t>Job desk kepengawasan di area LNR belum jelas pembagiannya (dari CHPP atau Haju)</t>
  </si>
  <si>
    <t>Segera melakukan penunjukan pengawas (PIC) di area LNR dan sosialisasi Job Desk kepengawasan area LNR</t>
  </si>
  <si>
    <t>1/21/2022</t>
  </si>
  <si>
    <t>LPI-05-I-2022-MACO</t>
  </si>
  <si>
    <t>1/13/2022</t>
  </si>
  <si>
    <t>KM 16 - SHR</t>
  </si>
  <si>
    <t>Fajar Setiawan</t>
  </si>
  <si>
    <t>Tanggal 13 januari 2022 masuk shift 2
Pukul 17.30 berangkat MH ke CSA
Sekitar pukul 17.40 Ikut P5M  dipimpin oleh Pak Hendrik
Kemudian melihat settingan unit, karena unit pegangan saya breakdown (DT 100), maka saya lihat settingan unit, Saat lihat settingan saya di setting di unit DT 022
Kemudian saya menunggu unit nya datang ke CSA, unit datang dari Tuhup kosongan (Driver catur)
Setelah unit dtang sekitar pukul 18.20 kemudian saya melakukan P2H, unit layak operasi.
Pukul 18.30 saya berangkat kosongan ke chpp
Sekitar pukul 19,30 sampai chpp, langsung loading material WS2 unit loader PC400-025
Saya sempat singgah ke CSA untuk nambah air wiper dan membersihkan lampu
Setelah selesai saya berangkat menuju Tuhup,
Sekitar pukul 20.30 sampai sekitar haju, di KM 34 berhenti ambil packmeal, rencana dumping material baru makan
Kemudian saya jalan lagi, sampai KM 27 dispatch juga tidak berhenti
Sekitar pukul 22.30 sampai KM 16 turunan saya mengurangi kecepatan, sampai dijalan datar saya lanjut jalan seingat saya di gear 9.
Kemudian saya naik tanjakan, saat sampai tajakan RPM unit turun, kemudian saya turunkan gear kemudian unit naik. Selang beberapa saat RPM turun lagi kemudian saya over gear turun, RPM turun lagi diangka 1500 saya over lagi gear unit tenaga tidak ada kemudian saya injak pedal gass full tidak lepas, unit tidak ada respon saya inisiatif injak service brake unit sudah mulai mundur , saya Tarik parking brake tidal mampu menahan unit tetap mundur.
Saya injak rem sampai berdiri tidak mampu menahan, unit termundur saya tidak main steering, setahu saya itu lurus kemudian mentok ke tanggul.
Yang saya lakukan saat tenaga hilang langsung saya turunkan transmisi per 2 gear
Saat kondisi kemarin saya focus turunin gear
Dulu pernah inclass oleh pak tafsal bahwa jalan hauling pakai mode manual full
Metode manual itu semua dibawah kendali pengemudi, sesuai materi saat training "Apabila Unit Kehilangan Tenaga/Torsi dan Mundur ditanjakan"
Setelah saya turun saya lihat kondisi unit, unit tidak ada kerusakan,
Saya cb saya coba naikan unit, cb pakai double saya jalankan unit maju sekitar 1 meter.  Unit maju kedepan 1 meter tetapi tire sebelah kiri amblas di material lembek.
Saya turun pasang safety cone, dan wheelcok sebelah kanan yang dipasang
Saya kontek radio ke rekan2, info jika unit amblas tolong di sampaikan ke pengawas
Kemudian saya diantar ke Tuhup sekitar pukul 00.30 wib langsung ke klinik</t>
  </si>
  <si>
    <t>Operator terlambat melakukan shifting transmisi saat jalan menanjak sehingga unit kehilangan power</t>
  </si>
  <si>
    <t>Coaching &amp; Sanksi Administratif Operator DT SPDK L2</t>
  </si>
  <si>
    <t>2/5/2022</t>
  </si>
  <si>
    <t>Progres Roating</t>
  </si>
  <si>
    <t>Operator mengopersikan unit tidak berdasarkan training</t>
  </si>
  <si>
    <t>Refresh Pengoperasian unit DT</t>
  </si>
  <si>
    <t>Bambang S</t>
  </si>
  <si>
    <t>Belum terdapat rambu pindah transimisi saat tanjakan dan turunan</t>
  </si>
  <si>
    <t>Pemasangan rambu perpindahan transmisi tanjakan/ turunan KM 16</t>
  </si>
  <si>
    <t>Prioritas pemasangan di area LNR dengan tanjakan turunan panjang</t>
  </si>
  <si>
    <t>Maping tanjakan turunan di area SHR</t>
  </si>
  <si>
    <t>Operator Panik saat unit termundur</t>
  </si>
  <si>
    <t>Resosialisasi materi emergency saat reinduksi paska cuti</t>
  </si>
  <si>
    <t>LPI-06-I-2022-MACO</t>
  </si>
  <si>
    <t>1/16/2022</t>
  </si>
  <si>
    <t>KM 65 - LNR</t>
  </si>
  <si>
    <t>Aris Hidayat</t>
  </si>
  <si>
    <t>Sdr AH pukul 06.00 saat setelah P5M &amp; P2H diinstuksikan mengoperasikan DT091 Bermuatan ke port untuk dumping material. setelah dumping, DT091 menuju KM39 untuk melaksanakan PI. Pukul 09.50 DT091 sudah sampai di lokasi PI dan diinformasikan mekanik jika terdapat temuan/rekomendasi adjust parking brake, leak spring 11,12, adj Holo Spring 5,6, dan grease tangki kosong. 
Kemudian pukul 11.50 DT091 menuju Haju dan parkir di CSA dan kemudian sdr AH diinstuksikan ke CHPP untuk ganti unit dengan DT095. Sdr AH langsung ke CHPP, sampai dilokasi langsung melakukan P2H, tidak ada deviasi. Saat travel turun, sdr AH merasakan di turunan km68 stering bergerak ke kiri sendiri. Kemudian saat melintas di turunan KM65 &amp; stop di simpang Bao-bao, diinformasikan oleh scurity pos jaga setempat jika terdapat asap pada tyre depan. Kemudian Sdr AH turun dari unit untuk memasang wheelcock, safetycone, dan menyemprotkan apar pada bagian R1</t>
  </si>
  <si>
    <t>Connecting bar loadsensing 7 cover arm shaff p9/p10 bengkok yang mengakibatkan shaff adjuster tidak bekerja / jamed</t>
  </si>
  <si>
    <t>Melakukan penggantian bar loadsensing dan cover arm</t>
  </si>
  <si>
    <t>Hary Prastowo</t>
  </si>
  <si>
    <t>Proses Order</t>
  </si>
  <si>
    <t>Safety recall ke operator terkait pengecekan pada connecting bar loadsensing saat P2H</t>
  </si>
  <si>
    <t>Unit tidak dilakukan periodic inspection sesuai schedulenya</t>
  </si>
  <si>
    <t>Membuat jadwal periodic inspection dan disosialisasikan ke tim produksi H-1</t>
  </si>
  <si>
    <t>2/2/2022</t>
  </si>
  <si>
    <t>Membuat penunjukan PJA PI di KM39</t>
  </si>
  <si>
    <t>LPI-07-I-2022-MACO</t>
  </si>
  <si>
    <t>1/20/2022</t>
  </si>
  <si>
    <t>Parkiran Dispenser Port Tuhup</t>
  </si>
  <si>
    <t>Joy Manris Manullang</t>
  </si>
  <si>
    <t>Pada Tanggal 20 Januari 2022 Sdr Joy Manris Manullang berangkat dari mes pukul 06.00 WIB  langsung menuju  ke jalann hauling LNR KM 74 untuk melakukan perbaikan  Ecavator 292 yang breakdown dengan 3 orang teman (Vince, Dolly, Teddy) karena mendapat intruksi dari Pak Robby Surya untuk melakukan perbaikan unit excavator 292 di KM 74.Sampai di KM 74 saya dan 3 orang teman langsung melakukan perbaikan Excavaor sampai pukul 11.00 Wib, sekitar  pukul 10.00 Wib Sdr Robby Surya tiba di km 74, kemudian sekitar pukul 11.10 Wib saya dan teman teman  melakukan istirahat makan. Sekitar pukul 12.05 Wib saya berangkat ke tuhup bersama Pak Robby Surya dan Sdr. Dolly untuk pengambilan spare part dengan menggunakan LV BMC-01. Sampai dituhup sekitar pukul 14.24 Wib,  Saya akan parkir di samping kontainer bekas WS FNK karena LCT yang membawa spare part belum tiba. saat saya manuver mundur untuk parkir  tiba tiba saya kaget menabrak tiang CCTV lalu berubah arah.</t>
  </si>
  <si>
    <t>Belum terdapat ketentuan parkir di area tersebut atau TMP di area bekas workshop FNK terkait lokasi P khusus sarana</t>
  </si>
  <si>
    <t>Melakukan pembuatan TMP di WS eks FNK</t>
  </si>
  <si>
    <t>Ter</t>
  </si>
  <si>
    <t>2/15/2022</t>
  </si>
  <si>
    <t>Belum adanya rambu Parkir atau Larangan Parkir di area tersebut</t>
  </si>
  <si>
    <t>Melakukan pemasangan rambu di area tersebut</t>
  </si>
  <si>
    <t>Evidence Menyusul (by suta)</t>
  </si>
  <si>
    <t xml:space="preserve">Driver tidak memperhatikan area sekitar saat manuver mundur </t>
  </si>
  <si>
    <t>Melakukan pemberian tindak disiplin SPDK SP 1 Lubang 2 kepada Sdr Joy Manris Manullang</t>
  </si>
  <si>
    <t>1/28/2022</t>
  </si>
  <si>
    <t>Suyoni</t>
  </si>
  <si>
    <t>Driver merasa terlalu percaya diri saat akan melakukan parkir karena sudah terbiasa parkir di area tersebut</t>
  </si>
  <si>
    <t>Melakukan refresh pengoperasian LV ke OTD dan Gorunded ke Dept SHE PT. SIS</t>
  </si>
  <si>
    <t>LPI-08-I-2022-MACO</t>
  </si>
  <si>
    <t>KM 28 - SHR</t>
  </si>
  <si>
    <t>Eko Zulfikri</t>
  </si>
  <si>
    <t xml:space="preserve">Sdr EZ pukul 20.00 WIB diantar naik MH015 ke km26 (dispatch) untuk mengoperasikan DT06 yang sebelumnya breakdown di jalan. Pukul 20.38 sampai di dispatch sdr EZ melakukan P2H unit kemudian travel ke Port untuk dumping material. Selanjutnya sdr EZ ke CHPP, pukul 01.58 loading di EX31 product Co-31 kemudian lanjut travel muatan ke port. Pukul 04.48 Sdr EZ setelah dumping dan mengisi fuel kemudian travel kosongan menuju CSA Haju untuk change shift. Pukul 05.50 WIB saat melintas di KM28, sdr EZ tidak bisa mengendalikan unit saat melintas jalan berlubang sehingga unit terprosok </t>
  </si>
  <si>
    <t>operator tidak defesive driving (overspeed)</t>
  </si>
  <si>
    <t>1. Refresh pengoperasian unit DT</t>
  </si>
  <si>
    <t>Esra Edhy
Thasmiadi</t>
  </si>
  <si>
    <t>2. Memberikan sanksi SPDK kepada operator (SP2)</t>
  </si>
  <si>
    <t>P2H tidak dilakukan dengan benar</t>
  </si>
  <si>
    <t>1. Memberikan Couching/konseling kepada pengawas langsung (sdr Farid)</t>
  </si>
  <si>
    <t>2. Memberikan Couching/konseling kepada operator (sdr Eko)</t>
  </si>
  <si>
    <t>maintanance road shift II tidak maksimal</t>
  </si>
  <si>
    <t>Penyedian/pengaturan unit grader sesuai segment (SHR/CHR)</t>
  </si>
  <si>
    <t>LPI-09-I-2022-MACO</t>
  </si>
  <si>
    <t>1/22/2022</t>
  </si>
  <si>
    <t>KM 4+800 - SHR</t>
  </si>
  <si>
    <t>Hidayat Firman</t>
  </si>
  <si>
    <t>Pada tanggal 22 januari 2022 unit DT-040-013 mengangkut material CO-3 dari CHPP menuju Tuhup di shift 2. saat sampai di SHR tanjakan Km 4+800, unit mengalami penurunan RPM dimana transmisi harus diturunkan. Saat diturunkan transmisi unit bisa naik, kemudian mengalami lagi hal yang sama operator menurunkan transmisi tetapi tidak bisa menaikan tenaga sehingga unit berhenti sejenak dan kemudian mundur hingga masuk ke paritan sehingga mengalami amblas.</t>
  </si>
  <si>
    <t>Coaching Operator DT</t>
  </si>
  <si>
    <t>2/25/2022</t>
  </si>
  <si>
    <t>Operator melakukan berdasarkan pengalamannya (kebiasaan)</t>
  </si>
  <si>
    <t>LPI-10-I-2022-MACO</t>
  </si>
  <si>
    <t>1/27/2022</t>
  </si>
  <si>
    <t>Port - Dumpingan GC</t>
  </si>
  <si>
    <t>Daniel Duma</t>
  </si>
  <si>
    <t>Unit DT-089 diarahkan lokasi oleh petugas stockpile sesuai jenis material yang di angkut. Sampai dilokasi ROM, unit manuver untuk dumping di arahkan oleh petugas, saat cylinder dump full struck (maksimal) material yang turun hanya sedikit, beberapa saat unit digerakkan sehingga mengalami miring dan rebah ke kiri.</t>
  </si>
  <si>
    <t>Operator melakukan pergerakan unit ke depan</t>
  </si>
  <si>
    <t>Sanksi administrasi SPDK L2 (tidak mengikuti prosedur yang berlaku)</t>
  </si>
  <si>
    <t>Operator DT-089 tidak mengikuti JSA yang berlaku saat dumping material GC1 / product dengan karakteristik lengket tidak melapor ke pengawas/ petugas</t>
  </si>
  <si>
    <t>Resosialisasi JSA Melaksanakan kegiatan pengoperasian dump truck batu bara</t>
  </si>
  <si>
    <t>Belum terdapat petugas khusus mengarahkan saat dumping product dengan karakteristik material lengket</t>
  </si>
  <si>
    <t>Penambahan Petugas khusus Penimbunan area Stockpile Tuhup support dumping material product karakteristik material lengket (tindakan pencegahan)</t>
  </si>
  <si>
    <t>LPI-11-I-2022-MACO</t>
  </si>
  <si>
    <t>KM 77 - LNR</t>
  </si>
  <si>
    <t xml:space="preserve">Catur Khoiriza </t>
  </si>
  <si>
    <t>Pada awal shift setelah P5M, sdr CKA standby di shalter menunggu instruksi dari pengawas. Kemudian pada pukul 10.00 diinstruksikan untuk membawa unit DT020-00124 untuk membantu melakukan parching di LNR km 73 dengan membawa material keras dari pit. Setelah melakukan P2H (tidak ada deviasi) kemudian sdr CKA travel ke loading point Ex35. Pada ritase ke 5, DT bermuatan material keras melintas LNR km 77 steering mengalami macet dikarenakan bocor hose steering dan sdr CKA spontan melakukan pengereman, namun menyenggol median jalan. Setelah kejadian tersebut, operator melaporkan kejadian ke atasan</t>
  </si>
  <si>
    <t>System steering tidak bekerja dengan normal</t>
  </si>
  <si>
    <t>Memeriksa Ball joint steering unit dengan HM &gt;5000</t>
  </si>
  <si>
    <t>4/30/2022</t>
  </si>
  <si>
    <t>Roery W</t>
  </si>
  <si>
    <t>Memasang indashcam di unit DT20 ton</t>
  </si>
  <si>
    <t>Jalur LNR masih terdapat beberapa titik jalan rusak</t>
  </si>
  <si>
    <t>Melakukan perbaikan jalur hauling, prioritas pada jalan berlubang  km77</t>
  </si>
  <si>
    <t>Anggi Okta</t>
  </si>
  <si>
    <t>Lock pin ball Joint belum melewati umur pakai</t>
  </si>
  <si>
    <t>Menurunkan masa pakai lock pin ball joint dari HM 6000 menjadi HM 5000</t>
  </si>
  <si>
    <t>3/30/2022</t>
  </si>
  <si>
    <t>Kondisi ball joint steering tidak ada dalam checklist PS</t>
  </si>
  <si>
    <t>Memasukkan pemeriksaan kondisi lockpin balljoint dalam chechlist periodical service</t>
  </si>
  <si>
    <t>Mekanik tidak melihat kejanggalan saat PS</t>
  </si>
  <si>
    <t>Refresh Pemeriksaan pada komponen steering ke mekanik</t>
  </si>
  <si>
    <t>Surya</t>
  </si>
  <si>
    <t>coaching GL pentingnya pemeriksaan ulang</t>
  </si>
  <si>
    <t>Ahmad Otong</t>
  </si>
  <si>
    <t>Membuat jadwal pencucian unit DT20 ton</t>
  </si>
  <si>
    <t>LPI-12-II-2022- MACO</t>
  </si>
  <si>
    <t>1/31/2022</t>
  </si>
  <si>
    <t>KM 50  - LNR</t>
  </si>
  <si>
    <t xml:space="preserve">Fenti Ari W </t>
  </si>
  <si>
    <t>Pada tanggal 31 Januari 2022 unit DT-030-085 mengangkut material WS-1 dari CHPP menuju Tuhup di shift 2. saat setelah loading material sekitar pukul 03.00 WIB unit menuju Haju untuk parkir akhir shift. Sampai di LNR KM 50+500, operator mengalami mikrosleep, sehingga unit tidak terkendali keluar jalur muatan dan rebah ke kiri.</t>
  </si>
  <si>
    <t>Operator tidak istirahat sesuai SOP</t>
  </si>
  <si>
    <t>Coaching &amp; Sanksi Administratif Operator DT SPDK L6</t>
  </si>
  <si>
    <t>2/10/2022</t>
  </si>
  <si>
    <t>Tidak Jujur dalam pengisian bugar selamat</t>
  </si>
  <si>
    <t>Edukasi pamflet/ poster blast WAG Operator dan Pengawas pentingnya mengatur pola istirahat</t>
  </si>
  <si>
    <t>Kurang pemahaman pelaporan emergency</t>
  </si>
  <si>
    <t>Edukasi pamflet/ poster blast WAG Operator dan Pengawas pelaporan insiden</t>
  </si>
  <si>
    <t>Joko</t>
  </si>
  <si>
    <t>Kontrol fatique jam kritis tidak terlaksana 100</t>
  </si>
  <si>
    <t>Internal Memo Produksi Pembagian Area Pelaksanaan Fatique Test Jam Kritis</t>
  </si>
  <si>
    <t xml:space="preserve">Terlampir </t>
  </si>
  <si>
    <t>Pelaksanaan Couching Counseling terkait pembagian area fatigue check dan target pemeriksaan kepada pengawas</t>
  </si>
  <si>
    <t>LPI-13-II-2022- MACO</t>
  </si>
  <si>
    <t>KM 15</t>
  </si>
  <si>
    <t>Weldi</t>
  </si>
  <si>
    <t>Sdr WLD pada tanggal 5 Februari 2022 pukul 05.15 berangkat ke CSA Haju dan mengikuti P5M &amp; mengisi bugar selamat, kemudian menuju unit DT030-0114 untuk melakukan P2H (tidak ada deviasi). Pukul 06.00 WIB, sdr WLD menuju ke CHPP travel kosongan. Pukul 07.15  sampai di loading point EX28 product CO-2 kemudian melanjutkan travel ke port. Pukul 09.30 WIB  melakukan dumping material di port kemudian melanjutkan travel ke CHPP, saat melintas di jalan menanjak KM15, unit berpapasan dengan DT AKT, dikarenakan jalur penyempitan, sdr WLD inisiatif stop menepi. Saat akan melanjutkan travel, unit amblas dan sdr WLD berusaha menaikan RPM untuk maju, dikarenakan unit tidak keluar lokasi amblas, unit dioperasikan mundur dan kemudian amblas</t>
  </si>
  <si>
    <t>Maintenance road tidak maksimal 
(Perencanaan tugas tidak memadai)</t>
  </si>
  <si>
    <t>Membuat DOP Road Maintenance</t>
  </si>
  <si>
    <t>2/20/2022</t>
  </si>
  <si>
    <t>Sosialisasi DOP Road Maintenance pada P5M</t>
  </si>
  <si>
    <t>Jalan tidak standart</t>
  </si>
  <si>
    <t>Melakukan pelebaran jalan</t>
  </si>
  <si>
    <t>Melakukan loading material lunak pada jalur km15</t>
  </si>
  <si>
    <t xml:space="preserve">Tidak defensive driving </t>
  </si>
  <si>
    <t>Esra Edhy</t>
  </si>
  <si>
    <t>Memberikan coaching dan konseling</t>
  </si>
  <si>
    <t>LPI-14-II-2022- MACO</t>
  </si>
  <si>
    <t>SEAM D PIT NORTH</t>
  </si>
  <si>
    <t>Panni Sirait</t>
  </si>
  <si>
    <t>Luka robek pada tangan kanan dan betis kaki kiri</t>
  </si>
  <si>
    <t>Pada tanggal 15 Februari 2022, pukul 17.40 WIB Sdr Panni Sirait setelah P5M Mengarahkan sdr Irpan Operator Unit HD - 514 untuk menuju lokasi loading diarea puncak seam D excavator 88. 
Kemudian pada pukul 21.30 WIB kondisi batubara difront loading Exca 88 seam D habis, lalu sdr panni memanggil Sdr Dance melalui radio untuk berkoodinasi terkait dengan pemindahan lokasi loading diarea seam G. Lalu Sdr Panni sirait menuju lokasi untuk melakukan pengecekan kesiapan area, untuk proses layering akses exposed seam G
Pada pukul 21.45 WIB sdr Panni saat selesai melakukan pengecekan lokasi, kemudian sdr panni meminta material keras dan mengarahkan Operator HD 514 (Sdr Irpan) untuk dumping diarea akses expose seam G, 
Pada pukul 22.00 WIB sdr Panni berjalan menuju tower lamp dan berdiri didepan tower lamp yang berjarak kurang lebih 6 meter dari titik dumping untuk mengarahkan Operator HD 514 (Sdr Irpan) untuk melakukan manuver dibelakang unit Dozer 109
Sekitar pukul 22.04 WIB pada saat posisi unit HD 514 mundur ke titik dumpingan, tyre F1 Unit HD 514 menginjak material keras kemudian serpihan melenting dan mengenai bagian tangan kanan dan betis kaki kiri sdr. Pani. 
Setelah terkena lentingan batu, sdr panni sirait terlihat terduduk di Tower lamp, operator Unit HD 514 (Sdr Irpan) yang melihat kondisi tersebut kemudian turun dari unit untuk meberikan pertolongan dan sdr Panni mengarahkan Operator HD 514 (Sdr Irpan) untuk melakukan pelaporan kepada channel emergency di ch.18 dan atasan langsung. 
Pada Pukul 22.15 WIB tim ERT mengarah kelokasi kejadian untuk melakukan pertolongan pertama kepada sdr panni sirait, kemudian dibawa menuju klinik Lampunut. Sdr. Panni mendapatkan perawatan medis dan penjahitan pada luka terbuka di lengan tangan dan betis depan.
Selanjutnya pada tanggal 16 Februari 2022, Pukul 12.45 WIB Sdr panni sirait dirujuk ke RS Pertamina Tanjung untuk dilakukan Foto X ray karena ada suspect fracture. Dari hasil radiology yang dikeluarkan oleh dokter spesialis Dr. Deasy R. Nayoan Sp. Rad. M. Kes kesimpulan yang didapatkan tadalah pembengkakan jaringan lunak pada tangan dan kaki kiri dan tidak ada frakture.</t>
  </si>
  <si>
    <t>Posisi Pengawas (Sdr panni sirait) terlalu dekat dengan titik dumping point (berinisatif bahwa posisi didepan tower lamp adalah posisi yang aman untuk mengarahkan operator di titik dumping)</t>
  </si>
  <si>
    <t>1. Memberikan coaching kepada pengawas Sdr Panni Sirait</t>
  </si>
  <si>
    <t>3/31/2022</t>
  </si>
  <si>
    <t xml:space="preserve">Listianto </t>
  </si>
  <si>
    <t xml:space="preserve">Radius kepengawasan terlalu jauh pada saat proses perpindahaan Front </t>
  </si>
  <si>
    <t xml:space="preserve">1. Membuat Internal Memo PJO tentang penegasan pengaturan traffic manajemen diarea tambang. </t>
  </si>
  <si>
    <t xml:space="preserve">Benny Permana </t>
  </si>
  <si>
    <t xml:space="preserve">2. Menambahkan titik lokasi penempatan tower Lamp pada Daily Operation Plan Produksi </t>
  </si>
  <si>
    <t>3. Pembuatan surat penunjukan PJA dan pembagian area pengawasan di area PIT</t>
  </si>
  <si>
    <t xml:space="preserve">Pengawas Sdr (panni sirait) tidak menyadari potensi bahaya lentingan pada saat pekerjaan. </t>
  </si>
  <si>
    <t>1. Memberikan induksi di lokasi kerja oleh Atasan Langsung kepada pengawas di area PIT.</t>
  </si>
  <si>
    <t xml:space="preserve">Belum ada identifikasi bahaya lentingan material pada HIRA section produksi rev. 04 31 Desember 2021 pada proses dumping material OB . </t>
  </si>
  <si>
    <t xml:space="preserve">1. Melakukan review HIRA dan JSA section produksi </t>
  </si>
  <si>
    <t xml:space="preserve">Hadran </t>
  </si>
  <si>
    <t>Material roof seam g mempunyai kecenderungan mudah crack saat menerima penetrasi beban muatan</t>
  </si>
  <si>
    <t xml:space="preserve">1. Melakukan penyekrapan diarea titik dumping sebelum dilakukan proses dumping dimulai. </t>
  </si>
  <si>
    <t xml:space="preserve">Belum ada tempat khusus yang aman untuk pengawas dalam melakukan pengawasan di area titik dumping </t>
  </si>
  <si>
    <t xml:space="preserve">1. Membuat tempat khusus untuk radius aman kepengawasan untuk pengawas di area PIT. </t>
  </si>
  <si>
    <t>LPI-15-II-2022- MACO</t>
  </si>
  <si>
    <t>2/19/2022</t>
  </si>
  <si>
    <t>KM 32</t>
  </si>
  <si>
    <t xml:space="preserve">Davit septa hutomo </t>
  </si>
  <si>
    <t>Unit DT030-0087 saat melintas di Jalur SHR KM32 setelah melakukan dumping batubara di port pukul 08.45 WIB. Setelah beberapa menit sebelumnya hujan rintik, kondisi jalan menjadi agak licin yang membuat DT slip. Operator berusaha mengembalikan posisi unit agar lurus kembali, kemudian kaget karena ada unit yang akan melintas. operator berusaha menekan sevice brake dan mengaktifkan parking brake, tapi unit tetap berjalan menuju tanggul</t>
  </si>
  <si>
    <t>Operator overspeed (53 km/jam) di area batas kecepatan maksimal 30 km/jam</t>
  </si>
  <si>
    <t>Sanksi disiplin sesuai aturan yang berlaku</t>
  </si>
  <si>
    <t>3/20/2022</t>
  </si>
  <si>
    <t>Resosialisasi batas kecepatan saat P5M</t>
  </si>
  <si>
    <t>Jalan belum sepenuhnya kering</t>
  </si>
  <si>
    <t>Melakukan observasi jalan segmen AWR terbatas</t>
  </si>
  <si>
    <t>Belum dilakukan reassesment kondisi terkini terhadap jalan di segmen km 32</t>
  </si>
  <si>
    <t>Reassessment kondisi jalan terkini untuk penentuan status AWR</t>
  </si>
  <si>
    <t>Operator memaksakan lewat dengan kecepatan berlebih</t>
  </si>
  <si>
    <t xml:space="preserve">Sosialisasi TARP di P5M </t>
  </si>
  <si>
    <t>Pasang banner TARP di jalan hauling dan lokasi tambang</t>
  </si>
  <si>
    <t xml:space="preserve">Rambu TARP Sudah Dipasang oleh pras evidence menyusul </t>
  </si>
  <si>
    <t>LPI-16-II-2022- MACO</t>
  </si>
  <si>
    <t>Selasa, 22 Februari 2022 pada 08.00 WIB</t>
  </si>
  <si>
    <t>Bambang Sugito</t>
  </si>
  <si>
    <t>Sekitar pukul 08:00 WIB, DT 012 melewati area penyempitan km 28 jalur kosongan. Pada saat bersamaan terdapat DT AKT dari arah berlawanan dari sisi muatan sehingga Operator DT 012 bermaksud meminggirkan unitnya untuk memberi kesempatan agar DT AKT muatan bisa lewat. Saat menepi tersebut roda kiri belakang DT 012 amblas di bagian pinggir jalan yang lunak.</t>
  </si>
  <si>
    <t>Operator gagal mengikuti prosedur</t>
  </si>
  <si>
    <t>Melakukan konseling kepada operator DT 012</t>
  </si>
  <si>
    <t>3/6/2022</t>
  </si>
  <si>
    <t xml:space="preserve">Tata lingkungan yang buruk </t>
  </si>
  <si>
    <t>Melakukan loading spoil di jalan Km 28</t>
  </si>
  <si>
    <t>Maintenance jalan yang belum optimal</t>
  </si>
  <si>
    <t>Melakukan penjadwalan loading spoil jalan hauling</t>
  </si>
  <si>
    <t>LPI-17-II-2022- MACO</t>
  </si>
  <si>
    <t>2/23/2022</t>
  </si>
  <si>
    <t>KM 2</t>
  </si>
  <si>
    <t>Sandy</t>
  </si>
  <si>
    <t>Cabin Operator Terbakar</t>
  </si>
  <si>
    <t>Pada tanggal 23 Februari 2022, unit DT040-0010 melakukan operasional pengangkutan batubara dari room CHPP menuju Room Port. Pada saat melintas di km 20+100 operator melihat ke spion dan terdapat asap hitam, kemudian operator langsung parkir dan berhenti di km 2 dan memastikan panel monitor (tidak ditemukan warning pada indikator). Operator melaporkan kepada pengawas dan kemudian turun dari unit untuk memastikan kondisi unit (tidak ditemukan kendala). Setelah memerikasa unit operator kembali kedalam unit untuk mengisi timesheet karena ingin membreakdownkan unit. Pada saat mengisi time sheet terdapat DT030-0117 melintas dan  mengatakan “asap dan mungkin unit terbakar”. Operator  turun melihat unit terbakar dan meminta bantuan untuk memadamkan unit. Setelah padam kemudian operator diatarkan oleh pengawas untuk dilakukan pemeriksaan ke klinik Tuhup, dari hasil pemeriksaan tidak ada cidera.</t>
  </si>
  <si>
    <t>USC-3 Noise absorben/Glasbull menyentuh housing turbo yang panas</t>
  </si>
  <si>
    <t>Dilakukan pemeriksaan kepada semua Absorben cabin unit DT Hauling</t>
  </si>
  <si>
    <t>Operator kurang pemahaman dalam penanganan emergency (Penggunaan APAR)</t>
  </si>
  <si>
    <t>Melakukan refresh pelaporan prosedur emergency dan penggunaan APAR</t>
  </si>
  <si>
    <t>Robby</t>
  </si>
  <si>
    <t>Pemeriksaan noise absorben belum dimasukkan dalam checklist pemeriksaan saat PI dan PS</t>
  </si>
  <si>
    <t>Memasukakkan pemeriksaan noise absorben dalam chcklist PI dan PS</t>
  </si>
  <si>
    <t>3/15/2022</t>
  </si>
  <si>
    <t>Operator tidak melapor ke channel emergency saat melihat asap</t>
  </si>
  <si>
    <t>Tidak terlihat oleh operator saat P2H</t>
  </si>
  <si>
    <t>Sosialisasi potensi bahaya Glasbull kepada operator jika terpapar benda panas</t>
  </si>
  <si>
    <t>LPI-18-III-2022- MACO</t>
  </si>
  <si>
    <t>3/1/2022</t>
  </si>
  <si>
    <t>KM 51</t>
  </si>
  <si>
    <t>Hendra</t>
  </si>
  <si>
    <t>DI awal shift, setelah mengikuti P5M, operator melakukan P2H unti DT106, dinyatakan aman untuk dioperasikan. Operator kemudian membawa muatan menuju port, setelah menunggu kondisi aman, DT106 baru diijinkan dumping. Operator kemudian lanjut menuju CHPP untuk loading. Setelah loading di ROM dan makan malam, pukul 23:30 WIB operator DT106 melanjutkan perjalanan menuju port. Pada pukul 00:40 WIB setelah melewati tikungan ke kiri di KM 51, operator hilang kendali dan unit mengarah ke kanan hingga menabrak tanggul sisi kosongan, lalu rebah</t>
  </si>
  <si>
    <t>Operator Mengalami Microsleep</t>
  </si>
  <si>
    <t>Sanksi disiplin sesuai SPDK dan aturan perusahaan</t>
  </si>
  <si>
    <t>3/25/2022</t>
  </si>
  <si>
    <t>Komite Disiplin</t>
  </si>
  <si>
    <t>Resosialisasi pengelolaan fatique di P5M</t>
  </si>
  <si>
    <t>Overspeed (53km/jam) saat memasuki tikungan</t>
  </si>
  <si>
    <t>Tidak mengambil waktu istirahat di area CHPP</t>
  </si>
  <si>
    <t>Resosialisasi pengelolaan fatigue dalam P5M operator</t>
  </si>
  <si>
    <t>Membuat safety campaign tentang fatigue manajemen</t>
  </si>
  <si>
    <t>Observasi Fatigue tidak dilakukan</t>
  </si>
  <si>
    <t>Konseling pengawas</t>
  </si>
  <si>
    <t>briefing pengawas mengenai pentingnya pelaksanaan observasi fatique</t>
  </si>
  <si>
    <t>LPI-19-III-2022- MACO</t>
  </si>
  <si>
    <t>Senin, 07 Maret 2022 pada pukul 23.45 WIB</t>
  </si>
  <si>
    <t>KM 13</t>
  </si>
  <si>
    <t>Abdul Haris</t>
  </si>
  <si>
    <t>Setelah beristirahat di km 34, Sekitar pukul 00:00 Operator DT 030-104 melanjutkan perjanan membawa muatan dari ROM CHPP menuju port. Saat memasuki km 14 turun hujan. Memasuki km 13 tanjakan unit DT104 slip dan mundur perlahan sejauh 26 meter.</t>
  </si>
  <si>
    <t>Jalan belum digravel</t>
  </si>
  <si>
    <t>1. Melakukan perkerasan jalan dengan gravel di segmen high risk sesuai plan</t>
  </si>
  <si>
    <t>Gagal mengikuti prosedur TARP</t>
  </si>
  <si>
    <t>1. Pembinaan sesuai aturan yang berlaku</t>
  </si>
  <si>
    <t>2. Incident Recall</t>
  </si>
  <si>
    <t>3. Grounded operator sesuai SOP</t>
  </si>
  <si>
    <t>LPI-20-III-2022- MACO</t>
  </si>
  <si>
    <t>3/8/2022</t>
  </si>
  <si>
    <t>KM 14.500</t>
  </si>
  <si>
    <t>Suhermanto</t>
  </si>
  <si>
    <t>01. Sekitar jam 09.20 Wib, Operator DT 030-103 selesai dumping dari port dan kembali menuju CHPP.
02. Sekitar pukul 09.38 WIB, Operator DT 030-103 tiba di tikungan hauling SHR Km 14.500 dan melihat FT 083 sedang berhenti di tepi jalan arah kosongan untuk
memberikan kesempatan kepada DT dari arah muatan melintas.
03. Setelah DT 030-019 dari arah muatan melintasi FT 083, Operator DT 030-103 membanting stir ke kanan bermaksud mendahului FT 083 tanpa melakukan
komunikasi 2 arah namun dari arah berlawanan / muatan masih terdapat 1 DT yang sedang melintas.
04. Operator DT 030-103 kaget dan membanting setir ke kiri dibarengi pengereman secara mendadak untuk menghindari tabrakan dengan DT 030-111 dan justru
menabrak bagian belakang kanan (box attcahment) FT 083.</t>
  </si>
  <si>
    <t>Proses evaluasi terhadap perilaku / kepatuhan opeartoe saat mengemudi belum optimal</t>
  </si>
  <si>
    <t>Melakukan evaluasi perilaku operator saat mengemudi melalui analisa dash camera sesuari target 50%</t>
  </si>
  <si>
    <t>Tidak terdapat rambu peringatan bahaya dan prioritas muatan arah kosongan di SHR Km 14.500 (Hanya rambu tikungan, kecepatan 20, petunjuk arah)</t>
  </si>
  <si>
    <t>Memasang rambu peringatan bahaya (komunikasi 2 arah) dan prioritas muatan</t>
  </si>
  <si>
    <t>Operator DT 030-103 tidak melakukan komunikasi 2 arah dengan FT 083 yang berada di depannya</t>
  </si>
  <si>
    <t>Memberikan sanksi sesuai dengan SPDK dan PKB yang berlaku</t>
  </si>
  <si>
    <t>Operator DT 030-103 tidak mengurangi kecepatan saat mendekati tikungan SHR Km 14.500
(Tacograph 51 km/jam dan bekas pengereman 7 meter sebelum benturan)</t>
  </si>
  <si>
    <t>Operator FT 083 berhenti di tepi jalan tanpa memberikan tanda bahaya (radio maupun hazard lamp) kepada pengguna jalan lainnya (based on rekaman kamera)</t>
  </si>
  <si>
    <t>Haris Abi</t>
  </si>
  <si>
    <t>Kurangnya Awareness Karyawan dalam mematuhi prosedur pengoperasian unit di jalan hauling</t>
  </si>
  <si>
    <t>Memberikan pelatihan Pengenalan bahaya melalui training Basis Safety Awarnes (BSA) kepada operator</t>
  </si>
  <si>
    <t>7/30/2022</t>
  </si>
  <si>
    <t>Standar jalan yang tidak memadai</t>
  </si>
  <si>
    <t>Melakukan pemeriksaan kondisi aktual jalan terutama di area kritis dan melakukan perbaikan sesuai STD jalan tambang</t>
  </si>
  <si>
    <t>Anggi Okta &amp; PJA Hauling AMC</t>
  </si>
  <si>
    <t>Pemeliharaan rambu-rambu yang tidak layak</t>
  </si>
  <si>
    <t>Melakukan penilaian dan melengkapi kebutuhan rambu-rambu jalan hauling (retro, umbul-umbul, dll)</t>
  </si>
  <si>
    <t>Kurang pengawasan terhadap pemanfaatan teknologi pengamatan perilaku operator</t>
  </si>
  <si>
    <t>Tidak terdapat peralatan penanganan tumpahan / spill kit unit FT 083</t>
  </si>
  <si>
    <t>Melengkapi spill kit untuk penanganan tumpahan pada semua FT</t>
  </si>
  <si>
    <t>LPI-21-III-2022- MACO</t>
  </si>
  <si>
    <t>KM 34</t>
  </si>
  <si>
    <t>Surtono</t>
  </si>
  <si>
    <t>Ketika melintas di Km 34 DT013 posisi muatan operator berniat parkir untuk buang air kecil. Saat akan parkir dengan pertimbangan agar tidak mengganggu jalan unit diarahkan terlalu kekiri sehingga roda kiri amblas. Saat unit mengarah ke sisi luar jalur hauling, unit mengalami amblas, operator kemudian menyampaikan kejadian tersebut ke pengawas</t>
  </si>
  <si>
    <t>Base jalan lembek pada bahu jalan</t>
  </si>
  <si>
    <t>Pemasangan rambu larangan berhenti di sisi luar jalur hauling pada Km 34</t>
  </si>
  <si>
    <t>Tidak mengikuti aturan (tidak parkir di jalur hauling)</t>
  </si>
  <si>
    <t>Pembinaan sesuai aturan yang berlaku</t>
  </si>
  <si>
    <t>Incident recall</t>
  </si>
  <si>
    <t>Refresh inclass pengoperasian DT</t>
  </si>
  <si>
    <t>Tafsal</t>
  </si>
  <si>
    <t>LPI-22-III-2022- MACO</t>
  </si>
  <si>
    <t>3/9/2022</t>
  </si>
  <si>
    <t>Timbangan Port</t>
  </si>
  <si>
    <t>Ifan Sibarani</t>
  </si>
  <si>
    <t>Saat maintenance / pemebersihan rumput pada tanggul di jalur km 1-port-laydown menggunakan EXC010-0002, saat sampaidi dekat timbangan operator Exca 02 menggaruk kabel optik yang cross jalan arah office Tuhup ke office warehaouse yang ditanam pada tanggul lapisan atas. Pada lokasi tidak terdapat informasi kabel tanam</t>
  </si>
  <si>
    <t>Tidak ada sign/informasi kabel tanam</t>
  </si>
  <si>
    <t>Pemasangan sign/informasi kabel tanam di port</t>
  </si>
  <si>
    <t>Dalim</t>
  </si>
  <si>
    <t>Tidak ada JSA pekerjaan Cleaning tanggul dengan PC135</t>
  </si>
  <si>
    <t>Membuat JSA pekerjaan cleaning tanggul dengan PC135</t>
  </si>
  <si>
    <t>Gagal mengikuti prosedur</t>
  </si>
  <si>
    <t>Memberikan pembinaan kepada pengawas</t>
  </si>
  <si>
    <t>Melakukan supervisi penggunaan ijin kerja</t>
  </si>
  <si>
    <t xml:space="preserve">Akan dilakukan pengajuan jika ada pekerjaan produksi yang membutuhkan ijin kerja </t>
  </si>
  <si>
    <t>Pengawas beranggapan tidak ada kegiatan penggalian dan tidak mengharuskan mengajukan ijin kerja</t>
  </si>
  <si>
    <t>Sosialisasi ijin kerja penggalian ke pengawas road maintenance</t>
  </si>
  <si>
    <t>LPI-23-III-2022- MACO</t>
  </si>
  <si>
    <t>3/12/2022</t>
  </si>
  <si>
    <t>Room Raw CHPP</t>
  </si>
  <si>
    <t>Willy Sukmana</t>
  </si>
  <si>
    <t>1. Pada Pukul 04.30 WIB Operator DT030-135 bangun pagi, mandi untuk persiapan berangkat kerja, kemudian ke kantin dan menuju manhaul pukul 05.00 WIB untuk menuju ke CSA
2. Pada Pukul 05.30 WIB Operator DT 030-135 sampai di CSA untuk mengikuti P5M yang di sampaikan oleh pengawas dengan materi kondisi licin dan menjaga jarak aman, dan setingan pada shift.
3. Pada pukul 05.35 Operator DT 030-135 menuju unit untuk melakukan P2H, tidak ada temuan kemudian lanjut menuju ke CHPP untuk mengambil muatan di rom-raw CHPP
4. Pada pukul 06.51 WIB operator DT030-135 antri Rom Raw untuk menunggu intruksi loading dari pengawas rom CHPP, kemudian mendapat instruksi untuk menuju loading CO1 unit wheel loader 04
5. Pada pukul 06.58 WIB Opertor DT030-135 menuju  loading point di CO-1 WA 04, pada saat mendekati akses masuk operator DT030-135 membelokan unit ke kiri, kemudian sliding ke kanan dan menabrak tanggul
6. Pada pukul 07.00 WIB operator DT030-135 melaporkan kejadian ke pada pengawas Rom Raw CHPP untuk meminta bantuan dan pengecekan dilokasi kejadian
7. Pada Pukul 017.15 WIB operator DT030-135 dibawa ke klinik ISOS untuk dilakukan pengecekan pasca insiden</t>
  </si>
  <si>
    <t>Kondisi jalan masuk menuju front loading WA 04 licin (fakta bekas tyre DT 030-135 slip)</t>
  </si>
  <si>
    <t>Melakukan penyecrapan jalan pasca hujan/slippery</t>
  </si>
  <si>
    <t>3/16/2022</t>
  </si>
  <si>
    <t>Operator DT 030-135 beroperasi pada kecepatan yang salah/overspeed dijalan rambu 20 km/jam (fakta speed 39 km/jam)</t>
  </si>
  <si>
    <t>Pengawas tidak melakukan inspeksi awal kesiapan lokasi kerja (fakta tidak ditemukan bukti inspeksi awal shift)</t>
  </si>
  <si>
    <t>Memberikan sanksi sesuai dengan SPDK dan PKB yang berlaku (Pengawas)</t>
  </si>
  <si>
    <t>Belum terdapat standart parameter kategori jalan yang perlu dilakukan slippery</t>
  </si>
  <si>
    <t>Membuat dokumen MOC dan kendali resiko di area jalan AWR terbatas serta melakukan sosialisasi pada seluruh karyawan</t>
  </si>
  <si>
    <t>Progress routing to KTT</t>
  </si>
  <si>
    <t>Belum dilakukan review / kaji ulang terkait ketebalan gravel sejak jalan digunakan</t>
  </si>
  <si>
    <t>Melakukan penambahan gravel jalan ROM RAW</t>
  </si>
  <si>
    <t xml:space="preserve">No evidence </t>
  </si>
  <si>
    <t>Sudah dilayering saya cek sendiri di akses masuk ROM</t>
  </si>
  <si>
    <t>LPI-24-III-2022- MACO</t>
  </si>
  <si>
    <t>3/18/2022</t>
  </si>
  <si>
    <t>KM 37</t>
  </si>
  <si>
    <t>Sukarianto</t>
  </si>
  <si>
    <t>Pukul 06.00 driver LV mengikuti P5M di CSA, kemudian setelah itu driver LV menuju LV 111 untuk melakukan P2H, pada pelaksanaan P2H (tidak ditemukan deviasi), Driver LV berangkat dari CSA ke mining PT AKT untuk pengecekan lokasi loading material OB, Driver LV mengoperasikan LV dengan kecepatan 40Km/jam, pada Km 37 driver LV melihat terdapat genangan air di jalan dan inisiatif melewatinya. Saat melintas genangan air tersebut unit mengalami amblas. Driver LV kemudian stop dan keluar dari unit melakukan pemeriksaan. Ditemukan cekungan seperti bekas ban HD dalamnya sekitar 30 cm dan berbatu kemudian driver LV berusaha mundur untuk mengeluarkan mobil yang amblas, pada unit bagian depan mengalami rusak bemper dan terdapat penyok pada sisi sebelah depan kanan kemudian driver LV melaporkan ke atasan terkait kondisi tersebut</t>
  </si>
  <si>
    <t>Tidak ada rambu informasi jalan</t>
  </si>
  <si>
    <t>Pemasangan rambu informasi rawan kecelakaan sebelum masuk akses ke mining PT AKT</t>
  </si>
  <si>
    <t>4/5/2022</t>
  </si>
  <si>
    <t>Prasetyo W</t>
  </si>
  <si>
    <t>Driver tidak mengurangi kecepatan saat melintas genangan air di jalan</t>
  </si>
  <si>
    <t>Incident Recall</t>
  </si>
  <si>
    <t>Refresh Inclass pengoperasian LV</t>
  </si>
  <si>
    <t>Slamet W</t>
  </si>
  <si>
    <t>Terdapat lubang sedalam 30 cm di tengah jalan</t>
  </si>
  <si>
    <t>Layering dengan material keras</t>
  </si>
  <si>
    <t>LPI-25-IV-2022- MACO</t>
  </si>
  <si>
    <t>4/2/2022</t>
  </si>
  <si>
    <t>KM3</t>
  </si>
  <si>
    <t>Iswahyudi</t>
  </si>
  <si>
    <t>Tanggal  2 April 2022 masuk shift 1
Pukul 04.30 berangkat CSA
Kemudian melihat settingan unit, karena unit pegangan saya breakdown (DT 149), maka saya lihat settingan unit, Saat lihat settingan saya di setting di unit DT 019
kemudian saya menuju ke unit tersebut dan melakukan P2H dan unit layak operasi
kemudian saya berangkat menuju tuhup untuk dumping material WS-2 gantungan shift 2
Sekitar pukul 06,30 sampai tuhup, langsung dumping material WS2
Setelah itu sekitar pukul 07.00 saya balik ke ccpp ambil muatan ws 1.
Sekitar pukul 09.00 turun dari chpp dan sekitar pukul  11.00 dumping dituhup
Kemudian saya lanjut ke chpp sampai chpp pukul 13.00 ambil muatan GC1, kemudian saya istirahat di dekat jembatan lampunut untuk makan
Habis makan langsung berangkat
sekitar pukul 15.50 posisi saya sampai SHR KM 3 dengan beriringan unit DT 155
Pada saat menanjak KM 3 muatan saya berpapasan dengan sepeda motor, sehingga otomatis mengurangi kecepatan.
karena ditanjakan dan posisi speed saya awal nya 11 maka unit tersebut tiba-tiba mati engine.
setelah mati engine, unit termundur kemudian saya mengaktofkan parking brake dan foot brake tetapi tidak mampu melawan gravitasi unit bermuatan.
saat unit terseret turun, saya coba menyalakan engine dan engine berhasil running.
saya mencoba untuk memasukkan transmisi mundur supaya bisa mengimbangi unit.
tetapi saya tidak bisa memasukkan transmisi mundur sehingga unit mundur dan menabrak tanggul sisi kanan</t>
  </si>
  <si>
    <t>Operator terlambat melakukan shifting transmisi rendah saat jalan menanjak sehingga unit kehilangan power setelah mengurangi kecepatan</t>
  </si>
  <si>
    <t>SPDK Sanksi administrasi Operator DT SPDK L2</t>
  </si>
  <si>
    <t>4/15/2022</t>
  </si>
  <si>
    <t>Helmy</t>
  </si>
  <si>
    <t>Kurangnya informasi bahaya gagal shifting</t>
  </si>
  <si>
    <t>Mapping penggunaan gear unit DT di jalur SHR</t>
  </si>
  <si>
    <t>Insiden recall ke operator saat P5M</t>
  </si>
  <si>
    <t>Rambu peringatan bahaya masih bersifat umum (untuk LV dan DT)</t>
  </si>
  <si>
    <t>Pemasangan rambu pemindahan transmisi di SHR Km 3</t>
  </si>
  <si>
    <t>Operator tidak memperhatikan panel indikator transmisi saat berada di tanjakan</t>
  </si>
  <si>
    <t>Refresh training pengoperasian unit</t>
  </si>
  <si>
    <t>Kurang pemahaman karena faktor kebiasaan menggunakan speed 11 saata di tanjakan</t>
  </si>
  <si>
    <t>Coaching operator DT</t>
  </si>
  <si>
    <t>LPI-26-IV-2022- MACO</t>
  </si>
  <si>
    <t>4/8/2022</t>
  </si>
  <si>
    <t>KM 26</t>
  </si>
  <si>
    <t>Elsano Harapandie</t>
  </si>
  <si>
    <t>Pada tanggal 8 April 2022, Sdr Elsano bangun pukul 04.10 WIB kemudian persiapan bekerja dan ke kantin.
Pukul 05.25 berangkat menaiki Manhaul 13 ke CSA untuk  mengikuti P5m, setelah itu menuju ke unit DT28 untuk P2H (tidak ada deviasi). 
Pukul 06.15 sdr Elsano berangkat mengoperasikan unit untuk travel muatan.
Pukul 07.30 WIB unit dumping material  di Tuhup. Setelah dumping unit langsung melanjutkan travel ke CHPP. Saat melintas di tanjakan km 26, unit berpapasan dengan MH 010 dan 3 unit DT muatan lainnya kemudian unit menepi ke sisi kiri, setelah muatan melintas dan unit kosongan dibelakang DT28 juga dipersilahkan melintas, saat DT28 akan bergerak maju unit mengalami slip, operator inisiatif melakukan pergerakan mundur sehingga unit mengalami amblas</t>
  </si>
  <si>
    <t>Operator mengambil jalur terlalu ke kiri saat menepi (membahayakan diri sendiri)</t>
  </si>
  <si>
    <t>Insiden recall saat P5M kepada semua operator</t>
  </si>
  <si>
    <t>4/20/2022</t>
  </si>
  <si>
    <t>Perencanaan menepi yang tidak tepat</t>
  </si>
  <si>
    <t>Grounded operator</t>
  </si>
  <si>
    <t>Refresh Inclass pengoperasian DT</t>
  </si>
  <si>
    <t>LPI-27-IV-2022- MACO</t>
  </si>
  <si>
    <t>4/9/2022</t>
  </si>
  <si>
    <t>Tempat Pencucian LV area CHPP</t>
  </si>
  <si>
    <t>R. Muhamad Mumin M.</t>
  </si>
  <si>
    <t xml:space="preserve">Pada tanggal 9 April 2022 sekitar pukul 11.00 WIB Sdr Mumin memasuki area pencucian LV CHPP sendirian bermaksud untuk mencuci unit LV113. 
Pukul 11.45 WIB selesai melakukan pencucian LV 113, setelah selesai pencucian ybs akan memundurkan LV 113 dari tempat pencucian dengan memundurkan sarana LV 113 setelah melihat posisi tyre sebelah kiri berada ditepi ramdor tangga pencucian langsung berinisiatif memajukan kembali LV 113 sambil memutar stering ke kiriuntuk memposisikan tyre agar tidak terlalu ke tepi ramdor tangga pencucian, tetapi setelah memutar stering kekanan sambil mundur tiba-tiba tyre dapan sebelah kanan jatuh di selah-se;ah pencucian </t>
  </si>
  <si>
    <t>Tidak ada rambu wajib spoter</t>
  </si>
  <si>
    <t>Melakukan pemasangan rambu wajib Spoter</t>
  </si>
  <si>
    <t>4/12/2022</t>
  </si>
  <si>
    <t>Terdapat tiang pembatas ramdor sebelah kiri lepas</t>
  </si>
  <si>
    <t>Melakukan pemasangan kembali pembatas ramdor</t>
  </si>
  <si>
    <t>4/11/2022</t>
  </si>
  <si>
    <t>Bayu Aska</t>
  </si>
  <si>
    <t>Tidak ada PIC area, dilokasi pencucian sehingga tidak ada yang bertanggung jawab melakukan perbaikan</t>
  </si>
  <si>
    <t>Melakukan penunjukan PIC Pencucian</t>
  </si>
  <si>
    <t>HRGA AMC</t>
  </si>
  <si>
    <t>Driver merasa percaya diri saat naik dan turun di lokasi pencucian tanpa adanya spotter</t>
  </si>
  <si>
    <t>Memberikan sanksi SPDK kepada Sdr R M Mumin Maramis Lubang 2</t>
  </si>
  <si>
    <t>4/14/2022</t>
  </si>
  <si>
    <t>LPI-28-IV-2022- MACO</t>
  </si>
  <si>
    <t>KM70</t>
  </si>
  <si>
    <t>Ismail</t>
  </si>
  <si>
    <t>Pada tanggal 10 April pukul 13.00 WIB MCR mendapat laporan dari operator WT52 mengenai informasi bahwa unit WT52 mengalami BD di area waterfill Km 70. Kemudian unit WT52 menuju ke Workshop CHPP untuk melakukan perbaikan. Dari pemeriksaan yang dilakukan oleh mekanik ditemukan kebocoran pada pompa srayer dan unit dilakukan perbaikan. Unit ready pada shift malam. Kemudian pada tanggal 11 April 2022 ditemukan ceceran oli di area waterfill oleh tim AMC dan melaporkan temuan tersebut ke SHE dan diteruskan ke Plant. Setelah mendapat laporan, tim Plant langsung menuju ke lokasi waterfill km 70 dan melakukan pembersihan material yang terkontaminasi dengan spill kit. Kemudian material kontaminasi dibawa ke collecting point B3 workshop CHPP dan dilakukan pengemasan.</t>
  </si>
  <si>
    <t>Terdapat kebocoran pada area pompa sprayer</t>
  </si>
  <si>
    <t>Melakukan perbaikan  seal pompa sprayer</t>
  </si>
  <si>
    <t>4/13/2022</t>
  </si>
  <si>
    <t>Kondisi seal pompa belum terindetifikasi oleh mekanik saat unit mengalami kebocoran oil</t>
  </si>
  <si>
    <t xml:space="preserve">Melakukan peningkatan kualitas PI dan Konseling mekanik PI </t>
  </si>
  <si>
    <t>4/23/2022</t>
  </si>
  <si>
    <t>Ceceran oli tidak teridentifikasi oleh mekanik saat unit mengalami kebocoran oil</t>
  </si>
  <si>
    <t>Melakukan konseling atau pembinaan kepada mekanik</t>
  </si>
  <si>
    <t>Pelaporan operator belum lengkap terkait adanya ceceran oli dan meminta penanganan ceceran karena operator belum paham terkait penanganan ceceran</t>
  </si>
  <si>
    <t>Melakukan sosialisasikepada seluruh operator terkait pelaporan jika unit BD Kebocoran oli harus secara detail untuk meminta penanganan ceceran</t>
  </si>
  <si>
    <t>Hendrik</t>
  </si>
  <si>
    <t>Melakukan konseling atau pembinaan kepada operator WT020-052</t>
  </si>
  <si>
    <t>LPI-29-IV-2022- MACO</t>
  </si>
  <si>
    <t>Workshop Haju</t>
  </si>
  <si>
    <t>Muhlis</t>
  </si>
  <si>
    <t>Pada saat maintenance Parit di depan area workshop Haju, operator PC tidak mengetahui Bucket PC mengenai kabel dan menyebabkan Kabel Terputus</t>
  </si>
  <si>
    <t>Ijin kerja tidak ada</t>
  </si>
  <si>
    <t>Evidence menyusu (by Pras SHE)</t>
  </si>
  <si>
    <t>4/25/2022</t>
  </si>
  <si>
    <t>Sanksi kepada pengawas sesuai SPDK (Arman,Konseling)</t>
  </si>
  <si>
    <t>Rencana perbaikan insiden sebelumnya tidak dilakukan pencegahan dengan baik</t>
  </si>
  <si>
    <t>Sanksi kepada Supervisor sesuai SPDK (Helmy, Konseling)</t>
  </si>
  <si>
    <t>Tidak tersedia JSA pekerjaan Cleaning tanggul PC 135</t>
  </si>
  <si>
    <t>Evidence yang terlampir tidak jelas, proses minta to pak okta (by suta)</t>
  </si>
  <si>
    <t>4/22/2022</t>
  </si>
  <si>
    <t>Pemasangan sign/informasi kabel tanam</t>
  </si>
  <si>
    <t>Tidak terdapat peta layout jalur kabel di Area Haju</t>
  </si>
  <si>
    <t>Update peta layout area camp Haju</t>
  </si>
  <si>
    <t>LPI-30-IV-2022- MACO</t>
  </si>
  <si>
    <t>KM 65</t>
  </si>
  <si>
    <t>Mario Salis Nanda</t>
  </si>
  <si>
    <t>Pada pukul 15.00 WIB, Operator DT 090 loading di WA 04 material gantungan GC 01, kemudian operator DT 090 menuju CSA Haju, sampai di Jembatan Bao - Bao, tiba2 rem tidak berfungsi, unit tidak dapat dikendalikan kemudian bagian vessel menyenggol jembatan Bao - Bao.</t>
  </si>
  <si>
    <t>Operator memaksakan mengoperasikan unit dalam kondisi tidak layak operasi</t>
  </si>
  <si>
    <t xml:space="preserve">Memberikan sanksi kepada Oprt DT 030-090 sesuai SPDK dan PKB </t>
  </si>
  <si>
    <t xml:space="preserve">Mario salis nanda cuti - akan ditindaklanjuti pada saat onsite - konfirm by pak okta </t>
  </si>
  <si>
    <t>15 Mei 2022</t>
  </si>
  <si>
    <t>Melakukan refresh pengoperasian unit DT di jalan hauling kepada semua operator DT Hauling</t>
  </si>
  <si>
    <t xml:space="preserve">Progress pelaksanaan refresh </t>
  </si>
  <si>
    <t>31 Mei 2022</t>
  </si>
  <si>
    <t>Operator tidak mengikuti rambu lalu lintas gear transmisi 7 yang telah di tetapkan di jalan Turunan LNR</t>
  </si>
  <si>
    <t>Pengawas tidak melakukan kontrol ulang terhadap kesiapan unit pasca perbaikan</t>
  </si>
  <si>
    <t xml:space="preserve">Memberikan sanksi kepada Pengawas Produksi sesuai SPDK dan PKB </t>
  </si>
  <si>
    <t xml:space="preserve">Helmy </t>
  </si>
  <si>
    <t xml:space="preserve">Memberikan sanksi kepada Pengawas Plant  sesuai SPDK dan PKB </t>
  </si>
  <si>
    <t>Roery</t>
  </si>
  <si>
    <t>Indash camera untuk pemantauan perilaku operator saat mengemudi belum optimal</t>
  </si>
  <si>
    <t>Melakukan pemeriksaan dan perbaikan indash camera</t>
  </si>
  <si>
    <t>Melakukan evaluasi camera dengan merk lain/ menggunakan radar</t>
  </si>
  <si>
    <t>9/23/2022</t>
  </si>
  <si>
    <t>Optimalisasi aplikasi volvo connect</t>
  </si>
  <si>
    <t>30 Juni 2022</t>
  </si>
  <si>
    <t>Pengawas tidak melakukan validasi P2H</t>
  </si>
  <si>
    <t>Kurangnya Awareness Karyawan dalam memahami potensi bahaya dan resiko pengoperasian di jalan Hauling</t>
  </si>
  <si>
    <t>Melanjutkan pelatihan Basic Safety Awareness (BSA) kepada semua operator DT Hauling hingga 100%</t>
  </si>
  <si>
    <t>ON PROGRESS</t>
  </si>
  <si>
    <t>31 Juli 2022</t>
  </si>
  <si>
    <t>Menjalankan kembali program custodian operator oleh pengawas dan menjadikan salah satu parameter penilaian Kinerja Operator dan pengawas</t>
  </si>
  <si>
    <t xml:space="preserve">Continue - evaluasi pencapaian program belum ada </t>
  </si>
  <si>
    <t>Belum dilakukan evaluasi kualitas dan efektifitas indash camera cabin</t>
  </si>
  <si>
    <t>Melakukan evaluasi efektifitas technologi indash camera</t>
  </si>
  <si>
    <t xml:space="preserve">Rasio Pengawas Manpower kurang </t>
  </si>
  <si>
    <t>Melakukan pemenuhan ratio manpower pengawas MPS</t>
  </si>
  <si>
    <t xml:space="preserve">Progress pemenuhan MPS </t>
  </si>
  <si>
    <t>Form P2H yang ada bisa digunakan untuk 2 unit tetapi tanda tangan pengawas hanya ada 1 kolom</t>
  </si>
  <si>
    <t>Melakukan revisi form P2H unit DT</t>
  </si>
  <si>
    <t>Distribusi form P2H yang telah di revisi</t>
  </si>
  <si>
    <t>Rasio Instruktur Operation Kurang</t>
  </si>
  <si>
    <t>Melakukan pemenuhan ratio manpower instruktur Operation</t>
  </si>
  <si>
    <t>LPI-31-IV-2022- MACO</t>
  </si>
  <si>
    <t>4/17/2022</t>
  </si>
  <si>
    <t>KM 24</t>
  </si>
  <si>
    <t>Doni Damara</t>
  </si>
  <si>
    <t>Setelah dumpig di port rit ke-2 operator berangkat menuju km 44 untuk beristirahat. Pukul 04.20 WIB di Km 24 SHR kecepatan saat itu 50 km/jam, posisi tanjakan, tikungan ke kiri, ybs melihat warga sedang berjalan di tengah jalan, Operator mencoba menjauhi dengan mengarahkan unit ke kiri kemudian kembali lurus, saat unit mengarah ke kiri, cover lampu depan depan membentur bundwall. Operator tidak langsung berhenti di tempat karena merasa lokasi tidak aman di km 25 jalan yang datar, operator berhenti untuk memeriksa kondisi unit ditemukan cover lampu depan kiri pecah, operator kembali melanjutkan perjalanan ke dispatch (km 26) untuk memeriksa kembali unit dari kemungkinan rusak, ybs kemudian melanjutkan perjalanan menuju CSA Haju dan melaporkan kejadian kepada pengawas malam (sdr. Ervan) Pengawas meminta agar unit diparkirkan ditempat yang aman</t>
  </si>
  <si>
    <t>Mengoperasikan dengan kecepatan tidak layak</t>
  </si>
  <si>
    <t>Sanksi disiplin sesuai dengan SPDK yang berlaku</t>
  </si>
  <si>
    <t>30/04/2022</t>
  </si>
  <si>
    <t>Refresh Ke SHE Section selama 3 hari</t>
  </si>
  <si>
    <t>25/04/2022</t>
  </si>
  <si>
    <t>Mengambil jalur terlalu ke kiri</t>
  </si>
  <si>
    <t>Refresh DDT operator oleh OTD</t>
  </si>
  <si>
    <t>20/04/2022</t>
  </si>
  <si>
    <t>LPI-32-IV-2022- MACO</t>
  </si>
  <si>
    <t>4/21/2022</t>
  </si>
  <si>
    <t>KM 66</t>
  </si>
  <si>
    <t>Alfian Hidayat</t>
  </si>
  <si>
    <t xml:space="preserve">Pada tanggal 20 April 2022 pada awal shift 2, Sdr AH pukul 05.30 WIB menuju CSA untuk mengikuti buka bersama produksi.
Pukul 18.00 WIB, Sdr AH selesai melakukan sholat dan P2H unit DT040-005 dan kemudian travel ke Tuhup karena dalam kondisi muatan
Pukul 19.17 WIB Sdr AH menginfokan kepada pengawas unit DT040-005 bocor tyre dan breakdown di Km 22+500, dan kemudian ikut DT kosongan menuju CSA .
Pukul  20.40 WIB, Sdr AH di instruksikan untuk mengoperasikan Unit DT040-019 yang ready di worhshop, dan kemudian travel menuju ke CHPP untuk loading muatan di unit EX-31 material WS 1 pada pukul 21.30 WIB, dan melanjutkan perjalanan menuju Tuhup.
Pukul 23.58 WIB, Sdr AH dumping muatan di port Tuhup dan melanjutkan istirahat sampai pukul 01.15 WIB
Pukul 01.15 WIB, Sdr AH melanjutkan perjalanan menuju CHPP untuk loading  muatan ritase ke 2.
Pukul 04.06 WIB, Sdr AH loading muatan di Ex-028 room produksi . dengan material WS 1. kemudian melanjutkan perjalanan menuju ke haju untuk parkir di CSA.
Pukul 04.50 WIB, Sdr AH tiba di tanjakan km 66 sebelum rambu STOP, unit tidak bisa menanjak. Operator mencoba menurunkan ke gear yang lebih rendah, tapi unit tetap mundur perlahan hingga tersandar di tanggul.
</t>
  </si>
  <si>
    <t>Belum ditentukan batas masa pakai slack adjuster</t>
  </si>
  <si>
    <t>Melakukan pemeriksaan kondisi slack adjuster unit scania yang beroperasi saat periodical service oleh PT. United Tractors</t>
  </si>
  <si>
    <t>5/30/2022</t>
  </si>
  <si>
    <t>Harry Prastowo</t>
  </si>
  <si>
    <t>ROUTING KTT</t>
  </si>
  <si>
    <t>5/10/2022</t>
  </si>
  <si>
    <t>Refresh Pengoperasian Unit DT pada operator DT Scania</t>
  </si>
  <si>
    <t>Belum pernah dilakukan pemeriksaan selama unit beroperasi</t>
  </si>
  <si>
    <t>Memasukkan pemeriksaan inner part slack adjuster pada item periodical service HM 5000</t>
  </si>
  <si>
    <t>LPI-33-IV-2022- MACO</t>
  </si>
  <si>
    <t>KM 19+500</t>
  </si>
  <si>
    <t>Syahrial Afandi</t>
  </si>
  <si>
    <t>1. Tanggal 24 April 2022, pada awal shift 1, Sdr. SA mengawali aktifitas kerja siang hari ke 2 dengan mengikuti P5M di CSA Haju yang diisi oleh Pengawas Produksi.
2. Selesai P5M, Operator Sdr. SA melakukan P2H pada unit DT040-011 dan menemukan temuan Karena tidak aktif, memory tidak ada dan fatigue alarm yang tidak menyala dan mendapat info dr pengawas untuk standby dulu di CSA  karena hujan
3. Sekitar pukul 07.09 WIB, Sdr. SA mendapat info untuk mengoperasikan DT 040-011 yang sudah ready di WS dan kemudian berangkat dari Haju menuju ROM CHPP kondisi kosongan.
4. Sekitar pukul 08.20 WIB, Sdr. SA tiba di ROM CHPP dan melakukan loading di ROM CHPP PC 400 - 031 dengan material CO 1
5. Sekitar pukul 08.35 WIB, Sdr. SA berangkat menuju Tuhup namun berhenti dulu di Km 76 untuk parkir sebentar dan sambil menunggu informasi kondisi hujan diarea CHR dan SHR.
6. Sekitar pukul 09.00 WIB, Sdr. SA melanjutkan perjalanan dari KM 76 karena sudah mendapat info cuaca sudah kondusif oleh pengawas.
7. Sekitar pukul 10.00 WIB, Sdr SA melintas di dispatch Haju dan menginfokan untuk melintas dan mengarah ke Tuhup.
8. Sekitar pukul 11.18 WIB, Sdr.SA melintas di km 19+500 dengan kondisi normal, namun dari arah berlawanan terdapat unit FT AKT yang melintas dengan mengambil jalur setengah jalut matan. Sdr SA reflek membelokkan stering ke kanan dan ke kiri supaya tidak bertabrakan dengan Unit FT AKT. Tyre kiri Unit DT 040-0011 masuk kedalam parit sehingga unit tidak bisa dikendalikan dan rebah
9. Sekitar Pukul 11.20 WIB, Sdr SA dengan kondisi menggantung di unit langsung menginformasikan kejadian di Channel 6, karena tidak ada yang merespon langsung berpindah ke channel 16 di jalur emergency dan tidak ada respon juga. karena unit bising karena unit masih menyala akhirnya dimatikan oleh Sdr SA.
10. Sekitar pukul 11.30 WIB, Sdr SA dihampiri oleh ada DT040-21 yang melintas dan berhenti dengan operator sdr Noegroho dan juga ada sdr iswahyudi. Kemudian sdr noegroho memanjat naik  dan iswahyudi masuk kedalam kabin. Sdr Iswahyudi menahan tubuh dan Sdr Noegroho melepaskan seatbelt dari atas.
11. Sekitar Pukul 11.40 WIB setelah bisa keluar dari unit, Sdr, SA. duduk termenung di sebelah unit.
12. Sekitar Pukul 11.50 WIB, Sdr.SA didatangi oleh pengawas AMC Sdr Seriyantio dan Sdr Jerico, selanjutnya Tim ERT juga datang dengan membawa ambulance
13. Sekitar Pukul 12.WIB, Sdr.SA dibawa menuju klinik Tuhup untuk dilakukan pemeriksaan kesehatan.</t>
  </si>
  <si>
    <t>Operator Mengambil jalur terlalu ke kiri</t>
  </si>
  <si>
    <t>Incident Recall pada P5M</t>
  </si>
  <si>
    <t>5/31/2022</t>
  </si>
  <si>
    <t>Jalan merupakan turunan menikung dengan Design Double Crosfall</t>
  </si>
  <si>
    <t>Pembentukan ulang design jalan menjadi single crosfall</t>
  </si>
  <si>
    <t>Penyediaan material untuk pembentukan design single crosfall</t>
  </si>
  <si>
    <t>5/15/2022</t>
  </si>
  <si>
    <t xml:space="preserve">Melakukan inspeksi dan menghilangkan tikungan lain yang memiliki design double crossfall </t>
  </si>
  <si>
    <t>Masuk tikungan dengan kecepatan 45km/jam</t>
  </si>
  <si>
    <t xml:space="preserve">Memberikan tindakan disiplin kepada Oprt DT 040-011 sesuai dengan aturan yang berlaku </t>
  </si>
  <si>
    <t>Perbedaan channel radio antara AMC dengan AKT</t>
  </si>
  <si>
    <t>Koordinasi dengan PT. AKT mengenai penggunaan channel radio yang sama di jalur SHR</t>
  </si>
  <si>
    <t>Production Hauling PTMC</t>
  </si>
  <si>
    <t>Pemasangan rambu, ''Perhatian, Sersan, Gunakan klakson panjang'' mendekati tikungan KM 19+500</t>
  </si>
  <si>
    <t>Jalan blindspot</t>
  </si>
  <si>
    <t>Pemotongan/ pembersihan ranting-ranting pohon di sepanjang tikungan KM 19+500</t>
  </si>
  <si>
    <t>10 Juni 2022</t>
  </si>
  <si>
    <t>Hasil drug test dinyatakan positif BZO</t>
  </si>
  <si>
    <t>Melakukan sidak drug test secara random di all area (Target 40 Sample per Bulan)</t>
  </si>
  <si>
    <t>SPDK BELUM ADA</t>
  </si>
  <si>
    <t>MAY</t>
  </si>
  <si>
    <t>LPI-34-V-2022- MACO</t>
  </si>
  <si>
    <t>5/11/2022</t>
  </si>
  <si>
    <t xml:space="preserve">KM 5 </t>
  </si>
  <si>
    <t>Sugi Wahyudi</t>
  </si>
  <si>
    <t>1. Pada pukul 05.15 WIB Pergi sarapan lalu berangkat menuju CSA menggunakan Manhaul
2. Pada pukul 05.30 WIB Melakukan P5M, P2H dan berangkat menuju ROM CHPP
3. Pada pukul 06.40 WIB Tiba di ROM, loading di EX-28
4. Pada pukul 08.10 WIB Saat di KM 43 tyre F6 pecah, ybs melaporkan ke pengawas (sdr. Syafiudin). Operator memasang ganjal dan traffic cone
5. Pada pukul 08.20 WIB Pengawas Produksi tiba di lokasi KM 43 dan Operator di intruksikan melanjutkan perjalanan ke Port
6. Pada pukul 09.30 WIB Saat menanjak di Km 5, Operator DT 040-027 melakukan downshift dari gear 5 ke 4-3 dan unit tidak mampu menanjak. Operator kemudian berusaha melakukan pengereman parking dan service brake namun unit tetap termundur perlahan sehingga tersandar di tanggul sebelah kiri arah muatan.
7. Pada pukul 09.35 WIB Setelah kejadian Operator melapor kepada pengawas dan keluar dari unit</t>
  </si>
  <si>
    <t>Operator telat melakukan shifting transmisi sehingga DT tidak kuat menanjak 
(Fakta Keterangan Korban)</t>
  </si>
  <si>
    <t>Melakukan coaching conseling operator DT 040-027</t>
  </si>
  <si>
    <t>System pengereman kurang berfungsi karena adanya beberapa kerusakan
(Fakta dari analysis Emergency Trouble Record tim UT)</t>
  </si>
  <si>
    <t>Melakukan pemeriksaan dan perbaikan unit DT 040-027 yang rusak</t>
  </si>
  <si>
    <t>Roery / A.Otong</t>
  </si>
  <si>
    <t>Kondisi geometri jalan tidak standar 
(Fakta : crossfall jalan dilokasi kejadian 13.44%, grade jalan 11, 2%)</t>
  </si>
  <si>
    <t>Melakukan perbaikan cross fall jalan Km 5</t>
  </si>
  <si>
    <t xml:space="preserve">
Operator kurang memahami pengoperasian unit saat di jalan tanjakan Km 5 
(Fakta baru 2 bulan pindah dari operator mining)</t>
  </si>
  <si>
    <t>Melakukan refresh kembali semua operator DT Scania perihal metode operasi di jalan Hauling</t>
  </si>
  <si>
    <t>Tafsal &amp; Slamet W</t>
  </si>
  <si>
    <t>Melakukan recall insiden kepada semua operator DT</t>
  </si>
  <si>
    <t>11 Mei 2022</t>
  </si>
  <si>
    <t>Melakukan standarisasi operator pendamping untuk meningkatkan kualitas proses familiarisasi operator baru di jalan Hauling</t>
  </si>
  <si>
    <t>6 Juni 2022</t>
  </si>
  <si>
    <t>Belum terdapat prosedur / STD  kerusakan tyre yang boleh dioperasikan di jalan hauling</t>
  </si>
  <si>
    <t>Membuat STD parameter kerusakan tyre yang masih boleh dioperasikan di jalan hauling</t>
  </si>
  <si>
    <t xml:space="preserve">
Belum dilakukan pengukuran ulang cross fall jalan secara periodik sejak jalan digunakan</t>
  </si>
  <si>
    <t xml:space="preserve">Melakukan pengukuran cross fall dan perbaikan dititik-titik kritis dijalan hauling </t>
  </si>
  <si>
    <t>Premature Failure pada sistem brake system  dan kurangnya quality control terhadap hasil proses perbaikan</t>
  </si>
  <si>
    <t>Melakukan kajian teknis pemeriksaan brake system unit scania (HM, lifetime componen, quality control pasca perbaikan, dll)</t>
  </si>
  <si>
    <t>ON PROGRESS
49 %</t>
  </si>
  <si>
    <t>Melakukan pemeriksaan dan perbaikan semua unit DT Scania di Jalan Hauling</t>
  </si>
  <si>
    <t>LPI-35-V-2022- MACO</t>
  </si>
  <si>
    <t>Iksan Mawardi</t>
  </si>
  <si>
    <t>Pada saat menanjak arah muatan di  KM 05, DT 013  mengalami low power dan tidak mampu menanjak. Operator berusaha melakukan pengereman tapi unit tetap termundur. Operator lalu mengarahkan unit kepinggir dan unit amblas dan sandar di tanggul sebelah kiri.</t>
  </si>
  <si>
    <t>Melakukan pemeriksaan kondisi slack adjuster unti scania yang beroperasi saat periodical service oleh PT. United Tractors</t>
  </si>
  <si>
    <t>30/05/2022</t>
  </si>
  <si>
    <t>12/05/2022</t>
  </si>
  <si>
    <t>Memasukakkan pemeriksaan inner part slack adjuster pada item periodic service HM5000</t>
  </si>
  <si>
    <t>Operator salah dalam penggunaan Gear 6 pada saat di tanjakan</t>
  </si>
  <si>
    <t>Melakukan refresh kepada operator satu angkatan terkait pengoperasian unit</t>
  </si>
  <si>
    <t>Tindakan disiplin sesuai dengan SPDK SP1 ke Operator</t>
  </si>
  <si>
    <t>LPI-36-V-2022- MACO</t>
  </si>
  <si>
    <t>Front EXC 037 SEAM CM PIT NORTH</t>
  </si>
  <si>
    <t>Saiful Ulum</t>
  </si>
  <si>
    <t>1. Pada pukul 17.50 WIB Operator DT 1012 mengikuti P5M diarea CSA mining dengan materi pembagian job dan pesan keselamatan yang disampaikan oleh pengawas
2. Pada pukul 18.00 WIB, Operator DT 1012 menuju unit untuk melakukan P2H (hasil pelaksanaan P2H yaitu unit layak dan tidak ada temuan), kemudian Operator DT 1012 menuju front loading Exca 400 – 037 kemudian di menit ke 18.39 WIB baru bisa loading ritase ke- 1. 
3. Pada pukul 00.00 - 01.00 WIB Operator DT 1012 menuju shelter CSA Mining untuk beristirahat. 
4. Pada pukul 01.01 WIB Operator DT 1012 kembali menuju front loading Exca 400 -037 untuk melanjutkan proses loading muatan pada ritase ke 9. 
5. Pada pukul 02.00 WIB kembali menuju front loading excavator 400 - 037 untuk proses loading muatan pada rit ke 10, pada saat proses loading berlangsung, Operator DT 1012 melakukan pelaporan ke MCR untuk ritase jam 01.00 WIB (ritase ke 9). Pada pukul 02.09 WIB Setelah selesai loading ritase ke 10 di front Excavator 400 - 037, Operator DT 1012 memajukan unit kurang lebih 6 meter, kemudian sdr saiful inisiatif berhenti dan menetralkan transmisi, kemudian unit amblas dan rebah ke kiri (dalam posisi berhenti).
6. Pada pukul 02.10 WIB setelah unit rebah, kondisi Operator DT 1012 memegang handle kabin dan menggantung di seatbelt jok unit, kemudian proses evakuasi keluar dari kabin dibantu oleh operator grader dan excavator yang berada dilokasi kejadian. 
7. Operator DT 1012 dibawa menuju klinik ISOS untuk dilakukan pemeriksaan lebih lanjut.</t>
  </si>
  <si>
    <t>Belum ada INK metode loading batubara di Seam CM</t>
  </si>
  <si>
    <t xml:space="preserve">Membuat INK metode loading batubara di seam CM </t>
  </si>
  <si>
    <t>30/06/2022</t>
  </si>
  <si>
    <t>Listianto</t>
  </si>
  <si>
    <t xml:space="preserve">Melakukan review IBPR produksi mining pada proses loading coal </t>
  </si>
  <si>
    <t xml:space="preserve">Pengawas tidak melakukan inspeksi area kerja pada saat awal shift untuk mengidentifikasi bahaya area kerja (Fakta tidak ditemukan formulir inspeksi awal shift) </t>
  </si>
  <si>
    <t xml:space="preserve">Melakukan coaching konseling kepada pengawas </t>
  </si>
  <si>
    <t xml:space="preserve">Menyediakan formulir inspeksi pengawas diarea kerja </t>
  </si>
  <si>
    <t xml:space="preserve">Supervisor area belum melakukan kontrol terhadap kewajiban inspeksi awal shift </t>
  </si>
  <si>
    <t xml:space="preserve">Mewajibkan supervisor area PJA melakukan validasi terhadap pelaksanaan inspeksi awal shift yang dilakukan oleh pengawas </t>
  </si>
  <si>
    <t xml:space="preserve">
Awareness operator kurang terhadap pelaporan kondisi tidak aman diarea kerja</t>
  </si>
  <si>
    <t xml:space="preserve">Melakukan coaching keselamatan kepada seluruh operator </t>
  </si>
  <si>
    <t xml:space="preserve">Mewajibkan pengawas melakukan observasi yang berfokus pada perilaku operator diarea kritis. </t>
  </si>
  <si>
    <t xml:space="preserve">Belum terdapat assesment penempatan TL pada saat awal operasi (Min 50 Meter dari Front) </t>
  </si>
  <si>
    <t xml:space="preserve">Mewajibkan pengawas melakukan assesment penempatan TL awal shift sesuai DOP (tidak kurang dari 50 meter dari front loading) </t>
  </si>
  <si>
    <t>LPI-37-V-2022- MACO</t>
  </si>
  <si>
    <t>5/21/2022</t>
  </si>
  <si>
    <t>ROAD 1 D</t>
  </si>
  <si>
    <t>Leo Wardi</t>
  </si>
  <si>
    <t>1. Pada pukul 05.50 WIB Operator DT 096 mengikuti P5M diarea CSA mining dengan materi pembagian job dan pesan keselamatan yang disampaikan oleh pengawas
2. Pada pukul 06.05 WIB, Operator DT 096 menuju unit untuk melakukan P2H (hasil pelaksanaan P2H yaitu unit layak namun terdapat temuan memory DT tidak ada), kemudian Operator standby karena kondisi masih gerimis 
3. Pada pukul 08.55 WIB Operator DT 096 menuju ke front loading diarahkan oleh pengawas untuk melakukan loading  
4. Pada pukul 09.04 WIB Operator DT 096 melakukan loading ritase ke 1 di EX-037 produk CO6 kemudian mengarahkan unit untuk dumping di ROM RAW
5. Pada pukul 09.25 WIB Operator DT 096 melakukan dumping di ROM RAW CO6 lalu mengarahkan unit untuk kembali ke tambang melanjutkan loading ritase ke 2
6. Pada pukul 09.30 WIB Saat akan memasuki tikungan road 1D dengan kecepatan 49 km/jam dengan Speed 8  retarder level 3 operator menginjak service break kemudian tyre slip sejauh sekitar 10 m dan akan menabrak tanggul sebelah kiri kosongan lalu operator membanting stir ke kanan yang menyebabkan kabin depan kanan menabrak tebing sisi muatan dan berhenti. Operator berusaha memundurkan unit namun hanya tyre belakang yang bergeser ke arah kanan sejauh 2 meter. Setelah itu operator turun dari unit untuk melakukan pengecekan unit
7. Operator DT 096 dibawa ke klinik ISOS untuk dilakukan pemeriksaan lebih lanjut</t>
  </si>
  <si>
    <t xml:space="preserve">Operator DT030-0096 beroperasi pada kecepatan yang salah / overspeed di tikungan dan jalan yang licin </t>
  </si>
  <si>
    <t>25 Mei 2022</t>
  </si>
  <si>
    <t>Sugiarto</t>
  </si>
  <si>
    <t xml:space="preserve">Pengawas belum melakukan inspeksi jalan road 1D pasca kondisi hujan
</t>
  </si>
  <si>
    <t xml:space="preserve">Pengawas tidak perpanjang kontrak a.n ramadhani Akbar </t>
  </si>
  <si>
    <t xml:space="preserve">Kondisi jalan diarea road 1D licin  &amp; Geometri jalan tidak standar </t>
  </si>
  <si>
    <t>Melakukan perbaikan cross fall jalan tambang road 1D (Penimbunan, Graveling dan Compacting)</t>
  </si>
  <si>
    <t>Batasan area tanggung jawab yang belum jelas antara pengawas Pit dan ROM (Antar PJA)</t>
  </si>
  <si>
    <t>Melakukan revisi struktur organisasi PJA area dan menjelaskan batasan tanggung jawb area</t>
  </si>
  <si>
    <t>Benny Permana</t>
  </si>
  <si>
    <t>Belum pernah dilakukan assesment kembali kondisi terkini jalan road 1 (A-E)</t>
  </si>
  <si>
    <t>Melakukan assesment bersama kondisi terkini jalan road 1
(A-E) dan melakukan perbaikan sesuai hasil assesment</t>
  </si>
  <si>
    <t>31/05/2022</t>
  </si>
  <si>
    <t>SIS dan AMC</t>
  </si>
  <si>
    <t xml:space="preserve">Membuat jadwal pelaksanaan assesment gabungan (AMC-SIS) jalan road 1 (A-E) secara berkala </t>
  </si>
  <si>
    <t xml:space="preserve">Bambang H </t>
  </si>
  <si>
    <t>Operator DT 096 melakukan travel unit dari CSA Menuju Loading poin tanpa memori kamera</t>
  </si>
  <si>
    <t>Mewajibkan pengawas melakukan validasi setiap temuan P2H operator sebelum operasi</t>
  </si>
  <si>
    <t>Pasca kejadian operator tidak melaporkan kejadian melalui channel emergency</t>
  </si>
  <si>
    <t xml:space="preserve">Melakukan refresh pelaporan insiden melalui channel emergency kepada seluruh karyawan. </t>
  </si>
  <si>
    <t xml:space="preserve">Insiatif dari operator DT 096 merubah posisi unit pasca kejadian. </t>
  </si>
  <si>
    <t>LPI-38-V-2022- MACO</t>
  </si>
  <si>
    <t>21/05/2022</t>
  </si>
  <si>
    <t>KM78</t>
  </si>
  <si>
    <t>Rody</t>
  </si>
  <si>
    <t>Saat DT-015 muatan melewati km 78 berpapasan dengan 5 DT hauling, operator DT mengambil jalan terlalu ke kiri dan tyre kiri belakang slip kemudian amblas</t>
  </si>
  <si>
    <t>Operator mengambil jalur terlalu ke kiri saat menepi</t>
  </si>
  <si>
    <t>05/06/2022</t>
  </si>
  <si>
    <t>Pembinaan sesuai aturan yang berlaku kepada operator</t>
  </si>
  <si>
    <t>Drainase jalan tidak memadai</t>
  </si>
  <si>
    <t>Melakukan perbaikan drainase di Km  78</t>
  </si>
  <si>
    <t>Lebar jalan tidak standart (terdapat material spoil di sisi muatan mengakibatkan lebar jalan menjadi 9m)</t>
  </si>
  <si>
    <t>Melakukan patching dengan material gravel</t>
  </si>
  <si>
    <t>Maintenance jalan sesuai dengan GMP</t>
  </si>
  <si>
    <t>LPI-39-V-2022- MACO</t>
  </si>
  <si>
    <t>23/05/2022</t>
  </si>
  <si>
    <t>Disposal RL 340</t>
  </si>
  <si>
    <t>Rubian Fauzi</t>
  </si>
  <si>
    <t>1. Pada tanggal 22 Mei 2022 sekitar pukul 21.00 Wib operator DT020-158  melakukan tidur malam.                                                                                                                                                                                                                                                          2. Pada pukul 04.15 WIB Operator DT 020-158 bangun tidur dan melakukan persiapan kerja.                                                                                                                                                                                                                                                                                3. Pada pukul 05.20 WIB Operator DT020-158 Berangkat dari shelter camp CHPP menuju CSA mining dengan menggunakan manhaul.                                                                                                                          4. Pada pukul 05.40 WIB Operator DT020-158 tiba di area CSA mining dan kemudian mengikuti P5M diarea CSA mining dengan materi pembagian job dan pesan keselamatan yang disampaikan oleh pengawas Sdr. Jefrinaldi
2. Pada pukul 06.00 WIB, Operator DT020-158 menuju unit untuk melakukan P2H (hasil pelaksanaan P2H yaitu unit tidak terdapat safety cone)
3. Pada pukul 06.15 WIB Operator DT020-158  menuju ke front loading EX040-037 diarahkan oleh pengawas untuk melakukan loading material OB campur spoil dan lokasi dumping di  RL 345
4. Pada pukul 06.20 WIB Operator DT020-158  melakukan loading  pertama pada EX040-037 dan melakukan dumping di disposal RL 345.
5. Pada pukul 09.28 WIB Operator DT020-158 melakukan loading pada EX040-037 di rit ke 9
6. Pada pukul 09.40 WIB memasuki area disposal RL 345 kemudian melakukan manuver, setelah manuver operator DT020-158 memundurkan unit untuk melakukan dumping material rit ke 9 Pada jarak cabin dengan crestline 19.8 meter tyre belakang sisi kiri  mengalami amblas sedalam 70 cm dan tiba-tiba unit DT020-158 mengalami rebah ke kiri.
7. Pada Pukul 09.50 WIB Operator DT020-158 langsung dibawa ke klinik ISOS untuk dilakukan pemeriksaan lebih lanjut</t>
  </si>
  <si>
    <t>Belum terdapat bendera batas aman dumping di area disposal RL-345 sebagai acuan operator DT 020--158 untuk melakukan dumping 
(Fakta tidak ditemukan batas bendera dumping)</t>
  </si>
  <si>
    <t xml:space="preserve">Melakukan pemasangan bendera batas dumping di semua disposal area awal shift </t>
  </si>
  <si>
    <t>27 Mei 2022</t>
  </si>
  <si>
    <t>Melakukan "STOP Operasi" jika ditemukan persyaratan K3L disposal belum dipenuhi</t>
  </si>
  <si>
    <t>Operator DT 020-158 belum memahami prosedur dumping di disposal
(Fakta tidak melakukan komunikasi 2 arah dengan operator DZ 041 terkait arah dumpingan)</t>
  </si>
  <si>
    <t>Melakukan Refresh After Insiden (RAI) kepada operator DT 020-158</t>
  </si>
  <si>
    <t>28 Mei 2022</t>
  </si>
  <si>
    <t>Pengawas Disposal tidak melakukan observasi pada saat pekerjaan dumping disposal berlangsung
(Fakta belum terdapat bukti observasi pengawas di area disposal)</t>
  </si>
  <si>
    <t>Melakukan Konseling dan teguran tertulis kepada pengawas Disposal Sdr. Ramadhani</t>
  </si>
  <si>
    <t xml:space="preserve">Pengawas tidak segera melakukan follow up temuan hasil inspeksi awal shift area disposal </t>
  </si>
  <si>
    <t xml:space="preserve">Operator lupa materi pelatihan disposal managament yang disampaikan oleh OTD pada saat masuk kerja </t>
  </si>
  <si>
    <t>Melakukan Refresh dan evaluasi kepemahaman  Prosedur Dumping di disposal kepada semua operator DT dan Dozzer di area mining &amp; review</t>
  </si>
  <si>
    <t>Memasang rambu wajib komunikasi 2 arah di semua area disposal</t>
  </si>
  <si>
    <t xml:space="preserve">
Kurangnya jumlah pengawas area disposal
(Fakta SO Produksi rev 2 Plan Pengawas disposal &amp; PSV : 5 orang namun Actual : 4 orang)</t>
  </si>
  <si>
    <t>Menambahkan coverage pengawasan pada from DOP</t>
  </si>
  <si>
    <t>01 Juni 2022</t>
  </si>
  <si>
    <t>Aldi</t>
  </si>
  <si>
    <t>Melakukan pemenuhan jumlah pengawas disposal</t>
  </si>
  <si>
    <t>LPI-40-V-2022- MACO</t>
  </si>
  <si>
    <t>25/05/2022</t>
  </si>
  <si>
    <t>Disposal RL 345</t>
  </si>
  <si>
    <t>Roni Efendi</t>
  </si>
  <si>
    <t>Pukul 05.50 sdr RE mengikuti P5M di CSA Mining
Pukul 06.00 sdr RE melakukan P2H unit dan tidak ditemukan deviasi
Pukul 06.10 melakukan traveling unit untuk loading material Reject
Pukul 06.30 loading pertama di Reject Bin kemudian dumping di Disposal Reject
Pukul 09.00 Operator HD 058 memasuki Disposal Reject dan bekomunikasi dengan pengawas untuk dumping, pengawas mengarahkan titik dumping poin kepada operator, kemudian sdr RE melakukan manuver mundur di sebelah kiri dengan jarak 4m dari lobang dan sekitar 50 cm dari crest arah selatan. Saat manuver mundur tyre kiri amblas dan melapor lewat radio kepada pengawas</t>
  </si>
  <si>
    <t xml:space="preserve">Operator HD tidak mengikuti bendera batas dumping </t>
  </si>
  <si>
    <t>Memberikan sanksi sesuai SPDK kepada Operator HD 785 -058</t>
  </si>
  <si>
    <t>2 Juni 2022</t>
  </si>
  <si>
    <t xml:space="preserve">Proses observasi saat dumping tidak dlakukan oleh pengawas  </t>
  </si>
  <si>
    <t>Membuat skala priority pengawasan dumpingan based on hasil inspeksi</t>
  </si>
  <si>
    <t xml:space="preserve">Terlampir -- Inspeksi Disposal dan PKH Engineering to Produksi </t>
  </si>
  <si>
    <t>Kurangnya jumlah pengawas area disposal</t>
  </si>
  <si>
    <t>Pemenuhan jumlah pengawas disposal</t>
  </si>
  <si>
    <t>LPI-41-V-2022- MACO</t>
  </si>
  <si>
    <t>26/05/2022</t>
  </si>
  <si>
    <t>Hariyono S P</t>
  </si>
  <si>
    <t>Pada saat kosongan menuju chpp beriringan dengan DT AKT dengan jarak -+ 100 m  dan sampai di km 12+500  DT AKT mendadak berhenti memberikan kesempatan DT muatan dan DT 030-0098 mengurangi kecepatan dan unit dt mengarah ke sisi kiri jalan yg mengakibatkan Amblas</t>
  </si>
  <si>
    <t>Unit DT 098 menghindari unit DT AKT yang berhenti saat memberi prioritas DT Muatan, ke arah kiri yang lembek</t>
  </si>
  <si>
    <t>Perbaikan area parkiran sementara unit GD</t>
  </si>
  <si>
    <t>Operator DT 098 tidak menjaga kecepatan saat beriringan dengan unit DT lainnya sesuai rambu yang berlaku</t>
  </si>
  <si>
    <t>SPDK Operator</t>
  </si>
  <si>
    <t>15 Juni 2022</t>
  </si>
  <si>
    <t>Operator DT 098 Ingin segera istirahat</t>
  </si>
  <si>
    <t>Coaching konseling</t>
  </si>
  <si>
    <t>sisi kiri jalan lembek yang tidak dilakukan maintenance berkala</t>
  </si>
  <si>
    <t>Pelaksanaan Maintenance area parkir/ rest area hauling</t>
  </si>
  <si>
    <t>LPI-42-V-2022- MACO</t>
  </si>
  <si>
    <t>28/05/2022</t>
  </si>
  <si>
    <t>MESS HAJU</t>
  </si>
  <si>
    <t>Surja</t>
  </si>
  <si>
    <t>1. Pada pukul 06.30 WIB operator mini CT 07 berangkat menuju office haju untuk mengikut safety talk dengan jalan kaki
2. Pada pukul 07.00 WIB Mengikuti safety talk dengan petugas dari tim tyre. 
3. Pada pukul 08.00 WIB Kembali ke WS Tyre untuk melakukan P5M dan pembagian Job. 
4. Pada pukul 08.00 - 12.00 WIB Melakukan pekerjaan di WS Tyre sampai Istrahat siang. 
5. Pada pukul 13.00 - 17.00 WIB Melanjutkan pekerjaan sampai dengan akhir shift. 
6. Pada pukul 17.00 WIB Operator mini CT 07  Melakukan Housekeeping area WS Tyre bersama tim. 
7. Pada pukul 17.30 WIB Berinisiatif ke mess Haju untuk mengambil barang dan mengambil Kunci Mini CT007 di Office Tyre kemudian Mengoperasikan Mini CT007 menuju mess bersama rekan kerja tyre man (Fendi Perdana)
8. Pada pukul 17.51 WIB Selesai mengambil barang di mess, Unit Mini CT 007 melakukan manuver mundur dan menabrak Walk Way CNS 2 
9. Pada pukul 18.00 WIB Karyawan dibawa oleh Tim ERT ke Klinik untuk pemeriksaan lanjutan, Hasil Operator menjalani pemeriksaan di klinik haju dengan hasil
1. Narkoba (-)
2. Alkohol (-)
3. Fatique (-)</t>
  </si>
  <si>
    <t xml:space="preserve">
'Sdr. Surja mengoperasikan Unit Tanpa Kewenangan/ Simper sebanyak 2 kali
</t>
  </si>
  <si>
    <t>Memberikan sanksi sesuai SPDK kepada Sdr. Surja dan Sdr. Fendy Perdana  (Lubang 6 &amp; PHK)</t>
  </si>
  <si>
    <t>30 Mei 2022</t>
  </si>
  <si>
    <t>Roerry W</t>
  </si>
  <si>
    <t>Melakukan insiden recall kepada semua karyawan plant</t>
  </si>
  <si>
    <t>Kunci Unit CT 007 tergeletak di meja kontainer office Tyre yang dapat diakses oleh semua orang</t>
  </si>
  <si>
    <t>Membuat tempat penyimpanan kunci khusus</t>
  </si>
  <si>
    <t>Pengawas tyre tidak melakukan kontrol pengelolaan kunci Unit</t>
  </si>
  <si>
    <t>Memberikan sanksi kepada Pengawas Tyre Sdr. Wahyu (Lubang 3 &amp; SP 2)</t>
  </si>
  <si>
    <t>Memberikan sanksi kepada Penanggung jawab / Section Head Plant (Lubang 2 &amp; SP 1)</t>
  </si>
  <si>
    <t xml:space="preserve">Unit Support mini Crane Truk masuk ke area mess haju </t>
  </si>
  <si>
    <t>Memasang Rambu Larangan Masuk Bagi Unit Produksi dan Unit Support di area Mess Haju</t>
  </si>
  <si>
    <t>Short cut malas jalan kaki ke mess sehingga menggunakan unit Mini Crane Truk</t>
  </si>
  <si>
    <t>30 Mei 22</t>
  </si>
  <si>
    <t>Melakukan sosialisasi Mining Basic Rules (MBR) PT AMC kepada semua karyawan</t>
  </si>
  <si>
    <t>15 Juni 22</t>
  </si>
  <si>
    <t>Benny P</t>
  </si>
  <si>
    <t>Menambahkan Indash camera semua unit Support</t>
  </si>
  <si>
    <t>30 Juni 22</t>
  </si>
  <si>
    <t>Belum tersedia tempat penyimpanan kunci unit yg aman (yang tidak bisa diakses semua orang)</t>
  </si>
  <si>
    <t xml:space="preserve">Menunjuk PIC Key Holder level pengawas </t>
  </si>
  <si>
    <t>02 Juni 22</t>
  </si>
  <si>
    <t>Belum terpasang rambu larangan masuk bagi unit-unit Produksi dan Support di area mess haju</t>
  </si>
  <si>
    <t>Melakukan assesment Traffic Management Plant (TMP) Mess Haju</t>
  </si>
  <si>
    <t>05 Juni 22</t>
  </si>
  <si>
    <t>Dwi Wahyudi</t>
  </si>
  <si>
    <t>Belum tersedia prosedur / INK pengelolaan kunci unit di area plan</t>
  </si>
  <si>
    <t>Merevisi IBPR proses pengeoperasian unit dan membuat INK pengelolaan kunci unit</t>
  </si>
  <si>
    <t>Melakukan evaluasi kebutuhan Simper Mekanik dan pengawas Plant</t>
  </si>
  <si>
    <t>Membuat dan melaksanakan sidak simper area Workshop by PJA</t>
  </si>
  <si>
    <t>5 Juni 22</t>
  </si>
  <si>
    <t>LPI-43-V-2022- MACO</t>
  </si>
  <si>
    <t>Tri Ageng Ibnu</t>
  </si>
  <si>
    <t>Pada saat WST033 melintas di KM34 dari arah kosongan, tiba2 ada DT muatan melintas, unit WST033 stop terlalu ke pinggir jalan untuk memberi kesempatan DT muatan lewat, pada saat akan mulai jalan WST033 tiba-tiba tergelincir ke sisi kiri badan jalan</t>
  </si>
  <si>
    <t>Sdr. Tri Ageng Ibnu mengoperasikan unit tanpa Simper / Kewenangan</t>
  </si>
  <si>
    <t>Memberikan sanksi sesuai SPDK kepada Sdr. Tri Agung (Lubang 6 &amp; PHK)</t>
  </si>
  <si>
    <t>Memberikan sanksi sesuai SPDK kepada Sdr. Bayu Agung (Lubang 6 &amp; PHK)</t>
  </si>
  <si>
    <t>Operator WST 33 meninggalkan kunci dalam unit pada saat akhir shift</t>
  </si>
  <si>
    <t>Memberikan sanksi sesuai SPDK kepada Sdr. Agus  (Lubang 3 &amp; SP 2)</t>
  </si>
  <si>
    <t>Operator WST 33 terburu-buru ingin BAB sehingga lupa mencabut kunci</t>
  </si>
  <si>
    <t>Unit WST 33 parkir tidak pada tempatnya di parkiran mess Buma &amp; Belum terdapat rambu larangan parkir unit selain unit yang melakukan perbaikan di area mess BUMA</t>
  </si>
  <si>
    <t xml:space="preserve">Memasang Rambu Larangan Masuk di area mess BUMA selain unit perbaikan, LV dan Manhaul </t>
  </si>
  <si>
    <t>Pengawas belum melakukan kontrol parkir unit di akhir Shift</t>
  </si>
  <si>
    <t>Memberikan sanksi kepada Penanggung jawab / Section Head Plant (Lubang 2 &amp; SP 1</t>
  </si>
  <si>
    <t>Belum tersedia aturan pengelolaan unit support di area Workshop</t>
  </si>
  <si>
    <t>Merevisi IBPR proses pengoperasian unit dan membuat INK pengelolaan unit support</t>
  </si>
  <si>
    <t>LPI-44-VI-2022- MACO</t>
  </si>
  <si>
    <t>02/06/2022</t>
  </si>
  <si>
    <t>Room CHPP (Hopper)</t>
  </si>
  <si>
    <t>Frenky Fernando</t>
  </si>
  <si>
    <t>Pada Tanggal 31 Mei 2022 shift 2 sekitar pukul 21.35 Operator loader menemukan plate stopper sedikit terbuka dan melaporkan kepada pengawas CHPP.
Pada tanggal 2 Juni 2022 shift 1 sekitar pukul 7.30 operator loader WL 02 menemukan plate stoper terbuka semakin renggang dan langsung melaporkan kepada pengawas. Kemudian pengawas sis dan amc langsung merapat kelokasi hopper. Setelah diskusi untuk kegiatan dumping DT dialihkan ke sisi depan, yang beloh aktifitas area plat stopper yang terbuka hanya unit loader.
Pada Tanggal 2 juni sekitar pukul 19.05 wib ditemukan plate stoper sudah lepas dan menyumbat hopper.</t>
  </si>
  <si>
    <t>Plate stopper terkena garuk blade bucket unit Wheel Loader</t>
  </si>
  <si>
    <t>Meberikan konseling kepada operator Whell Loader</t>
  </si>
  <si>
    <t>1 Juni 2022</t>
  </si>
  <si>
    <t>Melakukan pemasangan Sign di area Hopper</t>
  </si>
  <si>
    <t>22 Juni 2022</t>
  </si>
  <si>
    <t>Melakukan rekayasa engineering di stopper area hopper</t>
  </si>
  <si>
    <t>30 Desember 2022</t>
  </si>
  <si>
    <t>Pengawas AMC dan SIS tidak  segera melakukan pemasangan barikade pada area plate stopper yang sudah terbuka las lasannya setelah mendapatkan laporan dari operator</t>
  </si>
  <si>
    <t>Memberikan konseling kepada pengawas SIS dan AMC</t>
  </si>
  <si>
    <t>Instruksi Kerja di area hopper belum memadai terkait tinggi material di area hopper</t>
  </si>
  <si>
    <t>Melakukan review INK pekerjaan di area Hopper</t>
  </si>
  <si>
    <t>17 Juni 2022</t>
  </si>
  <si>
    <t>Teknik pengoperasian whell loader di area hopper masing masing operator berbeda</t>
  </si>
  <si>
    <t>Melakukan observasi dan menentukan metode yang aman pekerjaan whell loader di area hopper</t>
  </si>
  <si>
    <t>25 Juni 2022</t>
  </si>
  <si>
    <t>Pengawas mengira kondisi plate stopper masih aman dan akan dilakukan perbaikan pada tanggal 4 Juni 2022 saat tidak ada kegiatan pencucian</t>
  </si>
  <si>
    <t>LPI-45-VI-2022- MACO</t>
  </si>
  <si>
    <t>09/06/2022</t>
  </si>
  <si>
    <t>Disposal Mud Cell RL290</t>
  </si>
  <si>
    <t>Fery Eko Prasetyo</t>
  </si>
  <si>
    <t>Pada Tanggal 9 Juni 2022 shift 1 sekitar pukul 05.45 operator HD 535 melakukan P5M yang dibawakan oleh pengawas, setelah P5M operator HD 535 langsung menuju ke unit HD 535 untuk melakukan P2H. Setelah selesai melakukan P2H dan unit layak di operasikan operator HD 535 standy bay di area parkiran dikarenakan kondisi pit habis hujan dan sedang dilakukan proses slipery.
Sekitar pukul 07.05 Wib operator HD memulai loading pertama di front loading EX 90 dan melakukan dumping material di disposal RL 320 ( belakang CSA) setelah selesai dumping operator HD 535 menuju kembali ke front loading. Setelah selesai muat material rit 2 operator HD 535 dikontek sama pengawas untuk dumping di area disposal mudcell rl 290 untuk layer  dan persiapan dumpingan DT 20 ton di area mud cell karena rencana akan ada material lumpur yang akan diloading dan  dumping pada area disposal mudcell rl 290. saat sampai di area disposal mudcell Rl 290 HD 290 melakukan manuver mundur dan saat mundur tiba tiba tyre belakang amblas.</t>
  </si>
  <si>
    <t>Belum terdapat JSA pekerjaan dumping di area disposal mudcell khususnya terkait jarak aman saat layer material</t>
  </si>
  <si>
    <t>Melakukan pembuatan JSA pekerjaan dumping di area disposal mudcell khususnya terkait jarak aman saatlayer material</t>
  </si>
  <si>
    <t>Pengawas gagal melakukan identifikasi area terkait jarak dumping aman saat melakukan layering area disposal mudcell</t>
  </si>
  <si>
    <t>Melakukan pembinaan kepada pengawas (SPDK Lubang 2)</t>
  </si>
  <si>
    <t>Tyre HD 535 sisi belakang menginjak material jelek/lembek</t>
  </si>
  <si>
    <t>Melakukan pemeriksaan kesiapan area kembali setelah dilakukan dozing</t>
  </si>
  <si>
    <t>LPI-46-VI-2022- MACO</t>
  </si>
  <si>
    <t>KM 50</t>
  </si>
  <si>
    <t>Roni Saputra</t>
  </si>
  <si>
    <t>01_Awal shift pukul 17.00 WIB mengikuti P5M dan melakukan P2H di unit DT 089
02_Unit dinyatakan layak operasi dan saya menuju CHPP untuk loading material batubara
3_Sekitar pukul 18.00 sampai CHPP dan langsung loading WS-1 di unit PC 036 setelah selesai dengan loading saya langsung menuju port Tuhup untuk dumping 
4_Sekitar pukul 21.00 sampai Tuhup dan kemudian dumping material di feeder 3 konveyor langsung barging.
5_Selesai dumping di port kemudian kembali ke Lampunut.
6_Sekitar area KM 30 melihat muffler unit DT 030-089 mau lepas sehinggga travel pelan menuju workshop Haju.
7_Setelah sampai workshop Haju diminta untuk parkir ke CSA
8_Setelah unit terparkir di CSA Haju lalu istirahat sembari menunggu unit ready
9_Makan dan tidur di CSA hingga pukul 02.00 WIB
10_Sekitar pukul 02.00 dibangunkan pak Farid (GL Prod) untuk mengoperasikan unit DT 030-151 yang baru ready di di workshop 
11_Setelah bangun, cuci tangan dan ke LV di antar pak Farid ke workshop Haju 
12_Melakukan P2H kemudian berangkat ke CHPP, lapor dispatch Haju sekitar pukul 02.18
13_Sekitar pukul 03.08 tiba di CHPP dan langsung loading/tidak antri di unit PC 028 dengan material  WS-2
14_Setelah  selesai loading langsung berangkat menuju port 
15_Sekitar KM 73 kondisi jalan cuaca gerimis
16_Sekitar pukul 04.15 tanggal 10 Juni 2022, saat melintas KM 5-KM 49 merasakan ngantuk dan puncaknya dik KM 49 terlelap sejenak/microsleep sehingga unit tidak terkendali menyisir tanggul sisi muatan
17_Setelah menabrak tersadar dari microsleep</t>
  </si>
  <si>
    <t>Operator mengoperasikan unit dalam kondisi fatigue/kelelahan</t>
  </si>
  <si>
    <t>Sanksi sesuai SPDK</t>
  </si>
  <si>
    <t>30 Juli 2022</t>
  </si>
  <si>
    <t>Melakukan insiden recall kepada semua operator DT</t>
  </si>
  <si>
    <t>Operator mengalami sleep debt/ hutang tidur karena merawat istri yang melahirkan</t>
  </si>
  <si>
    <t>memperbanyak kampanye dan sosialisasi fatigue management</t>
  </si>
  <si>
    <t>Berbohong kepada pengawas agar dapat beroperasi karena merasa masih mampu</t>
  </si>
  <si>
    <t xml:space="preserve">Program pengendalian insiden fatigue sebelumnya belum dilakukan secara memadai </t>
  </si>
  <si>
    <t>Melakukan evaluasi efektifitas program fatigue yang tidak konsisten dijalankan</t>
  </si>
  <si>
    <t>Melakukan teguran kepada pengawas terkait tidak  berjalannya program</t>
  </si>
  <si>
    <t>KONDISI TIDAK AMAN</t>
  </si>
  <si>
    <t>Terdapat kendala eksternal 
(parking bay area SHR)</t>
  </si>
  <si>
    <t>Melakukan koordinasi dengan AMC terkait area yang bisa dijadikan area sebagai Parking Bay di Jalan SHR</t>
  </si>
  <si>
    <t xml:space="preserve">Koordinasi dengan PT MC --&gt; Pada saat present LPKL DT 009 </t>
  </si>
  <si>
    <t>Anggi Okta-AMC</t>
  </si>
  <si>
    <t>Belum berjalannya program pak RT/Camp Leader di Camp Karyawan</t>
  </si>
  <si>
    <t xml:space="preserve">Dilakukan pembuatan surat penunjukan pak RT/Leader camp beserta petugas dan tanggung jawabnya </t>
  </si>
  <si>
    <t xml:space="preserve">Progam digantikan dengan sidak Mess Shift 1 &amp; 2 </t>
  </si>
  <si>
    <t>20 Juli 2022</t>
  </si>
  <si>
    <t>Belum dilakukan evaluasi efektifitas program preworking dan OJK yang sudah berjalan</t>
  </si>
  <si>
    <t>Melakukan evaluasi efektifitas program OJK</t>
  </si>
  <si>
    <t>LPI-47-VI-2022- MACO</t>
  </si>
  <si>
    <t>KM 39</t>
  </si>
  <si>
    <t>Mamat</t>
  </si>
  <si>
    <t xml:space="preserve">Pada tanggal 11 Juni 2022 saya masuk hari ke 13 shit 1, onsite 33 hari.
Pada tanggal 09 Juni 2022 saya masuk shift 1, saya mengoperasikan unit DT 0124 Kancil.
Pada waktu itu saya mengikuti p5m langsung ke workshop di antar pak Freddy menunggu di workshop. Setelah jam istirahat unit diinformasikan ready kemudian melakukan p2h unit di workshop setelah perbaikan taus transmisi, saat p2h banyak temuan seperti memori card dll.
Tanggal 10 Juni 2022 saya bangun 04.30 kemudian mandi dan ke kantin, sekitar pukul 05.45 saya tiba di CSA, 06.20-06.25 melakukan p2h unit di workshop, saya di antar pak Fredi ke sana, saat p2h unit banyak ada temuan hose gearbox steering rembes, saya konfirmai ke pak Dwi dan di nyatakan ready, pukul 07.18 sampai front OB dumping di simpang mega tank 07.58wib-10.07 WIB loading OB di Haju dan dumping di KM 30. Rest time  di csa lama dan Jumatan, setelah rest time masuk workshop, perbaikan hose gear box steering sampai akhir shift. Sekitar pukul 17.00WIB  di ground test tidak ada bocor  dan saya parkir ke csa baru kemudian saya pulang, ke kantin tidur sekitar pukul 21.00.
Tanggal 11 Juni saya bangun pagi pukul 04.30, mandi, ke kantin dan berangkat ke csa.
Pukul 06.05-06.15 P5M dipimpin oleh pak Aris, pukul 06.25-06.30, melakukan p2h, temuannya muffler bocor, memori card tidak ada, karet wiperglas keropos/
07.38 loading material exca 35 di Haju dan dumping 078.20 di km 34.500.
Loading kembali jam 08.55, pukul 09.32 loading OB rit kedua, dumping di 34.500.
Pukul 10.06 loading kembali travel ke 34.500.
Sekitar pukul 10.30 saat melintas di KM 39.500 tiba-tiba steering tidak bisa dikendalikan ( kondisi kaku/ngelock seperti saat engine mati)
Saya tahan steering supaya tidak ke kanan, tetapi tidak bisa.
Di saat bersamaan sambil melakukan pengereman hingga berhenti di tanggul di kecepatan sekitar 35040km/jam, gear transmisi  di gear 7 high.
Setelah nabrak saya pasang traffic cone depan dan belakang.
Wheelchock tidak bisa di ambil karena berada di sisi kanan, terhalang tanggul.
Selang 10 menit pak Fredi datang, ditanya sama pak Fredi, kemudian saya dibawa ke klinik. </t>
  </si>
  <si>
    <t>Melakukan pemeriksaan steerting pump system unit yang beroperasi saat periodical service</t>
  </si>
  <si>
    <t>15 Juli 2022</t>
  </si>
  <si>
    <t>Melakukan Penggantian O-Ring agar tidak terjadi kebocoran</t>
  </si>
  <si>
    <t>Melakukan incident recall</t>
  </si>
  <si>
    <t>Operator terlambat melakukan pengereman</t>
  </si>
  <si>
    <t>Refresh pengoperasian unit DT kepada operator DT 20 T</t>
  </si>
  <si>
    <t>O-ring belum mencapai umur pakai (life time)</t>
  </si>
  <si>
    <t>Memasukkan penggantian O-ring dalam periodical service HM 2000</t>
  </si>
  <si>
    <t>Membuat standarisasi penggantian O-ring steering pump system sesuai HM</t>
  </si>
  <si>
    <t>Pemeriksaan yang dilakukan secara visual pada komponen luar (O-ring berada di dalam komponen)</t>
  </si>
  <si>
    <t>Melakukan pemeriksaan area O- ring secara keseluruhan pada saat melakukan Periodical Service khususnya bagian komponen steering</t>
  </si>
  <si>
    <t xml:space="preserve">Fokus pengendalian steering </t>
  </si>
  <si>
    <t>Melakukan tindakan disiplin sesuai dengan SPDK yang berlaku</t>
  </si>
  <si>
    <t>LPI-48-VI-2022- MACO</t>
  </si>
  <si>
    <t>KM 21  - SHR</t>
  </si>
  <si>
    <t>Eko Suroyo</t>
  </si>
  <si>
    <t>1. Pukul 04.30 WIB Sdr. ES bangun, mandi dan mengenakan seragam kemudian sholat subuh dan dilanjutkan makan ke kantin.
2. Pukul 04.50 WIB menunggu manhaul di samping klinik untuk berangkat menuju CSA.
3. Pukul 05.00 WIB berangkat menuju CSA.
4. Pukul 05.10 WIB menemui Sdr. Ervan (Pengawas) dan mendapat settingan DT 013.
5. Pukul 05.25 WIB mengikuti P5M Bersama 4 karyawan lainnya yang dibawakan oleh Sdr. Dwi Istiawan (Materi terkait dengan, Fatigue, Traffic di crossing 68 &amp; 66, dan jarak beriringan)
6. Pukul 05.30 WIB menuju DT 013 untuk melakukan P2H (Terdapat deviasi, APAR di dalam kabin tidak ada dan wheelchock kurang 1 Pcs)
7. Pukul 05.33 WIB berangkat menuju ROM Product WS-1 (Loading PC 036) dan sampai di ROM pukul 06.04 WIB
8. Pukul 06.15 WIB selesai melakukan loading langsung berangkat menuju port (Sempat berhenti di KM 77 dikarenakan filter tersumbat dan melakukan pengechekan tyre no 4 karena dirasa goyang (Terasa di steering) dan saat dilakukan pengecekan tidak ditemukan deviasi (dalam kondisi baik).
9. Melanjutkan perjalan ke Port, saat di KM 34 bertemu dengan DT 030-135 dan beriringan.
10. Saat di KM 21 mendengar informasi dari DT 135 adanya DT AKT muatan yang membawa bahan peledak
11. DT AKT yang membawa bahan peledak mengambil jalur ketengah sehingga DT 030-135 menepi ke arah kiri untuk memberikan kesempatan lewat
12. Sdr. ES kemudian melakukan pengereman namun tidak berhasil dan menabrak vassel kiri bagian belakang DT 030-135.
13. Operator DT 030-135 kemudian berhenti dan turun untuk membantu Sdr. ES yang terjepit dengan mendorong steering DT 013 ke depan namun tidak bergerak (Kursi ngelock) 
14. Setelah berusaha sekitar 10 menit Oprt DT 030-135 kemudian berhasil mengeluarkan kaki kiri Sdr. ES. 
15. Operator DT 030-135 kemudian bermaksud mengeluarkan kaki ES sebelah kanan yang masih terjepit namun tetap tidak bisa.
16. Tidak lama berselang datang Sdr. AH (Pengawas AMC) dari arah muatan, dan berhenti untuk membantu kemudian dikomunikasikan by radio di channel emergency
17. Tidak berselang lama team ERT Tuhup datang ke lokasi kejadian dan melakukan Tindakan pertolongan pertama dengan memberikan oksigen lalu membuka kabin kanan yang menjepit kaki kanan Sdr. ES menggunakan alat pemotong.
18. Sekitar 20 menit proses evakuasi oleh tim ERT selesai dan Sdr. ES langsung dibawa ambulance menuju klinik ISOS Tuhup.</t>
  </si>
  <si>
    <t>Motivasi yang Tidak layak
Sdr. ES tidak fokus ke depan karena  melakukan aktifitas lain cas HP
(Fakta keterangan Korban)</t>
  </si>
  <si>
    <t>Penambahan materi dalam Induksi Pasca cuti terkait larangan melakukan aktifitas lain &amp; mensosialisasikan terhadap semua karyawan</t>
  </si>
  <si>
    <t>Continue</t>
  </si>
  <si>
    <t xml:space="preserve">Beny Permana </t>
  </si>
  <si>
    <t xml:space="preserve">USA -16 Gagal Mengamankan
Sdr. ES tidak mengurangi kecepatan saat melintas Km 20.500 (Fakta hasil rekaman depan indash camera DT 013) 
</t>
  </si>
  <si>
    <t xml:space="preserve">Memberikan sanksi sesuai dengan aturan yang berlaku kepada operator </t>
  </si>
  <si>
    <t>5 Juli 2022</t>
  </si>
  <si>
    <t>Gagal Mengamankan
Sdr. ES terlambat melakukan pengereman saat DT 030-135 di depannya mengurangi kecepatan
(Fakta hasil rekaman depan indash camera DT 013)</t>
  </si>
  <si>
    <t>Pemeliharaan rambu-rambu yang tidak layak
Terdapat rambu kecepatan 50 km / jam Eks AKT di tanjakan jalan hauling SHR km 20.500 yang tidak sesuai dengan kondisi jalan</t>
  </si>
  <si>
    <t xml:space="preserve">Melakukan mapping kesesuaian rambu - rambu jalan hauling khususnya di area tanjakan dan turunan </t>
  </si>
  <si>
    <t xml:space="preserve">Standar jalan yang tidak memadai
Terdapat penyempitan jalan hauling di SHR Km 21 
(Fakta pengukuran Lebar jalan 8.6 meter) </t>
  </si>
  <si>
    <t xml:space="preserve">Melakukan assesment dan perbaikan terhadap standar geometri jalan diarea SHR KM 21 </t>
  </si>
  <si>
    <t>Sistem peringatan yang kurang
Lampu belakang (Brake) DT 135 tidak terlihat oleh Opt DT 013 saat pengereman karena tertutup lumpur
(Fakta evident lampu belakang tertutup lumpur)</t>
  </si>
  <si>
    <t>Pembersihan berkala lampu belakang (Brake) yang tertutup lumpur</t>
  </si>
  <si>
    <t>Motivasi yang Tidak layak
Operator DT 013 tidak menjaga jarak aman beriringan antara unit
(Fakta : Hasil rekaman indas camera jarak beriringan kurang dari 70 M)</t>
  </si>
  <si>
    <t>Menjadwalkan sidak gabungan bersama terkait jarak aman beriringan antar unit</t>
  </si>
  <si>
    <t xml:space="preserve"> 'Mereview jarak delineator untuk memudahkan batas jarak aman antar unit 40 Meter</t>
  </si>
  <si>
    <t>31 Sep 2022</t>
  </si>
  <si>
    <t>LPI-49-VI-2022- MACO</t>
  </si>
  <si>
    <t>Parkiran Transcon CHPP</t>
  </si>
  <si>
    <t>Lalianto</t>
  </si>
  <si>
    <t>Pukul 17.30 WIB sdr IP menuju CSA Haju, melaksanakan P5M kemudian P2H unit DT040-0028 (tidak ada deviasi) kemudian unit travel ke port untuk dumping muatan. Setelah dumping, unit melanjutkan tracvel ke CHPP dan menuju loading point EX28 produk WS1 pada pukul 20.30. Kemudian unit melanjutkan travel ke port, setelah dumping unit menuju CSA Haju untuk refuelling unit
Kemudian unit melanjutkan travel ke CHPP dan langsung ke loading point EX26 mengambil muatan produk WS2 sesuai arahan pengawas ROM. Pada pukul 01.20 WIB unit selesai mengisi muatan kemudian menuju ke CSA Lampunut untuk istirahat (makan, tidur), saat akan masuk CSA, sdr IP melihat terdapat 3 lokasi parkir unit kosong yang berada di sebelah sudut CSA. Pada saat akan parkir, unit manuver searah jarum jam, saat manuver pertama dan mundur, vessel belakang unit mengenai DT030-0089 yang parkir di sampingnya. Kemudian sdr IP turun dari unit dan melaporkan kejadian tersebut ke pengawas</t>
  </si>
  <si>
    <t>Pembagian area parkir unit tidak detail</t>
  </si>
  <si>
    <t>Pemasangan rambu parkir area khusus unit DT, Khusus unit MH, Khusus unit Support, Khusus unit A2B</t>
  </si>
  <si>
    <t>Pemasangan rambu PIC Area di CSA Lampunut</t>
  </si>
  <si>
    <t>Telampir</t>
  </si>
  <si>
    <t>Melakukan review TMP CSA Lampunut</t>
  </si>
  <si>
    <t>Tidak memperhatikan panjang unit saat manuver mundur (terburu-buru)</t>
  </si>
  <si>
    <t>Grounded operator (refresh inclas &amp; kegiatan Lapangan)</t>
  </si>
  <si>
    <t>Sanksi SPDK kepada operator SP1, LB2</t>
  </si>
  <si>
    <t>LPI-50-VI-2022- MACO</t>
  </si>
  <si>
    <t>Km 16</t>
  </si>
  <si>
    <t xml:space="preserve">Erik Ruswidiansyah </t>
  </si>
  <si>
    <t xml:space="preserve">
23 Juni 2022
07.00-17.00 WIB : Operator mengoperasikan CT010-0020 tidak ada kendala
17.00-18.00 WIB : Operator melakukan loading  LB3 Oli bekas dari dalam TPS ke bak   CT010-0020 bersama dengan Tim Enviro, dan tidak ditemukan kendala    pada IBC
24 Juni 2022
07.00 WIB : Operator melakukan P2H dan ditemukan adanya veleg bekas daritim Tyre untuk dibawa keTuhup
08.00 WIB : Pengawas Plant Support mengajukan manifest loading/unloading limbah ke SHE
09.40 WIB : Pengawas menginstruksikan kepada operator CT untuk berangkat sambil menunggu manifest di approve oleh PT MC
10.35 WIB : Operator  mendapatkan Komunikasi dari pengawas RM kalau terdapat tetesan Oli dari CT. Operator Berhenti dan kemudian memeriksa terdapat IBC yang tertusuk oleh Braket IBC
10.39 WIB : Tim SHE mengajukan Manifest loading/unloading  LB3 ke PT MC (email Pak Hendriyana Rachman) melalui email dikarenakan setiap pengajuan di kirikan oleh admin dari Lampunut
10.40 WIB : IBC LB3 mengalami kebocoran di KM 16+500
10.40 WIB : Operator melakukan reposisi IBC yang bocor dan menyumbat kebocoran dengan sarungtangan
11.00 WIB : Operator kemudian melanjutkan perjalanan dan menginstruksikan kepada pengawas RM untuk melakukan penangggulan di area Tumpahan.
11.20 WIB:  Unit CT010-020 tiba di TPS Tuhup dan ditemukan adanya ceceran Oli dari bak CT dan dilakukan pemeriksaan kondisi ceceran. Operator menghubungi GL Plant (Dwy Fitriyanor) perihal adanya ceceran di KM 16+500 dan sekitar TPS Tuhup.
12.00 WIB:  Tim SHE mendapatkan informasi mengenai ceceran limbah di TPS Tuhup dan pukul 13.00 WIB melakukan penanganan ceceran dengan mengambil tanah terkontaminasi dan di bawa ke TPS Tuhup
15.00 WIB: Tim SHE, Enviro, ERT serta ERT AMC melakukan penanganan ceceran oli bekas di badan sungai KM 16+500 dengan membawa Spill kit (absorbent boom, absorbent pad, cangkul, drum wadah, serta trashbag). 2 drum air terkontaminasi ceceran oli bekas dibawa ke TPS LB3 Tuhup.
25 Juni 2022
09.00 WIB: Tim SHE, Enviro, dan ERT melanjutkan proses penganganan ceceran minor oli bekas pada tanah dan rumput sekitar badan air.
12.00 WIB: Tim SHE, Enviro, dan ERT membawa tanah &amp; rumput terkontaminasi ceceran oli bekas ke TPS LB3 Tuhup sebanyak 1/2 drum. Area dinyatakan telah selesai dilakukan penanganan ceceran oli bekas dan kondisi lingkungan sekitar dinyatakan aman dari ceceran oli bekas.
Akibat kejadian:
Manusia                               : Aman
Peralatan                             : IBC Bocor
Lingkungan                          : terdapat ceceran oli bekas ke tanah estimasi 500 Liter</t>
  </si>
  <si>
    <t>Belum terdapat prosedur Pengiriman limbah B3</t>
  </si>
  <si>
    <t>Membuat prosedur Pengiriman limbah B3</t>
  </si>
  <si>
    <t>Sosialisasi prosedur Pengiriman limbah B3 kepada seluruh tim Plant terkait</t>
  </si>
  <si>
    <t>Melakukan evaluasi terhadap pelaksanaan Prosedur pengiriman limbah B3</t>
  </si>
  <si>
    <t>Pengawas menginstruksikan unit jalan dalam kondisi manifest belum approve AMC</t>
  </si>
  <si>
    <t>Sanksi SPDK terhadap pengawas</t>
  </si>
  <si>
    <t>Prosedur Pengangkatan belum secara spesifik menyebutkan metode pengangkatan IBC</t>
  </si>
  <si>
    <t>Melakukan review prosedur dengan menambahkan metode pengangkatan IBC</t>
  </si>
  <si>
    <t>Sosialisasi prosedur pengangkatan yang telah ditambahkan metode pengangkatan IBC</t>
  </si>
  <si>
    <t>Melakukan evaluasi terhadap pelaksanaan Prosedur pengangkatan IBC</t>
  </si>
  <si>
    <t xml:space="preserve"> Tidak ada pemeriksaan dokumen manifest dan kondisi muatan (IBC)</t>
  </si>
  <si>
    <t>Manifest dan aktual tidak sesuai</t>
  </si>
  <si>
    <t>Sanksi Administrasi kepada PIC Pengangkutan</t>
  </si>
  <si>
    <t xml:space="preserve">Unit pengangkut LB3 belum tersedia perlengkapan  Emergency Spill kit </t>
  </si>
  <si>
    <t xml:space="preserve">Melengkapi Truck pengangkut LB3 dengan Emergency Spill Kit </t>
  </si>
  <si>
    <t xml:space="preserve">Melengkapi secondary Containment pada aktifitas pengiriman LB3 </t>
  </si>
  <si>
    <t>Operator tidak melakukan kontak emergency</t>
  </si>
  <si>
    <t>Sanksi Administrasi kepada operator</t>
  </si>
  <si>
    <t>Melakukan sosialisasi terkait prosedur keadaan darurat kepada Tim Plant</t>
  </si>
  <si>
    <t>LPI-51-VI-2022- MACO</t>
  </si>
  <si>
    <t>Akses Masuk Sump Pit North</t>
  </si>
  <si>
    <t>Fitriadi</t>
  </si>
  <si>
    <t>1. Sekitar pukul 08.00 WIB operator HD 785 - 093 mulai tidur dan bangun pukul 12.00 WIB, selanjutnya makan siang dan pada 14.00 WIB tidur Kembali dan bangun pukul 16.00 WIB.
2. Sekitar  pukul 16.00 WIB melakukan mandi, kemudian ke kantin makan, dan dilanjutkan ke shelter menunggu manhaul sekitar pukul 17.20 WIB.
3. Sekitar pukul 17.30 WIB menuju shelter CSA mining dengan manhaul .
4. Sekitar pukul 17.50 WIB melakukan sholat, kemudian mengikuti P5M yang dimpimpin oleh Sdr. Adi Suprapto membahas terkait dengan settingan unit dan pesan keselamatan .
5. Sekitar pukul 18.00 WIB menuju unit untuk melakukan P2H, dan tidak ada ditemukan deviasi pada unit HD 093, dan selanjutnya minta tanda tangan P2H ke pengawas.
6. Sekitar pukul 18.10 WIB mulai mengoperasikan unit HD 093 dan melakukan loading di Exca 039 sampai sekitar pukul 19.20 WIB, dan selanjutnya loading di Exca 037 di area Sump sampai dengan 
    Restime.
7. Sekitar pukul 00.00 – 01.00 WIB melakukan istirahat di Disposal 270 (Aktifitas tidur).
8. Sekitar pukul 01.00 WIB bangun karena alarm berbunyi, kemudian langsung menuju ke front loading Exca 037 di area sump.
9. Sekitar pukul 01.10 WIB sampai di akses masuk Sump, kemudian antri beriringan dengan 2 unit DT Coal (DT DT 1013 yang berada tepat di depan HD 093, dan 1 unit DT di depan DT 1013 yang 
    tidak diketahui no lambungnya.
10. Saat antri tidak memasang parking brake, dan hanya menginjak service brake, kemudian pada saat antri kurang lebih 5 menit mulai blank/ microsleep.
11.Sekitar pukul 01.15 WIB unit HD 785 - 093 maju perlahan dan menabrak bagian belakang  DT 1013 yang ada di depan, kemudian operator HD093 terkejut dan langsung memasang parking 
       brake.
12. Setelah kejadian operator HD 93  menghubungi Sdr. Adi Suprapto di channel radio 22 dan menginformasikan adanya kejadian incident  Lalu Sdr. Adi Suprapto datang diantar sarana.</t>
  </si>
  <si>
    <t>Operator mengalami fatigue (microsleep) pada saat antri diarea front laoding sump elv. 230 
(Berdasarkan keterangan operator pada saat interview)</t>
  </si>
  <si>
    <t xml:space="preserve">Memberikan Sanksi Administratif kepada operator HD 0785 - 093 Sesuai dengan SPDK / PKB </t>
  </si>
  <si>
    <t>Hadran</t>
  </si>
  <si>
    <t xml:space="preserve">Melakukan Recall Insiden Kepada seluruh karyawan </t>
  </si>
  <si>
    <t xml:space="preserve">Melakukan sidak gabungan oleh manajemen &amp; serikat diarea mess karyawan shift 1 &amp; 2 yang fokus pada pengelolaan istirahat karyawan di mess </t>
  </si>
  <si>
    <t xml:space="preserve">Fadly </t>
  </si>
  <si>
    <t xml:space="preserve">Melakukan Refresh fatigue manajemen kepada karyawan pada saat reinduksi pasca cuti karyawan </t>
  </si>
  <si>
    <t xml:space="preserve">Simson Rosidi </t>
  </si>
  <si>
    <t>Operator HD090-093 tidak memasang handbreak saat antri di area front loading -- &gt; Operator hanya menginjak service brake
(Bukti dari keterangan operator langsung saat wawancara)</t>
  </si>
  <si>
    <t xml:space="preserve">Tidak menjaga jarak aman pada saat antri diarea front loading. 
(Actual jarak antri Unit HD- 093  dengan unit DT DT 030 - 1013 10 M ) </t>
  </si>
  <si>
    <t xml:space="preserve">Melakukan assesment bersama area front loading OB dan Coal yang berdekatan diarea low wall dengan 1 jalur akses </t>
  </si>
  <si>
    <t xml:space="preserve">Melakukan review area pengawasan diarea pit telah sesuai dengan radius 300 meter </t>
  </si>
  <si>
    <t xml:space="preserve">Pengaturan traffic manajemen untuk area di area front loading OB &amp; Coal yang berdekatan diarea low wall dengan 1 jalur akses </t>
  </si>
  <si>
    <t>JUL</t>
  </si>
  <si>
    <t>LPI-52-VII-2022- MACO</t>
  </si>
  <si>
    <t>Workshop Lampunut</t>
  </si>
  <si>
    <t>Vinsa Cahyo Hadi Saputro</t>
  </si>
  <si>
    <t>1.Pada tanggal 7 Juli 2022 pukul 06.45 Sampai dimess lepas shift 2, kemudian persiapan mandi. Cuci pakaian. 
2.Pukul 08.00 WIB – 12.30 WIB istirahat (tidak ada jeda atau terbangun)
3.Pukul 12.30 – 13.00 WIB melakukan sholat kemudian lanjut istirahat sampai dengan pukul 15.30 WIB. 
4.Pukul 18.10 WIB berangkat menuju workshop menggunakan manhaul, sampai di workshop lampunut, kemudian lanjut sholat isha &amp; mengikuti P5M -&gt; Pengawas yang menyampaikan materi oleh pengawas dengan pembagian job, pesan keselamatan yaitu penggunaan APD kacamata, sarung tangan dan masker dan helm dan briefing singkat yang dilakukan oleh pengawas.
5.Pukul 19.30 WIB sdr vinsa menyiapkan tools -&gt; mengambil tools yang dibutuhkan dari tools room -&gt;  kepada tools keeper a.n defrit dengan list : Power WrencH, Socket 1 “ ukuran 54 mm &amp; 60 mm &amp; 33 mm, Impact 1, Impact ½ ‘
6. Pukul 20.00 WIB melakukan pekerjaan di Unit DT 1004 dengan 3 orang mekanik ( sdr Frendy. Diki, Yugo). 
7. Setelah selesai pekerjaan di DT 1004, kemudian istirahat sebentar pada pukul 22.30 WIB sdr vinsa &amp; 3 orang mekanik lainnya akan melanjutkan pekerjaan pada unit DT 086 diarea bays workshop dengan kerusakan knuckle rusak pada saat itu ada proses remove king ping. 
8. Kemudian sdr vinsa dan 3 mekanik lain (sdr yugo, sdr frendy, sdr diki) menggunakan tools / alat bantu kerja yang sama menuju unit DT 086 -&gt; kemudian sdr vinsa mengambil alat bantu kerja palu tembaga  5 kg di tools room.
9. Kemudian Sdr vinsa menuju unit DT 086 diarea bays workshop, langsung memposisikan untuk memukul king pin dengan palu -&gt;  pukulan pertama dilakukan oleh sdr vinsa, kemudian bergantian dengan frendy. Pukulan kedua kemudian bergantian dengan sdr yugo dan diki. Kemudian didapatkan kondisi king pin sudah sejajar dengan bearing,
10. Kemudian sdr vinsa berinisiatif mengambil extension tools yang berada di area sekitar bays workshop. Kemudian sdr vinsa memposisikan extension tools di atas king pin dengan sdr diki berada dibelakang sdr vinsa --&gt; 2 orang mekanik lainnya (sdr yugo &amp; frendy) berencana melakukan pemukulan bergantian. 
11.Kemudian, pukulan pertama dilakukan oleh sdr yugo &amp; pukulan berganti ke sdr frendy, pada saat pukulan ke dua tiba-tiba tangan kiri terkena lentingan material palu yang telah crack / retak pada bagian surface palu. 
12.Kemudian sdr vinsa keluar dari area kerja, meminta pertolongan kepada mekanik yang berada disekitar, kemudian sdr alif datang ke lokasi &amp; melakukan pembersihan luka menggunakan cairan infus yang diambil dari kotak P3K 
13.Pukul 00.00 WIB sdr Vinsa dievakuasi menuju klinik PEARL di CHPP untuk dilakukan penangan lebih lanjut. 
14.Setelah dilakukan penangan sdr vinsa Kembali ke area workshop untuk mengikuti safety recall -&gt; yang disampaikan oleh sdr benny martinus. 
15.Setelah safety recall sdr vinsa minum obat yang diberikan oleh dokter -&gt; lanjut istirahat sampai akhir shift. memegang bolt, sehingga menyebabkan luka di lengan tangan kiri</t>
  </si>
  <si>
    <t>Extention tools yang digunakan oleh mekanik tidak standar
Fakta extention tools dibuat oleh mekanik sesuai dengan kebutuhan (modifikasi)</t>
  </si>
  <si>
    <t>Melakukan penggantian extension tools dengan chicken tools</t>
  </si>
  <si>
    <t xml:space="preserve">Progress WS </t>
  </si>
  <si>
    <t>Ronald S</t>
  </si>
  <si>
    <t>Palu yang digunakan oleh mekanik pecah pada sisi ujung kiri 
(Fakta ditemukan keretakan/crack pada bagian surface palu 5kg)</t>
  </si>
  <si>
    <t>Melaksanakan daily inspeksi alat bantu kerja di area tools room oleh tool keeper</t>
  </si>
  <si>
    <t>Melakukan perbaikan palu yang terdapat keretakan pada sisi surface hingga rata</t>
  </si>
  <si>
    <t>Penempatan personil yang tidak tepat 
(Fakta penjaga tools room bukan tool keeper)</t>
  </si>
  <si>
    <t>Melakukan update surat penunjukan tool keeper sesuai dengan SO Plant terbaru</t>
  </si>
  <si>
    <t>Melakukan mapping kompetensi tool keeper sesuai dengan level jabatan.</t>
  </si>
  <si>
    <t>Singgih P</t>
  </si>
  <si>
    <t>Menunjuk pengawas plant sebagai tool inspector</t>
  </si>
  <si>
    <t>Tool keeper tidak memahami standar tools yang layak sebelum digunakan 
Fakta 'Kompetensi tool keeper belum terpenuhi  (baru mendapatkan training induksi )</t>
  </si>
  <si>
    <t>Melakukan pelaksanaan training basic tools kepada tools keeper</t>
  </si>
  <si>
    <t>progress sesuai dengan time frame pelatihan</t>
  </si>
  <si>
    <t>Pengawas tidak membuat analisa keselamatan sebelum bekerja 
Fakta tidak ada dokumen JSA yang dibuat &amp; di sosialisasikan oleh pengawas</t>
  </si>
  <si>
    <t>Membuat JSA pekerjaan Remove King Pin pada unit DT</t>
  </si>
  <si>
    <t>Membuat JSA semua kegiatan rutin dan non rutin aktifitas maintenance</t>
  </si>
  <si>
    <t>Memberikan sanksi administratif kepada pengawas langsung sesuai dengan SPDK &amp; PJA terkait tidak ada JSA untuk pekerjaan</t>
  </si>
  <si>
    <t>Eko Iswanto</t>
  </si>
  <si>
    <t>Belum terdapat standar parameter alat bantu kerja (common tools)</t>
  </si>
  <si>
    <t>Membuat standar parameter alat bantu kerja (common tools)</t>
  </si>
  <si>
    <t>Progress</t>
  </si>
  <si>
    <t>LPI-53-VII-2022- MACO</t>
  </si>
  <si>
    <t>Km 3+500</t>
  </si>
  <si>
    <t>Akhmad Firdaus</t>
  </si>
  <si>
    <t>Sdr. AF berangkat CSA Haju Tanggal 7 Juli 2022 menggunakan Manhaul 17.10 WIB. Setiba di CSA kemudian mengikuti P5M bersama pengawas dan operator shift 2 . Sdr. AF mendapat informasi untuk mengoperasikan unit DT030-083 kemudian melakukan P2H. Hasil P2H menyatakan alarm mundur dan alarm fatigue mati. Sdr memberikan lembar copy P2H ke pengawas kemudian pengoperasian unit DT menuju Port Tuhup (kondisi DT sudah muatan) pukul 18.00 WIB. Sdr. AF menghentikan unit DT di KM 34 sesuai dengan arahan pengawas terkait jalan licin paska hujan. 20 menit kemudian melanjutkan perjalanan menuju port saat dinyatakan aman oleh pengawas. Sesampai di port sdr. AF dumping coal kemudian menuju CHPP untuk ritasi berikutnya. Pukul 22.41 sdr. AF sampai di ROM CHPP untuk loading coal. Setelah 5 menit loading coal, sdr. AF berangkat menuju Port.
Pukul 00.00 sdr. AF berhenti di KM 30 untuk mengambil pesanan makan di warung. Pukul 00.39 sdr. AF melintas di KM 3+500 (Jalur Muatan) di track menurun dengan gear speed 11, namun ketika melalui tanjakan DT 030-083 tidak kuat menanjak dengan kondisi gear tetap 11  kemudian diturunkan menjadi gear 9, gear 7, hingga gear 6 dan DT berhenti. Sdr. AF menginjak pedal brake dan mengaktifkan parking brake namun unit DT030-083 tetap mundur perlahan. Sdr. AF berusaha menjaga jalur tetap di jalur muatan saat DT berjalan mundur. Ketika melihat spion kiri, posisi DT terlalu dekat dengan tanggul jalur muatan. Sdr AF mengarahkan kemudi ke kanan namun posisi DT beralih ke jalur kosongan hingga roda 7-8 dan 11-12 terperosok ke drainase jalur kosongan hingga hilang kendali. DT030-083 Rebah di KM 3+500 Jalur Kosongan.
DT dalam kondisi rebah ke kanan, Sdr. AF yang masih berada di dalam kabin langsung menginformasikan kejadian di channel 6 namun tidak ada respon. Terdapat sarana AKT (2 orang) yang lewat kemudian berhenti dan membantu membuka pintu DT sisi penumpang. Tim ERT SIS (Edi &amp; Fran) datang di lokasi dan membantu membersihkan barang yang ada dalam kabin DT 083 kemudian membantu Sdr. AF keluar dari kabin. Mobil AKT masih standby di TKP. Sdr. AG dibawa menuju klinik Tuhup oleh ERT SIS untuk dilakukan pemeriksaan kesehatan</t>
  </si>
  <si>
    <t>Operator terbiasa melewati tanjakan menggunakan gear 11 atau 9 karena merasa mampu</t>
  </si>
  <si>
    <t>Grounded operator DT</t>
  </si>
  <si>
    <t>PHK</t>
  </si>
  <si>
    <t>Evaluasi Hasil grounded selama 1 minggu</t>
  </si>
  <si>
    <t>Sanksi sesuai SPDK yang berlaku</t>
  </si>
  <si>
    <t xml:space="preserve">Operator terbiasa menggunakan mode driving standart di jalan tanjakan </t>
  </si>
  <si>
    <t>Refresh inclass pengoperasian DT Scania</t>
  </si>
  <si>
    <t>Belum terlaksananya pemeriksaan brake system seluruh unit scania sesuai rekomendasi insiden sebelumnya</t>
  </si>
  <si>
    <t xml:space="preserve">Pengecekan brake system seluruh unit Scania </t>
  </si>
  <si>
    <t>Melaksanakan rekomendasi perbaikan dari hasil pengecekan Brake System seluruh unit scania</t>
  </si>
  <si>
    <t xml:space="preserve">Sosialisasi kepada seluruh mekanik terkait PI &amp; PS pada hasil rekomendasi pengecekan brake system unit scania </t>
  </si>
  <si>
    <t>Melaksanakan PI &amp; PS dengan hasil rekomendasi pengecekan brake system (berdasarkan rekomendasi insiden sebelumnya yang serupa</t>
  </si>
  <si>
    <t>LPI-54-VII-2022- MACO</t>
  </si>
  <si>
    <t xml:space="preserve"> KM 30+000</t>
  </si>
  <si>
    <t>Agoeng Adhi Kurniawan</t>
  </si>
  <si>
    <t xml:space="preserve">DT040-0009 melakukan operasi setelah dilakukan P2H oleh Sdr. Agoeng (Operator DT) pada awal Shift II dan tidak ditemukan kendala, unit beroperasi dari awal shift menuju ke Port Tuhup dalam kondisi muatan pada pukul 18.30. 
Pukul 19.55 DT040-0009 tiba di port tuhup untuk bongkar batubara kemudian berangkap lagi ke CHPP (ritasi ke-2) 5 menit kemudian. Pukul 22.00 DT040-0009 tiba di ROM CHPP. Loading Ex 27 (produk CO1). 
Pukul 22.10 DT040-0009 menuju port tuhup dari CHP. Kondisi hujan di beberapa titik di KM 68 sampai Simpang Haju
Pukul 23.30 DT040-0009 Tiba di KM 33+000 kondisi gerimis. Sdr Agoeng berencana parkir di depan warung Mama Mega namun sudah ada 3 unit DT yang parkir. Sdr Agoeng melanjutkan perjalanan ke KM 30+500 untuk parkir di halte
Pukul 23.45 Tiba di halte KM 30+500 untuk standby dan tidur menunggu hujan reda. Pukul 03.00 Sdr. Agoeng bangun tidur. Kondisi masih gerimis, Sdr. Agoeng memindahkan unit ke KM 30+200 di depan warung mama Ito untuk menghindari antrian unit DT yang terlalu banyak. Unit DT040-0009 Beriringan dengan MH 015
Pukul 03.10 Unit DT040-0009 berada di depan warung mama ito (KM 30+200). Sdr Agoeng mengambil jalur ke kiri mendekati tanggul dan kemudian berhenti untuk memberi jalan pada DT AKT yang melintas sebanyak 2 unit beriringan dari jalur Muatan. Saat berhenti di jalan tersebut, secara perlahan base jalan amblas dan unit miring ke kiri kemudian rebah pada tanggul.
</t>
  </si>
  <si>
    <t>Operator dalam pengaruh alkohol pada saat  operasi  (terbukti dalam hasil pemeriksaan medis)</t>
  </si>
  <si>
    <t>Incident  Recall saat P5M kepada semua Operator</t>
  </si>
  <si>
    <t>Sanksi sesuai SPDK kepada operator</t>
  </si>
  <si>
    <t>Pelaksanaan Sidak Drug test dan Alco test 1x/minggu (20 Sample random)</t>
  </si>
  <si>
    <t xml:space="preserve">Continue </t>
  </si>
  <si>
    <t>Benny P.</t>
  </si>
  <si>
    <t>USA 16 - Pelanggaran Prosedur Pengoperasian Unit</t>
  </si>
  <si>
    <t>Pemasangan Rambu Batas AWR di KM 39</t>
  </si>
  <si>
    <t xml:space="preserve"> Kurangnya Kontrol Pengawasan pada saat jam kerja</t>
  </si>
  <si>
    <t xml:space="preserve">Mewajibkan pengawas melakukan pengawasan di area KM 30 pada saat kondisi hujan </t>
  </si>
  <si>
    <t>Penambahan delineator / penanda pada titik paritan yang dalam di Area SHR</t>
  </si>
  <si>
    <t xml:space="preserve">Menentukan titik - titik kritis area pengawasan hauling </t>
  </si>
  <si>
    <t>LPI-55-VII-2022- MACO</t>
  </si>
  <si>
    <t xml:space="preserve"> KM 75+500</t>
  </si>
  <si>
    <t>Agusta Hendika</t>
  </si>
  <si>
    <t xml:space="preserve">1. 15 Juli 2022 Pukul 06.30 WIB , Sdr Agusta menuju office untuk mengikuti reinduksi pasca cuti kemudian setelah selesai reinduksi menuju CSA hauling.  
2. 16 Juli 2022 Pukul 16.00 WIB, Sdr Agusta persiapan untuk masuk shift 2, dan menuju CSA Hauling. 
3. 16 Juli 2022 Pukul 16.30 WIB Sdr Agusta sampai di CSA hauling mengikuti P5M disampaikan oleh pengawas sdr Hendri materi terkait informasi kegiatan acara pernikahan warga di KM 30, jaga jarak beriringan dan pembagian job. Setelah selesai mengikuti P5M. menunggu infomasi settingan unit dari pengawas. 
4. 16 Juli 2022 Pukul 18.36 WIB, Sdr Agusta mendapatkan settingan unit  Unit DT 030 – 0109, kemudian menuju unit untuk melakukan P2H (tidak ada temuan ) &amp; refueling. 
5. Pukul 18.46 WIB Sdr Agusta  berangkat dari CSA hauling menuju ROM Product WS II CHPP untuk loading ritase ke - 1 
6. Pukul 19.36 WIB  Sdr Agusta sampai di lokasi loading exca 036 area Rom product WS ii CHPP. 
7. Pukul 19.38 WIB Sdr Agusta Selesai loading, kemudian melanjutkan perjalanan menuju port.
8. Pukul 19.43 WIB Sdr Agusta melintas di depan Post security FO posisi muatan menuju port tuhup. 
9. Pukul 19.44 WIB Sdr Agusta melintasi  LNR KM 78 turunan tikungan pertama hingga  turunan median KM 76.
10. Pukul 19.44 WIB Setelah melewati median turunan KM 76 , sdr agusta melakukan pengereman secara mendadak (harsh braking) untuk mengurangi kecepatan dan membanting steering ke kanan yang menyebabkan unit rebah kekanan dan terseret 20,1 m menabrak tanggul sisi kosongan. 
11. Pukul 19.44 WIB Setelah kejadian berusaha mencari PTT radio unit untuk melakukan pelaporan kejadian (Namun PTT radio terjepit dengan kabin unit) &amp; kemudian melepas seat belt keluar dari unit.  
(Kondisi korban terdapat beberapa luka lecet,  robek ditangan kanan bagian jari tengah, jari manis, jari kelingking dengan diameter +/- 0,3-0,5 cm, luka lecet di daerah pergelangan tangan kiri, luka lecet kaki kiri, luka lebab di lengan tengah tangan kiri dan lebab kaki paha atas sebelah kanan.
12. Kemudian DT 090 melintas dari arah muatan dan berhenti disebelah unit DT 109 untuk menanyakan kondisi korban -- operator DT 090 tidak melakukan pelaporan ke channel emergency karena diinstruksikan korban untuk segera melintas melewati jembatan karena ada 1 unit DT muatan yang berada di belakang. 
13. Kemudian DT 090 melanjutkan perjalanan menuju port, dan berpasasan dengan pengawas AMC sdr martin saat itu melintas dijembatan lampunut arah kosongan  
14. DT 90 menyampaikan kepada pengawas AMC sdr martin untuk melakukan pelaporan kejadian. 
15. Sdr Martin turun dari unit untuk memastikan kondisi korban kemudian melakukan pelaporan ke ERT CH 18.
16. Tim ERT datang dilokasi untuk melakukan evakuasi korban dan membawa korban ke klinik CHPP </t>
  </si>
  <si>
    <t>Employee awareness perihal pelanggaran prosedur
Operator DT 109 beroperasi pada kecepatan berlebih saat turunan (rambu kecepatan 30 km/jam &amp; Wajib Gear 7 di jalan LNR)</t>
  </si>
  <si>
    <t xml:space="preserve">Memberikan sanksi administratif sesuai dengan SPDK kepada operator </t>
  </si>
  <si>
    <t xml:space="preserve">Kondisi jalan di KM 75+ 500 tidak standar (Menurun dan Menikung) </t>
  </si>
  <si>
    <t>Melakukan perbaikan kondisi jalan di akses KM 75+500 (Penambahan median jalan, crossfall, dan superelevasi jalan)</t>
  </si>
  <si>
    <t>Closed</t>
  </si>
  <si>
    <t xml:space="preserve">Ditemukan kondisi brake 3 pos tyre yang tidak standar sehingga mengurangi kemampuan pengereman unit. </t>
  </si>
  <si>
    <t xml:space="preserve">Melakukan pemeriksaan clearance linning dan drum brake seluruh unit DT Volvo </t>
  </si>
  <si>
    <t xml:space="preserve">Evaluasi perilaku mengemudi operator DT belum optimal dilakukan oleh Management PT SIS </t>
  </si>
  <si>
    <t>Melakukan evaluasi perilaku pengemudi terkait metode operasi sesuai dengan fasilitas volvo connect</t>
  </si>
  <si>
    <t>Bambang Sujatmiko</t>
  </si>
  <si>
    <t xml:space="preserve">Pemeriksaan kondisi jalan hauling belum mencakup parameter crossfall &amp; superelevasi </t>
  </si>
  <si>
    <t xml:space="preserve">Melakukan revisi item ceklist inspeksi CHRI dengan menambahkan item crosfall dan superelevasi </t>
  </si>
  <si>
    <t xml:space="preserve">Belum ada standar memory yang dipasang di camera cabin </t>
  </si>
  <si>
    <t xml:space="preserve">Membuat standarisasi dan melengkapi jenis memory indashcamera yang dapat dianalisa. </t>
  </si>
  <si>
    <t xml:space="preserve">Lisensi volvo conect expired &amp; dalam tahap proses perpanjangan lisensi sejak 2 bulan terakhir </t>
  </si>
  <si>
    <t xml:space="preserve">Melakukan proses aktivasi lisensi volvo connect </t>
  </si>
  <si>
    <t xml:space="preserve">Memberikan sanksi administratif sesuai SPDK kepada PIC terkait </t>
  </si>
  <si>
    <t xml:space="preserve">Menunjuk PIC evaluasi program speeding (Tachograf &amp; Volvo Connect) </t>
  </si>
  <si>
    <t xml:space="preserve">Terkendala jaringan / sinyal untuk akses download fitur data volvo connect. </t>
  </si>
  <si>
    <t xml:space="preserve">Menambah bandwitdh jaringan download data volvo connect </t>
  </si>
  <si>
    <t>Prosedur belum disosialisasikan oleh pemilik proses</t>
  </si>
  <si>
    <t xml:space="preserve">Melakukan sosialisasi dan evaluasi perilaku operator sesuai dengan  STD no. MACO/OTR/21/004/STD Perihal Grounded Operator </t>
  </si>
  <si>
    <t>Proses pengecekan clearance (jarak) linning brake dan brake drum hanya dilakukan pada saat unit periodical service (PS I, II, III)</t>
  </si>
  <si>
    <t xml:space="preserve">Melakukan revisi standar cecksheet PI dengan menambahkan item clearance  linning &amp; drum brake  </t>
  </si>
  <si>
    <t xml:space="preserve">Membuat prosedur kerja pemeriksaan test fungsi brake sistem </t>
  </si>
  <si>
    <t xml:space="preserve">Membuat area simulasi pemeriksaan brake. </t>
  </si>
  <si>
    <t xml:space="preserve">Operator DT 109 tidak menggunakan APD (Safety Shoes) pada saat mengoperasikan unit </t>
  </si>
  <si>
    <t xml:space="preserve">Sanksi administratif sesuai SPDK dan PKB kepada operator </t>
  </si>
  <si>
    <t xml:space="preserve">Melakukan reinforcement sidak kepatuhan penggunaan APD dalam unit </t>
  </si>
  <si>
    <t>LPI-56-VII-2022- MACO</t>
  </si>
  <si>
    <t>ROM PIT 1</t>
  </si>
  <si>
    <t>1. Pukul 04.50 WIB Sdr. A bangun, mandi dan mengenakan seragam kemudian sholat subuh dan dilanjutkan makan ke kantin.
2. Pukul 05.15 WIB menunggu manhaul di samping klinik untuk berangkat menuju CSA.
3. Pukul 05.20 WIB berangkat menuju CSA Mining.
4. Pukul 06.30 WIB mengikuti Safety Talk dibawakan oleh Sdr. Hadran dan Sdr. Deny Kuswara (Materi terkait dengan Golden Minig Rules AMC dan Prosedur Dumping Activity)
5. Pukul 06.35 WIB melakukan P2H unit
6. Pukul 06.40 WIB berangkat menuju Front loading untuk loading material GC 1 Seam I rit pertama
7. Pukul 07.20 WIB dumping material GC 1 di ROM PIT 1 rit pertama kemudian megarah ke PIT
8. Pukul 07.35 WIB mengisi fuel di Pitstop mining kemudian kembali ke Front loading
9. Pukul 08.03 WIB kembali loading material GC 1 Seam 2 rit ke 2 kemudian menuju ke ROM PIT 1 untuk dumping di ROM PIT 1
10. Pukul 08.40 WIB DT030-1008 memasuki ROM PIT 1, berpapasan dengan DT-1009 dari arah kosongan yang berhenti di posisi turunan setelah keluar dari akses dumping point GC 1. pada saat DT-1008 akan masuk di akses dumping point dengan kecepatan sekitar 30 m dan transmisi manual gear 3 high. operator memutar stering ke kiri dengan posisi tyre kiri menaiki tanggul jalan setinggi 60 cm dan kemudian unit DT rebah ke kanan
11. Kemudian operator berinisiatif keluar dari unit melewati pintu kiri kabin DT yang rebah dan kopi darat ke operator DZ-43 untuk menginformasikan ke pengawas ROM Sdr. Joni Palingi yang langsung menginformasikan kejadian insiden ke ERT melalui channel 18 emergency.
12. Selang 15 menit Sdr. Sahrul (PJA AMC) dan Sdr. Safrudin (KTT AMC) datang untuk mengecek lokasi insiden karena mendengar komunikasi radio terkait terjadinya insiden, disusul oleh Sdr. Joni Palingi.. Pukul 09.00 WIB team ERT dan Medic datang untuk melakukan evakuasi korban yang posisinya sudah berada di luar kabin DT bersamaan dengan Sdr. Deny kuswara (SHE SIS)
14. Selanjutnya korban dibawa oleh ERT dan paramedic menuju Klinik CHPP untuk dilakukan pemeriksaan lebih lanjut.</t>
  </si>
  <si>
    <t>Operator DT 030-1008 mengoperasikan unit terlalu ke kiri saat masuk akses ROM Pit 1 sehingga tyre kiri DT naik ke atas tanggul yang membuat DT miring ke kanan dan rebah 
(Fakta terdapat jejak ban sisi kiri di tanggul)</t>
  </si>
  <si>
    <t>Memberikan sanksi sesuai PKB kepada Operator DT 1008 dan Siswa OJT Sdr. A</t>
  </si>
  <si>
    <t>Operator mematikan kamera kabin setelah kejadian
(Fakta terdapat bukti rekaman terakhir posisi DT 1008 saat berada di Front)</t>
  </si>
  <si>
    <t>Kegiatan pelatihan OJT tidak dijalankan sesuai SOP yang berlaku.
(Fakta 1 : Dalam SOP Pelatihan kegiatan  OJT tidak memerlukan pendampingan namun aktual Instruktur menugaskan operator settingan unit sebagai pendamping / tidak masuk dalam kriteria operator pendamping)
(Fakta 2 : Kriteria operator pendamping selama pelatihan OPP tidak dapat terpenuhi untuk parameter STD HM min 500 Jam)</t>
  </si>
  <si>
    <t>Memberikan sanksi sesuai PKB kepada management PT SIS Sdr. F &amp; OTD</t>
  </si>
  <si>
    <t>Inisiatif yang salah dari operator menghilangkan barang bukti</t>
  </si>
  <si>
    <t>Kurangnya kontrol Manajemen terkait implementasi SOP pelatihan</t>
  </si>
  <si>
    <t>Memberikan sanksi sesuai PKB kepada management PT SIS Sdr. F</t>
  </si>
  <si>
    <t>Lakukan evaluasi untuk program OPP</t>
  </si>
  <si>
    <t>M Mugiono</t>
  </si>
  <si>
    <t>LPI-57-VII-2022- MACO</t>
  </si>
  <si>
    <t>SHR KM 34</t>
  </si>
  <si>
    <t>Rio Palinggi</t>
  </si>
  <si>
    <t>Sdr. Rio mengoperasikan DT030-0111 pada Tanggal 22 Juli 2022. Pukul 05.30 WIB Sdr. Rio berangkat ke CSA Haju menggunakan Manhaul. 1 Jam kemudian Sdr. Rio mengikuti P5M di CSA Haju. Pukul 07.00 kondisi cuaca gerimis hingga 30 menit berselang. Sdr. Rio menaiki MH 015 (Operator Pak Agung) menuju KM 34+000 di depan warung mama Asih. Unit DT030-0111 diparkir di lokasi tersebut dari shift 2 karena hujan. MH 15 Sampai di KM 34 jam 08.10 WIB. Sdr. Rio melakukan P2H DT030-0111. Running unit selama 15 Menit. Hasil P2H tidak ada kendala
Sdr. Rio melakukan P2H DT030-0111. Running unit selama 15 Menit. Hasil P2H tidak ada kendala. Hujan gerimis mulai pukul 08.30-09.30 WIB. Sdr. Rio menunggu arahan dari pengawas. Pukul 10.00 WIB Sdr. Rio Mengoperasikan DT030-0111 dari KM 34+000 menuju port untuk dumping. Pukul 11.00 WIB tiba di Port. Selesai dumping, Sdr. Rio menuju CHPP untuk loading Coal di ROM dan tiba pukul 13.10 WIB. Ketika melewati KM 34+000 Sdr. Rio menyadari adanya DT030-0118 yang breakdown (B/D) di jalur muatan. Posisi DT030-0118 berada setelah tikungan jalur muatan. DT030-0111 Loading coal di ROM kemudian menuju ke CSA lama depan FO CHPP untuk istirahat. Pukul 15.28 DT030-0111 Tiba di KM 34+500 menuju tikungan sebelum KM 34+000. Sdr. Rio terkejut melihat DT 0118 yang masih breakdown (B/D) di jalur muatan selepas tikungan. Kemudian mengarahkan kemudi ke kanan. Sdr. Rio mengoperasikan unit dengan Gear Speed 8 Manual (Kecepatan 35-40 km/jam). Setelah berhasil menghindari DT 0118 yang B/D, Sdr. Rio berusaha mengarahkan kemudi ke kiri agar kembali ke jalur muatan. Namun kondisi muatan miring ke kanan akibat gaya sentrifugal. Takut unit rebah ke kanan, Sdr. Rio mengarahkan kemudi dengan posisi lurus hingga menyisir bahu jalan jalur kosongan. Sdr. Rio melakukan pengereman secara perlahan. DT030-0111 Amblas di KM 34+000 jalur kosongan pukul 15.30 WIB. Sdr. Rio menghubungi pengawas di CH 6 namun tidak ada respon. kemudian melepas seat belt dan keluar dari kabin penumpang. Tim SHE dan ERT yang sedang patroli rambu, melintas di KM 34+000 dan menghampiri Sdr. Rio yang berdiri di depan unit DT030-0111. Tim ERT menghubungi CH 16 (emergency) dan memanggil ambulance klinik Haju.
Ambulance tiba di KM 34+000 dan membawa Sdr. Rio menuju klinik Haju untuk dilakukan pemeriksaan paska insiden Pukul 16.00 WIB. 20 Menit kemudian Sdr. Rio tiba di Klinik Haju dan dilakukan pemeriksaan paska insiden. 
Hasil Pengecekan :
Fatigue : (-)
Drug Test : (-)
Napza : (-)
Fisik : (-)</t>
  </si>
  <si>
    <t>Operator mengendarai unit dengan kecepatan lebih dari 50 km/jam (overspeed)</t>
  </si>
  <si>
    <t>Incident Recall kepada seluruh tim produksi</t>
  </si>
  <si>
    <t>Konseling dan grounded operator DT</t>
  </si>
  <si>
    <t xml:space="preserve">Operator kurang defensif saat mengoperasikan unit </t>
  </si>
  <si>
    <t>Refreshment Pengoperasian unit DT kepada operator</t>
  </si>
  <si>
    <t>Evaluasi hasil refreshment Pengoperasian unit DT dengan pendampingan setelah 7 hari</t>
  </si>
  <si>
    <t>Kamera tidak merekam video saat kejadian</t>
  </si>
  <si>
    <t>Sanksi sesuai aturan yang berlaku</t>
  </si>
  <si>
    <t>Operator tidak melaporkan kejadian di channel emergency</t>
  </si>
  <si>
    <t>Penambahan informasi channel emergency di dalam kabin unit</t>
  </si>
  <si>
    <t>Penambahan informasi channel emergency di dalam kabin unitPenambahan informasi channel emergency di dalam kabin unit</t>
  </si>
  <si>
    <t>LPI-58-VII-2022- MACO</t>
  </si>
  <si>
    <t>Waterfill KM 6</t>
  </si>
  <si>
    <t>M. Arjuni</t>
  </si>
  <si>
    <t xml:space="preserve">Sdr. M. Arjuni (Fuelman FT73) &amp; Sdr. Mahyudin (Field support PT. BMP) melakukan pengisian solar ke tanki waterfill di KM 6 pukul 08.10 WIB. Pada saat proses pengisisan Sdr. Mahyudin melihat sisi buritan Ponton waterfill terdapat ceceran solar dari lubang breather. Ceceran mengarah ke platform Ponton waterfill dan badan sungai. Mengetahui hal tersebut Sdr. M. Arjuni langsung menghentikan pengisian solar. Sdr. Arjuni dan Mahyudin mengambil absorbent pad &amp; absorben boom yang ada ceceran di platform telah dibersihkan menggunakan absorben pad. Ceceran pada badan air telah ditangani menggunakan absorben pad. Sdr. M. Arjuni dan Mahyudin menuju workshop Tuhup untuk mengabarkan pada pengawas dan membawa ceceran limbah solar ke TPS LB3 Tuhup.
Akibat Kejadian :
Manusia : Aman
Peralatan : Aman
Lingkungan : Ceceran solar 1 Liter
</t>
  </si>
  <si>
    <t>Pengawas tidak melakukan pengecekan kondisi ponton waterfill yang miring</t>
  </si>
  <si>
    <t>Pembinaan sesuai aturan berlaku kepada operator WT</t>
  </si>
  <si>
    <t>Pembinaan sesuai dengan aturan yang berlaku  kepada pengawas</t>
  </si>
  <si>
    <t>M Thasmiadi</t>
  </si>
  <si>
    <t>Pengawas menekankan pada operator FT untuk tidak mengisi bila tidak level/rata pada ponton saat mengisi</t>
  </si>
  <si>
    <t>Rengga</t>
  </si>
  <si>
    <t>Posisi Ponton Waterfill tidak level/miring. Evalasi lebih rendah pada buritan ponton.</t>
  </si>
  <si>
    <t>Levelling posisi Ponton Waterfill KM 6</t>
  </si>
  <si>
    <t xml:space="preserve">Pengisian solar tidak sesuai sesuai prosedur dikarenakan ponton waterfill tidak level/miring </t>
  </si>
  <si>
    <t>Pembinaan sesuai aturan berlaku kepada operator Fuel Truck</t>
  </si>
  <si>
    <t>LPI-59-VIII-2022- MACO</t>
  </si>
  <si>
    <t>HW 1</t>
  </si>
  <si>
    <t>Benteng Andi Saputra</t>
  </si>
  <si>
    <t xml:space="preserve">1. Pukul 04.00. Sdr. B bangun tidur bersiap-siap untuk berangkat kerja
2. Pukul 05.20, Berangkat menuju mining dengan manhaul
3. Pukul 06.00. Mengikuti safety talk yang disampaikan oleh Pengawas (Materi Pemcegahan pencemaran Lingkungan) dan SHE (Materi Prosedur Refueling Unit)
4. Pukul 06.45, Melakukan P2H unit dengan temuan air wiper kurang, kamera nyala dan merekam
5. Pukul 07.00, Loading pertama di front loading EX-42 material OB kemudian dumping material di Disposal RL 260 secara continue
6. Pukul 11.00, Loading di EX-41 dumping di Disposal RL 325 dan continue sampai restime
7. Pukul 12.00, Restime di CSA Mining
8. Pukul 12.55, Dilakukan penggantian memory kamera untuk dilakukan analisa indashcam oleh tim BMC
8. Pukul 13.00, Menuju front loading EX-41, menunggu antian kemudian kembali ndumping di Disposal RL 325
10. Pukul 15.00, Loading material di EX-41 dan dumping di HW 1 untuk layering jalan sampai ritase ke 3
11. Pukul 16.35, Loading ritase ke 4 di EX-41 kemudian mengarah menuju lokasi layering jalan
12. Pukul 16.40, Sdr. B mengoperasikan DT-1154 di jalur muatan jalan HW 1 untuk dumping material, saat DT-1154 mengambil manuver searah jarum jam tyre kiri depan amblas di ponding air sisi muatan DT, kemudian Sdr. B memundurkan unit bermaksud untuk mengeluarkan unit dari amblas. Sdr. B menaikan vessel setengah dan opt dozer mengontak radio untuk stop karena tidak aman, Sdr. B kemudian memajukan unit sambil memutar stering ke kanan kemudian unit miring ke kiri dan tersandar di tebing jalan HW 1. Opt Dozer melaporkan kejadian ke pengawas lalu pengawas menginformasikan ke SHE SIS
13. Pukul 16.50, Sdr. Imam datang ke lokasi untuk melakukan poengecekan dan barikade lokasi
14. Pukul 17.04, Sdr. Deny kuswara (SHE SIS) datang dan melaporkan kr channel emergency dan dijawab oleh ERT sdr kevin
15. Pukul 17.20 , ERT datang dan membawa korban ke klinik CHPP
16. Pukul 17.30. Dilakukan evakuasi unit DT yang tersandar dengan Excavator
17. Pukul 17.35, Sdr. Raras (HSE MC) dan Sdr. Claudy (TS MC) untuk memastikan korban dan semua data diambil </t>
  </si>
  <si>
    <r>
      <rPr>
        <b/>
        <sz val="14"/>
        <rFont val="Arial"/>
        <family val="2"/>
      </rPr>
      <t>Saat kecelakaan :</t>
    </r>
    <r>
      <rPr>
        <sz val="14"/>
        <rFont val="Arial"/>
        <family val="2"/>
      </rPr>
      <t xml:space="preserve"> Kurangnya kepengawasan pada pekerjaan layering jalan</t>
    </r>
  </si>
  <si>
    <t>Memberikan pembinaan kepada Sdr. L sesuai dengan SPDK yang berlaku</t>
  </si>
  <si>
    <t>Budi Gangsar</t>
  </si>
  <si>
    <r>
      <rPr>
        <b/>
        <sz val="14"/>
        <rFont val="Arial"/>
        <family val="2"/>
      </rPr>
      <t xml:space="preserve">Saat kecelakaan </t>
    </r>
    <r>
      <rPr>
        <sz val="14"/>
        <rFont val="Arial"/>
        <family val="2"/>
      </rPr>
      <t>: Kurangnya jumlah pengawas pit service (Fakta pada saat kejadian pengawas mengawasi 2 pekerjaan dengan area yang berbeda)</t>
    </r>
  </si>
  <si>
    <t>Mereview kembali kebutuhan pengawas dengan scope pekerjaan</t>
  </si>
  <si>
    <t>Penambahan 7 Pengawas baru (GLDP)</t>
  </si>
  <si>
    <r>
      <rPr>
        <b/>
        <sz val="14"/>
        <rFont val="Arial"/>
        <family val="2"/>
      </rPr>
      <t>Pasca kecelakaan</t>
    </r>
    <r>
      <rPr>
        <sz val="14"/>
        <rFont val="Arial"/>
        <family val="2"/>
      </rPr>
      <t xml:space="preserve"> : Miskomunikasi antara manajemen PT.SIS dan eksekutor di lapangan (Fakta Evakuasi dilakukan tanpa seijin KTT PT. MC)</t>
    </r>
  </si>
  <si>
    <t>Memberikan sanksi kepada management PT. SIS sesuai dengan SPDK yang berlaku</t>
  </si>
  <si>
    <r>
      <rPr>
        <b/>
        <sz val="14"/>
        <rFont val="Arial"/>
        <family val="2"/>
      </rPr>
      <t>Saat kecelakaan :</t>
    </r>
    <r>
      <rPr>
        <sz val="14"/>
        <rFont val="Arial"/>
        <family val="2"/>
      </rPr>
      <t xml:space="preserve"> Motivasi yang salah dari operator (Fakta operator memaksakan dumping dengan posisi yang salah)</t>
    </r>
  </si>
  <si>
    <t>Memberikan sanksi kepada Sdr. B sesuai dengan SPDK yang berlaku</t>
  </si>
  <si>
    <t>Suyoni Setya</t>
  </si>
  <si>
    <r>
      <rPr>
        <b/>
        <sz val="14"/>
        <rFont val="Arial"/>
        <family val="2"/>
      </rPr>
      <t>Sebelum kecelakaan :</t>
    </r>
    <r>
      <rPr>
        <sz val="14"/>
        <rFont val="Arial"/>
        <family val="2"/>
      </rPr>
      <t xml:space="preserve"> Motivasi yang salah dari operator (Fakta operator beberapa kali tidak melakukan prosedur kerja)</t>
    </r>
  </si>
  <si>
    <r>
      <rPr>
        <b/>
        <sz val="14"/>
        <rFont val="Arial"/>
        <family val="2"/>
      </rPr>
      <t xml:space="preserve">Sebelum kecelakaan : </t>
    </r>
    <r>
      <rPr>
        <sz val="14"/>
        <rFont val="Arial"/>
        <family val="2"/>
      </rPr>
      <t>Operator dan PIC penggantian memory tidak memastikan indashcam berfungsi dan merekam setelah dilakukan penggantian memory pada jam istirahat (Fakta tidak ada rekaman pada indashcam)</t>
    </r>
  </si>
  <si>
    <t>Penunjukan PIC Validasi Indashcam</t>
  </si>
  <si>
    <t>LPI-60-VIII-2022- MACO</t>
  </si>
  <si>
    <t>ROM PRODUCT</t>
  </si>
  <si>
    <t>M Fahrurazi</t>
  </si>
  <si>
    <t>Pada tanggal 4 Agustus 2022, unit dijadwalkan untuk PI di Km 39. Sesuai report plant pada tanggal tersebut unit tidak masuk untuk melaksanakan PI dikarenakan sdr IP sedang melaksanakan grounded dan unit dalam posisi standby/breakdown di workshop. Pada tanggal 5-6 Agustus 2022 shift 1 unit dioperasikan oleh sdr IP untuk operasional hauling dengan kondisi normal
Pada tanggal 07 Agustus 2022 pukul 06.00 sdr IP mengikuti safety talk hauling di CSA. Setelah safety talk selesai sdr IP berencana untuk travel unit DT040-0008 ke Pitshop 39 untuk PI saat setelah dumping ritase pertama. Saat setelah P2H dan diverifikasi oleh pengawas, DT040-0008 start travel kosongan menuju CHPP. Pukul 07.40 sudah sampai CHPP dan mengarah ke loading point EX400-0031 di ROM product WS 2, setelah selesai loading unit mengarah keluar area dan sekitar 30 meter unit mengalami lepas tyre F1. Setelah mengetahui kejadian tersebut Sdr IP turun dari unit untuk memasang wheelcok, safetycone dan melaporkan ke pengawas</t>
  </si>
  <si>
    <t>Tyre F1 mengalami pecah velg</t>
  </si>
  <si>
    <t>Melakukan penggantian Tyre F1</t>
  </si>
  <si>
    <t>Perbaikan di unit (Unit sudah dioperasikan kembali)</t>
  </si>
  <si>
    <t>Iwan W</t>
  </si>
  <si>
    <t>Tidak detail saat pelaksanaan P2H</t>
  </si>
  <si>
    <t>Konseling ke operator DT040-0008</t>
  </si>
  <si>
    <t>Resosialisasi ke semua operator untuk melaksanakan P2H secara detail di P5M awal shift</t>
  </si>
  <si>
    <t>Kurangnya kepemimpinan dan atau pengawasan</t>
  </si>
  <si>
    <t>Konseling kepada pengawas Plant dengan menekankan praktek &amp; review pada tyre inspection</t>
  </si>
  <si>
    <t>LPI-61-VIII-2022- MACO</t>
  </si>
  <si>
    <t xml:space="preserve">SHR KM 15 </t>
  </si>
  <si>
    <t xml:space="preserve">Wandi </t>
  </si>
  <si>
    <t>Pada tanggal 14 Agustus 2022 pukul 08.00 WIB, unit CT010-0016 yng dikendarai Sdr. Wandi loading Tyre HD di Tuhup. Pukul 09.30 WIB Sdr. Wandi berangkat dari Tuhup menuju CHPP dengan muatan Tyre HD. Pukul 10.12 WIB CT010-0016 melewati jalur kosongan Km 15. Dari jalur muatan terdapat 1 unit DT040-0007, Sdr. Wandi berinisiatif untuk menepi ke kiri jalan. Dikarenakan posisi CT010-0016 terlalu menepi ke kiri, berakibat unit CT amblas</t>
  </si>
  <si>
    <t>Kondisi tepi jalan jalur kosongan lembek</t>
  </si>
  <si>
    <t>Melakukan perbaikan base jalur pada jalur yang lembek</t>
  </si>
  <si>
    <t>Maintenance jalan hauling sesuai dengan jadwal yang sudah dibuat</t>
  </si>
  <si>
    <t>Membuat jadwal maintenance yang bersifat unschedule sesuai hasil inspeksi internal</t>
  </si>
  <si>
    <t>LPI-62-VIII-2022- MACO</t>
  </si>
  <si>
    <t>Emanuel Naga</t>
  </si>
  <si>
    <t>Pada tanggal 15 Agustus 2022 pukul 15.00 WIB, unit DT030-0104 yang dikendarai Sdr. Emanuel melakukan dumping batubara di port . Pukul 15.10 WIB Sdr. Emanuel berangkat dari port menuju CSA Haju. Pada pukul 16.00 WIB unit DT yang dikendarai Sdr. Emanule memasuki area tanjakan Km 26 jalur kosongan, dari jalur muatan terdapat 2 unit truck loging bermuatanlog kayu. Dikarenakan posisi DT030-0104 terlalu menepi ke kiri jalan mengakibatkan unit DT amblas pada bagian ban kiri belakang</t>
  </si>
  <si>
    <t>Operator mengambil jalur terlalu ke kiri saat menghindari 2 unit truck loging bernuatan</t>
  </si>
  <si>
    <t>Pengawas melihat ada kondisi unit amblas melakukan evaluasi tanpa ijin</t>
  </si>
  <si>
    <t>Resosialisasi kepada pengawas dan operator</t>
  </si>
  <si>
    <t>Beranggapan dengan berhenti di tepi jalan aman dari truck loging dan amblas</t>
  </si>
  <si>
    <t>Sanksi administrasi sesuai dengan SPDK ke operator</t>
  </si>
  <si>
    <t>Beranggapan kondisi unit berada di tanjakan terjadi penyempitan dan berpotensi menimbulkan resiko baru</t>
  </si>
  <si>
    <t>Sanksi administrasi sesuai dengan SPDK ke pengawas</t>
  </si>
  <si>
    <t>LPI-63-VIII-2022- MACO</t>
  </si>
  <si>
    <t>TIA (Tuhup Integrated Area)</t>
  </si>
  <si>
    <t>Ronny Carter</t>
  </si>
  <si>
    <t>Pada saat pengawas melakukan pengecekan unit sebelum dilakukan komisioning, pengawas menemukan ada tetesan dari belakang vessel DT 03. Setelah di cek ternyata 1 drum oli engine yang ada dalam vesel dalam kondisi bocor. Drum yang berada di dalam vessel berasal dari banjarmasin untuk keperluan di jobsite, setelah mengetahui kondisi tersebut pengawas melakukan penanganan dengan memasang terpal yang digunakan untuk menampung kebocoran tersebut</t>
  </si>
  <si>
    <t>Drum kemasan oil engine mengalami bocor</t>
  </si>
  <si>
    <t>Penanganana Limbah B3</t>
  </si>
  <si>
    <t>PJO CBML</t>
  </si>
  <si>
    <t>Tidak dilakukan pengecekan selama berada di Tuhup</t>
  </si>
  <si>
    <t>Sanksi Administrasi pengawas CBML</t>
  </si>
  <si>
    <t>Penempatan drum tidak pada tempatnya yang berpotensi benturan drum</t>
  </si>
  <si>
    <t>Sosialisasi pengelolaan B3 kepada pengawas CBML</t>
  </si>
  <si>
    <t>Merasa aman karena kemasan drum oli baru</t>
  </si>
  <si>
    <t>Sosialisasi kepada pekerja CBML</t>
  </si>
  <si>
    <t>LPI-64-VIII-2022- MACO</t>
  </si>
  <si>
    <t>Yard Vendor WS MIA</t>
  </si>
  <si>
    <t>Alpikanor</t>
  </si>
  <si>
    <t>Pada tanggal 23 Agustus 2022 sekitar pukul 15.15  sdr A &amp; Sdr F diminta bantu oleh tim PT CHP untuk mengantar peralatan press hose dari WS Lama ke WS MIA. Kemudian sdr. A dan sdr F langsung membantu membawa peralatan press hose milik PT CHP dengan menggunakan unit CT003-009. Setelah material peralatan mesin press sudah di dalam bak CT003-009 kemudian sdr A &amp; sdr F menuju ke area WS MIA sekitar pukul 15.40 WIB. Sampai di area  WS MIA  sekitar pukul 15.53 WIB langsung menuju ke area vendor untuk menurunkan peralatan press hose. Sesampai di area vendor langsung mendapat arahan dari saudara B untuk menempatkan peralatan press hose di gudang WS MIA. Selanjutnya langsung manuver mundur di area vendor dan akan maju untuk keluar, tiba-tiba tyre depan sebelah kiri mengalami amblas di area bekas galian pipa HDPE.</t>
  </si>
  <si>
    <t>Mitra kerja belum mengetahui pekerjaan tersebut penanggung jawab masing-masing mitra kerja</t>
  </si>
  <si>
    <t>Melakukan sosialisasi kepada mitra kerja bahwa kepengawasan area vendor adalah masing-masing mitra kerja (terkait kewajiban inspeksi area kerja)</t>
  </si>
  <si>
    <t>Tedapat bekas galian pipa</t>
  </si>
  <si>
    <t>Melakukan pemasangan barikade dan pemadatan dengan material keras</t>
  </si>
  <si>
    <t>Belum dilakukann pemadatan dan atau demarkasi serta material pasir</t>
  </si>
  <si>
    <t>Driver gagal dalam mengindentifikasi bahaya saat melewati area vendor</t>
  </si>
  <si>
    <t>melakukan sosialisasi dan meningkatkan pelaporan hazard operator</t>
  </si>
  <si>
    <t>Driver belum terbiasa melewati area tersebut 
(Baru saat kejadian)</t>
  </si>
  <si>
    <t>Melakukan refresh kembali kepada operator CT terkait SOP Kerja, DDT dan tentang bahaya pekerjaan</t>
  </si>
  <si>
    <t>LPI-65-VIII-2022- MACO</t>
  </si>
  <si>
    <t>KM 53</t>
  </si>
  <si>
    <t>Arif Hidayat</t>
  </si>
  <si>
    <t>Pada saat memasuki area turunan km 53, unit DT0144 muatan menyisir ke jalur kosongan</t>
  </si>
  <si>
    <t>LPI-66-VIII-2022- MACO</t>
  </si>
  <si>
    <t>KM 46</t>
  </si>
  <si>
    <t>Reza Falevi</t>
  </si>
  <si>
    <t>Pada saat melintas dan komunikasi sama dispatch haju serta setelah menaruh ptt radio tiba2 unit terperosok keluar jalur kekiri sehingga terdandar</t>
  </si>
  <si>
    <t>LPI-67-VIII-2022- MACO</t>
  </si>
  <si>
    <t>KM 75+500</t>
  </si>
  <si>
    <t>Rafli Rahmat Dianur</t>
  </si>
  <si>
    <t>Pada saat setelah melintas jembatan lampunut unit DT030-0084 muatan rebah kuda dari arah muatan di Km 75+500</t>
  </si>
  <si>
    <t>Operator tidak mengikuti prosdur pengoperasian unit DT</t>
  </si>
  <si>
    <t>SPDK sanksi administrasi operator DT-084,  SPDK L4</t>
  </si>
  <si>
    <t>Okta</t>
  </si>
  <si>
    <t>Super elevasi lokasi kejadian tidak standar (1.40%, 0,87%, 0,43%, STD :2-4 %)</t>
  </si>
  <si>
    <t xml:space="preserve">Perbaikan super elevasi sesuai standar </t>
  </si>
  <si>
    <t>Salah dalam menilai resiko saat mengambil bahu jalan</t>
  </si>
  <si>
    <t>Inclass refresh training pengoperasian unit DT kepada operator unit DT-84</t>
  </si>
  <si>
    <t xml:space="preserve">Operator cuti </t>
  </si>
  <si>
    <t>Belum ada evaluasi geometri jalan paska maintenance di lokasi kejadian</t>
  </si>
  <si>
    <t>Melakukan pengukuran pasca maintenance jalan oleh tim survei di lokasi kejadian</t>
  </si>
  <si>
    <t>'Semua area tikungan setiap sebulan sekali dilakukan pengecekan super elevasi</t>
  </si>
  <si>
    <t>LPI-68-VIII-2022- MACO</t>
  </si>
  <si>
    <t xml:space="preserve">DISPOSAL 330 </t>
  </si>
  <si>
    <t>Obet</t>
  </si>
  <si>
    <t>Pengawas SIS (Sdr. Nur Ihsan) mengemudikan LV 114 menuju disposal elevasi 330. Saat tiba di disposal, Sdr. Nur Ihsan memarkirkan LV 114 di sebelah kanan belakang grader 078 (Sdr. Obet) yang saat itu sedang berhenti untuk membalas WA. Sdr. Nur Ihsan kemudian keluar dari unit LV 114 untuk mengarahkan dumpingan HD. Sesaat kemudian, operator Grader 078 bermaksud melakukan manuver mundur tanpa melihat kondisi belakang unitnya. Pada saat manuver mundur, ripper GD 078 menabrak pintu depan LV 114 sebelah kanan. Mengetahui unit LV 114 tertabrak, Sdr. Nur Ihsan kemudian memanggil operator unit Grader 078 lewat radio untuk berhenti.</t>
  </si>
  <si>
    <t>Pengawas produksi parkir tidak pada tempatnya dan terlalu dekat radius manuver</t>
  </si>
  <si>
    <t>Memberikan sansi SPDK pencabutan simper kepada pengawas</t>
  </si>
  <si>
    <t>Pengawas produksi belum melakukan inspksi kesiapan awal operasi lokasi disposal elevasi 330</t>
  </si>
  <si>
    <t>Memberikan sanksi kepada pengawas produksi</t>
  </si>
  <si>
    <t>Operator grader-078 tidak melihat ke arah belakang saat  melakukan manuver mundur</t>
  </si>
  <si>
    <t>Sanski administartif kepada operator grader-078</t>
  </si>
  <si>
    <t>Tidak ada komunikasi aktif saat pengawas produksi prkir dibelakang unit GD -78 (gagal komunikasi)</t>
  </si>
  <si>
    <t>Memberikan sanksi SPDK kepada pengawas produksi dan operator GD-78</t>
  </si>
  <si>
    <t>Belum tersedia lokasi parkiran LV di disposal Elv 330</t>
  </si>
  <si>
    <t>membuat lokasi parkiran LV di semua disposal</t>
  </si>
  <si>
    <t>Kurangnya kontro terhadap kesiapan awal operasi oleh pengawas dan UH produksi</t>
  </si>
  <si>
    <t>Memberikan sanksi kepada UH/PJA sebagai tindk lanjut kurangnya kontrol terhadap area yang mejadi tanggung jawab</t>
  </si>
  <si>
    <t>Bugar</t>
  </si>
  <si>
    <t>Melkukan verifikasi pelaksanaan inspeksi awal shift pengawas produksi oleh PJA</t>
  </si>
  <si>
    <t>Terlmpir</t>
  </si>
  <si>
    <t>LPI-69-VIII-2022- MACO</t>
  </si>
  <si>
    <t>KM 10</t>
  </si>
  <si>
    <t>Renu Kuswoyo</t>
  </si>
  <si>
    <t>Pada saat DT 159 posisi kosongan melintas di km 09 arah kosongan, DT 159 keluar jalur dan menyisir tanggul Jalur muatan.Indikasi menghindari kendaraan roda dua milik warga yang tiba-tiba keluar dari sebelah kiri tanpa penerangan sehingga operator DT 159 membanting setir ke arah kanan.</t>
  </si>
  <si>
    <t>Tidak mengikuti prosedur pelaporan fatigue</t>
  </si>
  <si>
    <t>Tidak memberikan keterangan yang benar dalam pengisian bugar selamat (tertulis 6 jam)</t>
  </si>
  <si>
    <t>Sanksi sesuai aturan yang berlaku untuk merubah file dalam indashcam</t>
  </si>
  <si>
    <t>Tidak mengikuti prosedur kecepatan memasuki tikungan</t>
  </si>
  <si>
    <t>Observasi dari pengawas masih dilakukan secara random</t>
  </si>
  <si>
    <t>Sosialisasi jam istirahat pada operator</t>
  </si>
  <si>
    <t>Identifikasi lokasi untuk observasi jam kritis Pengawas</t>
  </si>
  <si>
    <t>Fatigue alarm tidak berfungsi (pemeriksaan PI terakhir 24 Sept 2022 alarm berfungsi normal)</t>
  </si>
  <si>
    <t>Memastikan pemeriksaan saat Periodic Inspection fungsi alarm (per 3 hari)</t>
  </si>
  <si>
    <t>LPI-70-VIII-2022- MACO</t>
  </si>
  <si>
    <t>Nurhadi</t>
  </si>
  <si>
    <t>Pada saat DT 1003 melintas di KM 65 jembatan Bao-Bao sisi muatan menginformasikan pada pengguna jalan yang lain bahwa DT 1003 mengalami Brake Failure sehingga DT 1003 tidak bisa maksimal dalam melakukan pengereman.</t>
  </si>
  <si>
    <t>Penggunaan itensitas rem yang berlebih (Service brake dan exhaust brake) oleh Opr DT 1003 saat muatan turunan Km 65 sehingga muncul efek harsh braking (rem spontan) dari opr DT 1003 saat turunan km 65</t>
  </si>
  <si>
    <t>Merefresh kembali (Inclass dan Praktek) operator DT 1003 dan peningkatan skill operator dari grade C ke A-B</t>
  </si>
  <si>
    <t xml:space="preserve">'No evidence </t>
  </si>
  <si>
    <t>Metode Operasi Yang salah mengemudikan kecepatan melebihi batas rambu 30 km/jam saat turunan - Actual transmisi 6L 950 km/jam)
(Kurangnya pengetahuan operator dalam pengoperasian unit di jalan turunan karena baru sebulan beroperasi di area hauling)</t>
  </si>
  <si>
    <t>Kurangnya kontrol management terhadap kesiapan operasi unit (Belum terdapat jadwal rutin pemeriksaan, penggantian dan analisa  tacograph)</t>
  </si>
  <si>
    <t>Membuat jadwal pemeriksaan,penggantian dan analisa tacograph</t>
  </si>
  <si>
    <t>Roery W &amp; Helmy</t>
  </si>
  <si>
    <t>Tacograph unit DT 1003 sudah expired</t>
  </si>
  <si>
    <t>Melakukan penggantian tacograph DT 1003 yang expired</t>
  </si>
  <si>
    <t>Evidence terlmpir</t>
  </si>
  <si>
    <t>Roerty W</t>
  </si>
  <si>
    <t>Oprt DT 1003 masih melanjutkan perjalanan ke WS Haju setelah kejadian</t>
  </si>
  <si>
    <t>Memberikan sanksi kepada Opr DT 1003 sesuai PKB dan aturan yang berlaku</t>
  </si>
  <si>
    <t>Kurangnya pengetahuan operator terhadap bahaya kategori (AA)</t>
  </si>
  <si>
    <t xml:space="preserve">Melakukan sosialisasi / refresh in class cara pengisian P2H yang benar (bahaya kategori AA dan A) operator pasca cuti </t>
  </si>
  <si>
    <t>LPI-71-X-2022- MACO</t>
  </si>
  <si>
    <t xml:space="preserve">Elsano harapandie </t>
  </si>
  <si>
    <t>Pada saat DT 128 posisi muatan melintas di km 66 unit lari ke sisi kosongan.</t>
  </si>
  <si>
    <t>LPI-72-X-2022- MACO</t>
  </si>
  <si>
    <t>Workshop MIA</t>
  </si>
  <si>
    <t>Muhammad Puguh Khuirul Umam</t>
  </si>
  <si>
    <t>Pada saat akan melakukan pengukuran PPM test dumping HD785 (DT090-0513) di open bays 1 oleh mekanik. Nomor lambung vessel  HD785 (DT090-0513) menyenggol atap canopi atap open bays 1. Pada saat aktifitas dumping belum terdapat spotter yang mengarahkan</t>
  </si>
  <si>
    <t>Belum teridentifikasi oleh pengawas jika posisi unit HD tidak aman untuk dumping</t>
  </si>
  <si>
    <t>Melakukan pemberian sanksi administratif kepada pengawas sesuai dengan SPDK</t>
  </si>
  <si>
    <t>Bayu A</t>
  </si>
  <si>
    <t xml:space="preserve">PLANT CHPP </t>
  </si>
  <si>
    <t>Belum terdapat JSA atau pekerjaan di open bays khusus terkait adanya kegiatan dumping</t>
  </si>
  <si>
    <t>Melakukan pembuatan JSA / Prosedur untuk pekerjaan diarea open bays</t>
  </si>
  <si>
    <t>Mekanik melakukan proses dumping di arae open bays tanpa adanya spotter</t>
  </si>
  <si>
    <t>Melakukan pemberian sanski administrasi kepada mekanik sesuai dengan SPDK</t>
  </si>
  <si>
    <t>Posisi unit HD785 berada diarea yang tidak aman untuk dumping atau tepat pada bawah canopy atap base 1 workshop (tinggi vessel HD saat dumping (10m) melebihi tinggi canopy atap (9m)</t>
  </si>
  <si>
    <t>Membuat batas acuan aman unit pada luar open bays dengan posisi canopy atap</t>
  </si>
  <si>
    <t>Belum terdapat demarkasi atau acuan batas pada luar open bays dengan posisi canopy</t>
  </si>
  <si>
    <t>Rambu batas untuk dumping</t>
  </si>
  <si>
    <t>Sosialisasi kewajiban spotter</t>
  </si>
  <si>
    <t>LPI-73-X-2022- MACO</t>
  </si>
  <si>
    <t>KM 1</t>
  </si>
  <si>
    <t>Muhammad Surahman</t>
  </si>
  <si>
    <t xml:space="preserve">Pada saat WT selesai melakukan penyiraman diseputaran KM 1, operator berhenti untuk memeriksa kondisi unit dan menemukan kebocoran pada hose hidrolik PTO. </t>
  </si>
  <si>
    <t>LPI-74-X-2022- MACO</t>
  </si>
  <si>
    <t>Ferdy Pranata</t>
  </si>
  <si>
    <t>Pada saat menunggu hujan reda, DT040-0025 muatan parkir terlalu kiri di parking bay KM 26 (depan dispatch) hingga mengakibatkan ban kiri belakang amblas di tanah bekas timbunan.</t>
  </si>
  <si>
    <t>BERDASARKAN JENIS LAPORAN</t>
  </si>
  <si>
    <t>PERUSAHAAN</t>
  </si>
  <si>
    <t>JUMLAH</t>
  </si>
  <si>
    <t>PERSEN</t>
  </si>
  <si>
    <t>SIS</t>
  </si>
  <si>
    <t>SKB</t>
  </si>
  <si>
    <t>BMC</t>
  </si>
  <si>
    <t>UT</t>
  </si>
  <si>
    <t>UTE PATRIA</t>
  </si>
  <si>
    <t>KMK</t>
  </si>
  <si>
    <t>LAINYA</t>
  </si>
  <si>
    <t xml:space="preserve">EVIDENCE PERBAIKAN </t>
  </si>
  <si>
    <t>DUE DATE</t>
  </si>
  <si>
    <t xml:space="preserve">SECTION </t>
  </si>
  <si>
    <t xml:space="preserve">PERUSAHAAN </t>
  </si>
  <si>
    <t xml:space="preserve">STATUS </t>
  </si>
  <si>
    <t>No</t>
  </si>
  <si>
    <t xml:space="preserve">Section </t>
  </si>
  <si>
    <t>PT MC</t>
  </si>
  <si>
    <t xml:space="preserve">PT. BMC </t>
  </si>
  <si>
    <t xml:space="preserve">PT. SIS </t>
  </si>
  <si>
    <t xml:space="preserve">PRODUKSI </t>
  </si>
  <si>
    <t xml:space="preserve">PLANT </t>
  </si>
  <si>
    <t xml:space="preserve">Memberikan sanksi kepada Pengawas Plant dan Produksi sesuai SPDK dan PKB </t>
  </si>
  <si>
    <t xml:space="preserve">NO EVIDENCE </t>
  </si>
  <si>
    <t>PROGRESS</t>
  </si>
  <si>
    <t xml:space="preserve">Proses penggantian camera kabin </t>
  </si>
  <si>
    <t xml:space="preserve">No </t>
  </si>
  <si>
    <t xml:space="preserve">Status Rekomendasi </t>
  </si>
  <si>
    <t xml:space="preserve">Jumlah </t>
  </si>
  <si>
    <t>% Ach</t>
  </si>
  <si>
    <t xml:space="preserve">Closed </t>
  </si>
  <si>
    <t xml:space="preserve">Open </t>
  </si>
  <si>
    <t xml:space="preserve">Total </t>
  </si>
  <si>
    <t>Bulan</t>
  </si>
  <si>
    <t>Insiden</t>
  </si>
  <si>
    <t xml:space="preserve">PJA </t>
  </si>
  <si>
    <t xml:space="preserve">Keterangan </t>
  </si>
  <si>
    <t xml:space="preserve">Status </t>
  </si>
  <si>
    <t>Jumlah</t>
  </si>
  <si>
    <t>Open</t>
  </si>
  <si>
    <t>% Presentase Open</t>
  </si>
  <si>
    <t>Maret</t>
  </si>
  <si>
    <t>Kabel Optik Putus di area timbangan port</t>
  </si>
  <si>
    <t xml:space="preserve">Dalim </t>
  </si>
  <si>
    <t xml:space="preserve">GA </t>
  </si>
  <si>
    <t xml:space="preserve">Overdue </t>
  </si>
  <si>
    <t>April</t>
  </si>
  <si>
    <t>DT 040-019 Mundur di tanjakan KM 3 sehingga amblas</t>
  </si>
  <si>
    <t>Training</t>
  </si>
  <si>
    <t xml:space="preserve">DT 040 – 028 Amblas di KM 26 Simpang Kohong </t>
  </si>
  <si>
    <t>Cabel Terputus Saat Perapihan Drainage WS Haju</t>
  </si>
  <si>
    <t>Sanksi kepada pengawas sesuai SPDK (Sarifudin,L2)</t>
  </si>
  <si>
    <t>Sanksi kepada Supervisor sesuai SPDK (Helmy, L2)</t>
  </si>
  <si>
    <t>DT090 Menabrak Jembatan Bao-Bao Km 65</t>
  </si>
  <si>
    <t xml:space="preserve">Count of Kategori Insiden </t>
  </si>
  <si>
    <t>Column Labels</t>
  </si>
  <si>
    <t>Row Labels</t>
  </si>
  <si>
    <t>ENVIRONMENTAL INCIDENT</t>
  </si>
  <si>
    <t>MEDICAL TREATMENT INJURY</t>
  </si>
  <si>
    <t>PROPERTY DAMAGE</t>
  </si>
  <si>
    <t xml:space="preserve">HAULING </t>
  </si>
  <si>
    <t xml:space="preserve">AREA </t>
  </si>
  <si>
    <t xml:space="preserve">Count of JENIS INSIDEN </t>
  </si>
  <si>
    <t>MINE ROAD</t>
  </si>
  <si>
    <t>PARKIRAN TRANSKON</t>
  </si>
  <si>
    <t>PORT</t>
  </si>
  <si>
    <t>ROM RAW</t>
  </si>
  <si>
    <t>TIMBANGAN</t>
  </si>
  <si>
    <t xml:space="preserve">WATERFILL </t>
  </si>
  <si>
    <t>DISPOSAL</t>
  </si>
  <si>
    <t>PENCUCIAN LV</t>
  </si>
  <si>
    <t>PIT</t>
  </si>
  <si>
    <t>JUM</t>
  </si>
  <si>
    <t xml:space="preserve">Tahun </t>
  </si>
  <si>
    <t>Jobsite</t>
  </si>
  <si>
    <t>Perusahaan</t>
  </si>
  <si>
    <t>VAL</t>
  </si>
  <si>
    <t xml:space="preserve">Tanggal </t>
  </si>
  <si>
    <t xml:space="preserve">Hari </t>
  </si>
  <si>
    <t xml:space="preserve">Pukul </t>
  </si>
  <si>
    <t xml:space="preserve">Lokasi </t>
  </si>
  <si>
    <t xml:space="preserve">Nomor Insiden </t>
  </si>
  <si>
    <t xml:space="preserve">Kategori Insiden </t>
  </si>
  <si>
    <t xml:space="preserve">JENIS INSIDEN </t>
  </si>
  <si>
    <t xml:space="preserve">PJA Terlibat </t>
  </si>
  <si>
    <t xml:space="preserve">Area PJA </t>
  </si>
  <si>
    <t xml:space="preserve">JENIS UNIT </t>
  </si>
  <si>
    <t xml:space="preserve">LOKASI INSIDEN </t>
  </si>
  <si>
    <t>MACO</t>
  </si>
  <si>
    <t>PT SIS</t>
  </si>
  <si>
    <t>Minggu</t>
  </si>
  <si>
    <t>09.00 WIB</t>
  </si>
  <si>
    <t>DT083 Amblas di Km 2.5</t>
  </si>
  <si>
    <t xml:space="preserve">PJA Hauling </t>
  </si>
  <si>
    <t>DUMP TRUCK</t>
  </si>
  <si>
    <t xml:space="preserve">UNIT AMBLAS </t>
  </si>
  <si>
    <t>Sabtu</t>
  </si>
  <si>
    <t>12.14 WIB</t>
  </si>
  <si>
    <t>Atap timbangan tuhup tersenggol muffler DT Scania 005</t>
  </si>
  <si>
    <t>UNIT MENABRAK</t>
  </si>
  <si>
    <t>06.00 WIB</t>
  </si>
  <si>
    <t>MH 001 lepas tangki</t>
  </si>
  <si>
    <t>PJA GA</t>
  </si>
  <si>
    <t>MAN HAUL</t>
  </si>
  <si>
    <t>UNIT TIDAK LAYAK</t>
  </si>
  <si>
    <t>Senin</t>
  </si>
  <si>
    <t>12.00 WIB</t>
  </si>
  <si>
    <t>Compact CP010-001 Tergelincir</t>
  </si>
  <si>
    <t>COMPACT</t>
  </si>
  <si>
    <t xml:space="preserve">UNIT SLIP </t>
  </si>
  <si>
    <t>Kamis</t>
  </si>
  <si>
    <t>22.10 WIB</t>
  </si>
  <si>
    <t>DT 040-022 , Mundur di tanjakan sehingga amblas</t>
  </si>
  <si>
    <t xml:space="preserve">UNIT MUNDUR </t>
  </si>
  <si>
    <t>14.00 WIB</t>
  </si>
  <si>
    <t>DT 030-0095, Tyre R1 Mengeluarkan asap</t>
  </si>
  <si>
    <t>UNIT MENGELUARKAN ASAP</t>
  </si>
  <si>
    <t>PT BMC</t>
  </si>
  <si>
    <t>14.24 WIB</t>
  </si>
  <si>
    <t>LV BMC 01 Menyenggol tiang CCTV Port</t>
  </si>
  <si>
    <t xml:space="preserve">PJA Mining </t>
  </si>
  <si>
    <t>LV</t>
  </si>
  <si>
    <t>Jumat</t>
  </si>
  <si>
    <t>05.50 WIB</t>
  </si>
  <si>
    <t>DT 040-006 Amblas di tikungan km 28</t>
  </si>
  <si>
    <t>Count of LOKASI</t>
  </si>
  <si>
    <t>03.40 WIB</t>
  </si>
  <si>
    <t>DT 040-013 Mundur di tanjakan KM 4+800 sehingga amblas</t>
  </si>
  <si>
    <t xml:space="preserve">AREA PENCUCIAN </t>
  </si>
  <si>
    <t>CSA TRANSKON</t>
  </si>
  <si>
    <t xml:space="preserve">MESS </t>
  </si>
  <si>
    <t>MINE ROAD ACCESS</t>
  </si>
  <si>
    <t>PIT NORTH</t>
  </si>
  <si>
    <t>ROM PIT</t>
  </si>
  <si>
    <t>WATERFILL</t>
  </si>
  <si>
    <t>20:35 WIB</t>
  </si>
  <si>
    <t>DT 030-089, Rebah saat Dumping di Port</t>
  </si>
  <si>
    <t>UNIT REBAH</t>
  </si>
  <si>
    <t>15.45 WIB</t>
  </si>
  <si>
    <t>DT 020-0124 Menyenggol Median</t>
  </si>
  <si>
    <t>Selasa</t>
  </si>
  <si>
    <t>05.45 WIB</t>
  </si>
  <si>
    <t>LPI-12-I-2022- MACO</t>
  </si>
  <si>
    <t xml:space="preserve">DT 030 - 085 Rebah di KM 50 </t>
  </si>
  <si>
    <t>10.15 WIB</t>
  </si>
  <si>
    <t>KM 15 -SHR</t>
  </si>
  <si>
    <t>DT030-0114 Slip dan amblas saat mundur untuk memberikan prioritas ke DT AKT</t>
  </si>
  <si>
    <t>22.04 WIB</t>
  </si>
  <si>
    <t>Seam D PIT North</t>
  </si>
  <si>
    <t xml:space="preserve">Insiden MTI Pengawas terkena batu dibagian badan pada saat dumping </t>
  </si>
  <si>
    <t>PENGAWAS</t>
  </si>
  <si>
    <t>PENGAWAS TERKENA LENTINGAN</t>
  </si>
  <si>
    <t>08.45 WIB</t>
  </si>
  <si>
    <t>KM 32 - SHR</t>
  </si>
  <si>
    <t>DT030-087 Menabrak Tanggul di Hauling Road SHR KM 32</t>
  </si>
  <si>
    <t>08.00 WIB</t>
  </si>
  <si>
    <t>DT 030-0012 Amblas</t>
  </si>
  <si>
    <t>Rabu</t>
  </si>
  <si>
    <t>15.20 WIB</t>
  </si>
  <si>
    <t>KM 02 - SHR</t>
  </si>
  <si>
    <t>Fire Case DT 010</t>
  </si>
  <si>
    <t>UNIT TERBAKAR</t>
  </si>
  <si>
    <t>00.30 WIB</t>
  </si>
  <si>
    <t>KM 51 - LNR</t>
  </si>
  <si>
    <t>DT 030-0106, Rebah di KM 51</t>
  </si>
  <si>
    <t>KM 13 - SHR</t>
  </si>
  <si>
    <t>DT 104 Muatan Ambalas di km 12</t>
  </si>
  <si>
    <t>09.39 WIB</t>
  </si>
  <si>
    <t>KM 14+500 -SHR</t>
  </si>
  <si>
    <t>DT 030-103 Menabrak Belakang FT 083 di KM 14.500</t>
  </si>
  <si>
    <t>21.15 WIB</t>
  </si>
  <si>
    <t>KM 34 - SHR</t>
  </si>
  <si>
    <t>DT030- 013 Amblas jalur muatan melewati km 34 berselisihan dengan dt kosongan.Dt 013</t>
  </si>
  <si>
    <t>Timbangan Port Tuhup</t>
  </si>
  <si>
    <t xml:space="preserve">KABEL </t>
  </si>
  <si>
    <t>KABEL TERGARUK</t>
  </si>
  <si>
    <t>06.58 WIB</t>
  </si>
  <si>
    <t>DT030-0135 di Room Raw CHPP</t>
  </si>
  <si>
    <t>KM 37 - CHR</t>
  </si>
  <si>
    <t>LV-111 Amblas Mengalami Lepas Bemper</t>
  </si>
  <si>
    <t xml:space="preserve">Sabtu </t>
  </si>
  <si>
    <t>15.50 WIB</t>
  </si>
  <si>
    <t>SHR - KM 3</t>
  </si>
  <si>
    <t>08.30 WIB</t>
  </si>
  <si>
    <t xml:space="preserve">KM 26 - Simpang Kohong </t>
  </si>
  <si>
    <t>11.45 WIB</t>
  </si>
  <si>
    <t>Pencucian LV Area CHPP</t>
  </si>
  <si>
    <t xml:space="preserve">Tyre Depan Sebelah Kanan LV S-113 Jatuh Disela-sela ramdor pencucian CHPP </t>
  </si>
  <si>
    <t>PJA Pit Control</t>
  </si>
  <si>
    <t>UNIT TERJATUH</t>
  </si>
  <si>
    <t xml:space="preserve">Waterfill KM 70 </t>
  </si>
  <si>
    <t>Ceceran Oli di Waterfill KM 70</t>
  </si>
  <si>
    <t>PJA Plant CHPP</t>
  </si>
  <si>
    <t>OLI TERCECER</t>
  </si>
  <si>
    <t>14.50 WIB</t>
  </si>
  <si>
    <t xml:space="preserve">Parit Depan WS Haju </t>
  </si>
  <si>
    <t>16.50 WIB</t>
  </si>
  <si>
    <t xml:space="preserve">Jembatan Bao - Bao </t>
  </si>
  <si>
    <t>04.20 WIB</t>
  </si>
  <si>
    <t xml:space="preserve">KM 24 </t>
  </si>
  <si>
    <t>DT088 Menyerempet tanggul Km 24 Arah Kosongan</t>
  </si>
  <si>
    <t>04.40 WIB</t>
  </si>
  <si>
    <t>LNR KM 66</t>
  </si>
  <si>
    <t>DT040-0019 Mundur Tersandar di Tanggul di Km 66</t>
  </si>
  <si>
    <t>11.15 WIB</t>
  </si>
  <si>
    <t xml:space="preserve">KM 19.500 </t>
  </si>
  <si>
    <t xml:space="preserve">DT040-0011 Rebah di Km 19+500 </t>
  </si>
  <si>
    <t xml:space="preserve">Rabu </t>
  </si>
  <si>
    <t xml:space="preserve">09.30 WIB </t>
  </si>
  <si>
    <t xml:space="preserve">DT - 027 Mundur di tanjakan KM 5 </t>
  </si>
  <si>
    <t>15.12 WIB</t>
  </si>
  <si>
    <t xml:space="preserve">DT - 013 Mundur di tanjakan KM 5 </t>
  </si>
  <si>
    <t>02.09 WIB</t>
  </si>
  <si>
    <t>DT - 1012 Rebah ke kiri di area front loading Exc 37</t>
  </si>
  <si>
    <t>09.30 WIB</t>
  </si>
  <si>
    <t>Road 1 D</t>
  </si>
  <si>
    <t>DT 030– 096 Menabrak tanggul di Road 1D</t>
  </si>
  <si>
    <t>18.40 WIB</t>
  </si>
  <si>
    <t>LNR KM 78</t>
  </si>
  <si>
    <t>DT040-0015 Amblas di KM 78</t>
  </si>
  <si>
    <t>09.40 WIB</t>
  </si>
  <si>
    <t>DT020-0158 rebah ke kiri disposal 340</t>
  </si>
  <si>
    <t>Tyre Kiri HD-058 Amblas di Disposal RL 345</t>
  </si>
  <si>
    <t>20.30 WIB</t>
  </si>
  <si>
    <t>KM 12.500</t>
  </si>
  <si>
    <t>DT030-0098 Amblas di KM 12.500</t>
  </si>
  <si>
    <t>17.50 WIB</t>
  </si>
  <si>
    <t>Mess Haju</t>
  </si>
  <si>
    <t>CT 007 menabrak mundur tiang walk way</t>
  </si>
  <si>
    <t>PJA Plant Haju</t>
  </si>
  <si>
    <t>CRANE TRUCK</t>
  </si>
  <si>
    <t>22.00 WIB</t>
  </si>
  <si>
    <t>WST033 tergelincir dipinggir jalan di Km 34</t>
  </si>
  <si>
    <t>WASHING TRUCK</t>
  </si>
  <si>
    <t>19.05 WIB</t>
  </si>
  <si>
    <t>Plate Stopper Hopper Lepas</t>
  </si>
  <si>
    <t>HOPPER</t>
  </si>
  <si>
    <t>Disposal Mud Cell RL 290</t>
  </si>
  <si>
    <t>HD535 Amblas di Disposal Mud Cell RL 290</t>
  </si>
  <si>
    <t>04.15 WIB</t>
  </si>
  <si>
    <t>DT 151 menyisir bahu jalan di Km 50</t>
  </si>
  <si>
    <t>10.30 WIB</t>
  </si>
  <si>
    <t>KM 39  - CHR</t>
  </si>
  <si>
    <t>DT124 Muatan Menabrak Tanggul Kosongan di Km 39</t>
  </si>
  <si>
    <t>07.50 WIB</t>
  </si>
  <si>
    <t>DT 040-013 menabrak vassel belakang sebelah kiri DT 030-135</t>
  </si>
  <si>
    <t>01.40 WIB</t>
  </si>
  <si>
    <t>DT 040-28 melakukan manuver parkir mundur menyenggol DT 030-89</t>
  </si>
  <si>
    <t>10.40 WIB</t>
  </si>
  <si>
    <t xml:space="preserve">Oli Bekas tercecer ketanah dijalan hauling KM 16 + 500 </t>
  </si>
  <si>
    <t>OLI</t>
  </si>
  <si>
    <t>01.15 WIB</t>
  </si>
  <si>
    <t>HD093 menabrak vessel belakang DT1013 di akses masuk sump Pit North</t>
  </si>
  <si>
    <t>23.00 WIB</t>
  </si>
  <si>
    <t>Mekanik luka pada lengan kiri terkena lentingan palu tembaga di WS Lampunut</t>
  </si>
  <si>
    <t>MEKANIK</t>
  </si>
  <si>
    <t>LENTINGAN MATERIAL</t>
  </si>
  <si>
    <t>00.40 WIB</t>
  </si>
  <si>
    <t>KM 3+500</t>
  </si>
  <si>
    <t>DT030-0083 muatan tidak kuat menanjak kemudian rebah di KM 03+500</t>
  </si>
  <si>
    <t>04.00 WIB</t>
  </si>
  <si>
    <t>KM 30+000</t>
  </si>
  <si>
    <t>DT030-0009 Rebah di KM 30+000</t>
  </si>
  <si>
    <t>19.50 WIB</t>
  </si>
  <si>
    <t>DT030-0109 Rebah Kekanan</t>
  </si>
  <si>
    <t>DT030-1008  rebah ke kanan</t>
  </si>
  <si>
    <t>15.30 WIB</t>
  </si>
  <si>
    <t>SHR - KM 34</t>
  </si>
  <si>
    <t>DT030-0111 Muatan Amblas/sandar pada tanggul jalur Kosongan.</t>
  </si>
  <si>
    <t>08.15 WIB</t>
  </si>
  <si>
    <t>Ceceran Solar di Waterfill KM 6</t>
  </si>
  <si>
    <t>PJA Log Haju</t>
  </si>
  <si>
    <t>WATERPUMP</t>
  </si>
  <si>
    <t>CECERAN</t>
  </si>
  <si>
    <t xml:space="preserve">Detail Lokasi </t>
  </si>
  <si>
    <t>AREA_</t>
  </si>
  <si>
    <t>LOKASI_</t>
  </si>
  <si>
    <t>DETAIL LOKASI_</t>
  </si>
  <si>
    <t>KATEGORI INSIDEN_</t>
  </si>
  <si>
    <t>INSIDEN_</t>
  </si>
  <si>
    <t>JENIS INSIDEN_</t>
  </si>
  <si>
    <t>PENYEBAB_</t>
  </si>
  <si>
    <t xml:space="preserve">Jenis Insiden </t>
  </si>
  <si>
    <t>Shift</t>
  </si>
  <si>
    <t xml:space="preserve">Nama Pelaku/Korban </t>
  </si>
  <si>
    <t xml:space="preserve">NRP </t>
  </si>
  <si>
    <t xml:space="preserve">Jabatan </t>
  </si>
  <si>
    <t>Lama Kerja</t>
  </si>
  <si>
    <t>Lama Kerja (Interval)</t>
  </si>
  <si>
    <t xml:space="preserve">Umur </t>
  </si>
  <si>
    <t>Umur (Interval)</t>
  </si>
  <si>
    <t>Umur (Interval 2)</t>
  </si>
  <si>
    <t>Tanggal Refresh  Training Pelaku / Korban terakhir terkait teknis pekerjaannya</t>
  </si>
  <si>
    <t>Tanggal Training SHE Pelaku / Korban terakhir</t>
  </si>
  <si>
    <t>Tindakan Disiplin Pelaku</t>
  </si>
  <si>
    <t>Pengawas On Duty</t>
  </si>
  <si>
    <t>Status Sertifikasi POP Pengawas</t>
  </si>
  <si>
    <t>Masa Kerja Pengawas</t>
  </si>
  <si>
    <t>Tindakan Disiplin Pengawas</t>
  </si>
  <si>
    <t>Kategori Basic Cause</t>
  </si>
  <si>
    <t>Basic Cause</t>
  </si>
  <si>
    <t>Basic Cause 2</t>
  </si>
  <si>
    <t>Basic Cause 3</t>
  </si>
  <si>
    <t>KM 03</t>
  </si>
  <si>
    <t>AMBLAS</t>
  </si>
  <si>
    <t>MAINTENANCE JALAN BELUM MAKSIMAL</t>
  </si>
  <si>
    <t>Shift 1</t>
  </si>
  <si>
    <t>8000678</t>
  </si>
  <si>
    <t>Operator DT</t>
  </si>
  <si>
    <t>1 Tahun 9 Bulan</t>
  </si>
  <si>
    <t>1 - 2 Tahun</t>
  </si>
  <si>
    <t>28 Tahun</t>
  </si>
  <si>
    <t>26-30 Tahun</t>
  </si>
  <si>
    <t>Gen "Mileneal" (27-40 Tahun)</t>
  </si>
  <si>
    <t>Sanksi SPDK</t>
  </si>
  <si>
    <t>Farid Nuruddin</t>
  </si>
  <si>
    <t>POP</t>
  </si>
  <si>
    <t>4 Tahun 7 Bulan</t>
  </si>
  <si>
    <t>Pengawasan Area Kerja Tidak Memadai</t>
  </si>
  <si>
    <t>Maintanance Jalan Tidak Maksimal</t>
  </si>
  <si>
    <t>MENABRAK</t>
  </si>
  <si>
    <t>TIDAK DEFENSIVE DRIVING</t>
  </si>
  <si>
    <t>80000560</t>
  </si>
  <si>
    <t>9 Bulan</t>
  </si>
  <si>
    <t>3 bulan - 1 Tahun</t>
  </si>
  <si>
    <t>34 Tahun</t>
  </si>
  <si>
    <t>31-35 Tahun</t>
  </si>
  <si>
    <t xml:space="preserve">Coaching &amp; Counseling </t>
  </si>
  <si>
    <t>Eko W</t>
  </si>
  <si>
    <t>07 Tahun 10 Bulan</t>
  </si>
  <si>
    <t>Pelanggaran Prosedur Jarak Aman Dengan Petugas Timbangan</t>
  </si>
  <si>
    <t>Operator Merasa Jauh Untuk Menyerahkan Doket Ke Petugas Penimbangan</t>
  </si>
  <si>
    <t xml:space="preserve">LNR </t>
  </si>
  <si>
    <t>P2H UNIT TIDAK MAKSIMAL</t>
  </si>
  <si>
    <t>Shift 2</t>
  </si>
  <si>
    <t>20090378</t>
  </si>
  <si>
    <t>Driver Support</t>
  </si>
  <si>
    <t>35 Tahun</t>
  </si>
  <si>
    <t>SPDK</t>
  </si>
  <si>
    <t>13 Tahun 1 Bulan</t>
  </si>
  <si>
    <t>Pelanggaran Prosedur P2H Unit</t>
  </si>
  <si>
    <t>Operator Tidak Melakukan P2H Unit Secara Menyeluruh Bagian</t>
  </si>
  <si>
    <t>KM 69</t>
  </si>
  <si>
    <t>XXXX</t>
  </si>
  <si>
    <t>Operator A2B</t>
  </si>
  <si>
    <t>19 Hari</t>
  </si>
  <si>
    <t>&lt; 3 bulan</t>
  </si>
  <si>
    <t>23 Tahun</t>
  </si>
  <si>
    <t>21-25 Tahun</t>
  </si>
  <si>
    <t>Gen "Z" (19-26 Tahun)</t>
  </si>
  <si>
    <t>24 Des 2022</t>
  </si>
  <si>
    <t>3 Tahun 7 Bulan</t>
  </si>
  <si>
    <t>Pengawasan Kerja Tidak Memadai</t>
  </si>
  <si>
    <t>Kurangnya Pendampingan / Pengawasan Kerja Karyawan Baru</t>
  </si>
  <si>
    <t>KM 16</t>
  </si>
  <si>
    <t>MUNDUR &amp; AMBLAS</t>
  </si>
  <si>
    <t>80000985</t>
  </si>
  <si>
    <t>7 Bulan</t>
  </si>
  <si>
    <t>26 Tahun</t>
  </si>
  <si>
    <t>7 Des 2021</t>
  </si>
  <si>
    <t>Nofiyanto</t>
  </si>
  <si>
    <t>2 Tahun 2 Bulan</t>
  </si>
  <si>
    <t>Kurangnya Keterampilan Operasi Unit</t>
  </si>
  <si>
    <t>Operator Lupa materi training kondisi emergency operasi unit</t>
  </si>
  <si>
    <t>FIRE CASE</t>
  </si>
  <si>
    <t>MAINTENANCE UNIT BELUM MAKSIMAL</t>
  </si>
  <si>
    <t>80000013</t>
  </si>
  <si>
    <t>1 Tahun 4 Bulan</t>
  </si>
  <si>
    <t>32 Tahun</t>
  </si>
  <si>
    <t>Hendri Agustino</t>
  </si>
  <si>
    <t>Standar Kerja (PI) Kurang Memadai</t>
  </si>
  <si>
    <t>Adjust brake tidak dilakukan ke semua tyre saat penggantian linnig</t>
  </si>
  <si>
    <t>192276</t>
  </si>
  <si>
    <t>Helper Mekanik</t>
  </si>
  <si>
    <t>2 Tahun 4 Bulan</t>
  </si>
  <si>
    <t>2 - 3 Tahun</t>
  </si>
  <si>
    <t>22 Tahun</t>
  </si>
  <si>
    <t>Robby Surya</t>
  </si>
  <si>
    <t>3 Tahun</t>
  </si>
  <si>
    <t>Tidak memperhatikan area sekitar saat manuver mundur</t>
  </si>
  <si>
    <t>KM 28</t>
  </si>
  <si>
    <t>80002375</t>
  </si>
  <si>
    <t>1 Tahun</t>
  </si>
  <si>
    <t>30 Tahun</t>
  </si>
  <si>
    <t>Operator tidak fokus dalam melihat lubang kemudian membanting steering kesebelah kiri</t>
  </si>
  <si>
    <t>KM 05</t>
  </si>
  <si>
    <t>TERLAMBAT SHIFTING TRANSMISI</t>
  </si>
  <si>
    <t>80002012</t>
  </si>
  <si>
    <t>36 Tahun</t>
  </si>
  <si>
    <t>36-40 Tahun</t>
  </si>
  <si>
    <t>Freddy</t>
  </si>
  <si>
    <t>1 Tahun 6 Bulan</t>
  </si>
  <si>
    <t xml:space="preserve">Operator Terlambat dalam melakukan shifting transmisi </t>
  </si>
  <si>
    <t xml:space="preserve">Operator terbiasa melakukan berdasarkan pengalaman </t>
  </si>
  <si>
    <t>REBAH</t>
  </si>
  <si>
    <t xml:space="preserve">Shift 1 </t>
  </si>
  <si>
    <t xml:space="preserve">Operator DT </t>
  </si>
  <si>
    <t xml:space="preserve">1 Tahun </t>
  </si>
  <si>
    <t xml:space="preserve">27 Tahun </t>
  </si>
  <si>
    <t>Menggerakan Unit Sebelum Menurunkan Vessel</t>
  </si>
  <si>
    <t>Ingin Cepat Menyelesaikan Pekerjaan</t>
  </si>
  <si>
    <t>KM 77</t>
  </si>
  <si>
    <t>7 Bulan 27 Hari</t>
  </si>
  <si>
    <t xml:space="preserve">26 Tahun </t>
  </si>
  <si>
    <t>Rian Ardiansyah</t>
  </si>
  <si>
    <t>9 Tahun 6 Bulan</t>
  </si>
  <si>
    <t>Tidak ada pemeriksaan kondisi lockpin balljoint di PS</t>
  </si>
  <si>
    <t>FATIGUE</t>
  </si>
  <si>
    <t xml:space="preserve">11 Bulan </t>
  </si>
  <si>
    <t xml:space="preserve">25 Tahun </t>
  </si>
  <si>
    <t>Dwi Istiawan</t>
  </si>
  <si>
    <t>6 Bulan</t>
  </si>
  <si>
    <t>Fatigue</t>
  </si>
  <si>
    <t>Tidak Dapat Mengelola Istirahat dengan Baik</t>
  </si>
  <si>
    <t xml:space="preserve">4 Bulan </t>
  </si>
  <si>
    <t xml:space="preserve">Jalan tidak standar </t>
  </si>
  <si>
    <t xml:space="preserve">Tidak melakukan defensive driving training </t>
  </si>
  <si>
    <t>LENTINGAN</t>
  </si>
  <si>
    <t>TIDAK MENJAGA JARAK AMAN</t>
  </si>
  <si>
    <t xml:space="preserve">Group Leader </t>
  </si>
  <si>
    <t>47 Tahun</t>
  </si>
  <si>
    <t>46-50 Tahun</t>
  </si>
  <si>
    <t>Gen "X" (41-56 Tahun)</t>
  </si>
  <si>
    <t>4 Bulan</t>
  </si>
  <si>
    <t>Jarak pengawas terlalu dekat dengan titik dumping</t>
  </si>
  <si>
    <t xml:space="preserve">Belum ada standar penempatan tower lamp </t>
  </si>
  <si>
    <t>OVERSPEED</t>
  </si>
  <si>
    <t xml:space="preserve">8 Bulan </t>
  </si>
  <si>
    <t>06 Des 2021</t>
  </si>
  <si>
    <t>Noviyanto</t>
  </si>
  <si>
    <t>Overspeed</t>
  </si>
  <si>
    <t>Merasa aman dengan kecepatan berlebih (over confidence)</t>
  </si>
  <si>
    <t xml:space="preserve">10 Bulan </t>
  </si>
  <si>
    <t>39 Tahun</t>
  </si>
  <si>
    <t xml:space="preserve">Aljary </t>
  </si>
  <si>
    <t>POM</t>
  </si>
  <si>
    <t>2 Tahun 8 Bulan</t>
  </si>
  <si>
    <t>Terlalu mengambil jalan ke sisi kiri</t>
  </si>
  <si>
    <t>Tidak memastikan terdapat material spoil yang lembek di pinggir jalan</t>
  </si>
  <si>
    <t>KM 02</t>
  </si>
  <si>
    <t xml:space="preserve">Sandy </t>
  </si>
  <si>
    <t>80002014</t>
  </si>
  <si>
    <t xml:space="preserve">1 Tahun 6 Bulan </t>
  </si>
  <si>
    <t xml:space="preserve">29 Tahun </t>
  </si>
  <si>
    <t>Ervan</t>
  </si>
  <si>
    <t>1 tahun 9 bulan</t>
  </si>
  <si>
    <t>Belum terdapat pemeriksaan Noise Absorben dalam checklist PI dan PS</t>
  </si>
  <si>
    <t>80000657</t>
  </si>
  <si>
    <t>1 Tahun 11 Bulan</t>
  </si>
  <si>
    <t>1 Tahun 1 Bulan</t>
  </si>
  <si>
    <t>Pelanggaran prosedur operasi jalan Non AWR</t>
  </si>
  <si>
    <t>Tidak segera stop saat hujan turun</t>
  </si>
  <si>
    <t>5 Bulan</t>
  </si>
  <si>
    <t>Pelanggaran prosedur komunikasi 2 arah dan batas kecepatan</t>
  </si>
  <si>
    <t>Tidak memastikan jalur aman ketika berada di area blindspot</t>
  </si>
  <si>
    <t>Terlalu mengambil jalan ke sisi kiri saat akan parkir</t>
  </si>
  <si>
    <t>Tidak memastikan base jalan yang lembek saat akan parkir</t>
  </si>
  <si>
    <t>KABEL PUTUS</t>
  </si>
  <si>
    <t>INSPEKSI AREA &amp; PENGAJUAN IJIN KERJA TIDAK DILAKUKAN</t>
  </si>
  <si>
    <t xml:space="preserve">1 Bulan </t>
  </si>
  <si>
    <t>33 Tahun</t>
  </si>
  <si>
    <t>M Gandhi</t>
  </si>
  <si>
    <t xml:space="preserve">Pembekalan POP Internal </t>
  </si>
  <si>
    <t>2 tahun 9 bulan</t>
  </si>
  <si>
    <t>Ijin kerja penggalian tidak diajukan</t>
  </si>
  <si>
    <t>Beranggapan pekerjaan penggalian tidak harus diproses</t>
  </si>
  <si>
    <t>DT030-0135 menabrak tanggul di Room Raw CHPP</t>
  </si>
  <si>
    <t>Fokus melihat DT lain yang ada didepan unit</t>
  </si>
  <si>
    <t>KM 40</t>
  </si>
  <si>
    <t>40 Tahun</t>
  </si>
  <si>
    <t>Tidak melakukan defensive driving training saat mengoperasikan unit</t>
  </si>
  <si>
    <t xml:space="preserve">1 Tahun 4 Bulan </t>
  </si>
  <si>
    <t>Terlambat melakukan shifting transmisi rendah saat menanjak</t>
  </si>
  <si>
    <t>Tidak memperhatikan panel indikator transmisi</t>
  </si>
  <si>
    <t>1 Tahun 3 Bulan</t>
  </si>
  <si>
    <t>Mengambil jalur terlalu kekiri saat menepi</t>
  </si>
  <si>
    <t>TIDAK ADA SPOTER</t>
  </si>
  <si>
    <t>0111117</t>
  </si>
  <si>
    <t>Senior Officer Procon &amp; Pitcon</t>
  </si>
  <si>
    <t>11 Tahun 2 Bulan</t>
  </si>
  <si>
    <t>&gt; 5 Tahun</t>
  </si>
  <si>
    <t>17 Tahun</t>
  </si>
  <si>
    <t>Pelanggaran prosedur pencucian</t>
  </si>
  <si>
    <t>Tidak menggunakan spoter saat mencuci</t>
  </si>
  <si>
    <t>KM 70</t>
  </si>
  <si>
    <t>KEBOCORAN POMPA SPAYER</t>
  </si>
  <si>
    <t xml:space="preserve">Ismail </t>
  </si>
  <si>
    <t xml:space="preserve">Jr. Mekanik </t>
  </si>
  <si>
    <t xml:space="preserve">34 Tahun </t>
  </si>
  <si>
    <t>Hokgista</t>
  </si>
  <si>
    <t xml:space="preserve">Terdapat kebocoran pada area pompa spayer </t>
  </si>
  <si>
    <t xml:space="preserve">Kondisi seal pompa belum teridentifikasi pada saat PI </t>
  </si>
  <si>
    <t xml:space="preserve">Muhlis </t>
  </si>
  <si>
    <t xml:space="preserve">Operator Exca </t>
  </si>
  <si>
    <t>Arman</t>
  </si>
  <si>
    <t xml:space="preserve">3 Bulan </t>
  </si>
  <si>
    <t xml:space="preserve">Tidak terdapat ijin kerja </t>
  </si>
  <si>
    <t xml:space="preserve">rencana perbaikan insiden sebelumnya tidak dilaksanakan </t>
  </si>
  <si>
    <t>21 Tahun</t>
  </si>
  <si>
    <t xml:space="preserve">Nofianto </t>
  </si>
  <si>
    <t xml:space="preserve">SPDK Lubang 2 </t>
  </si>
  <si>
    <t>Pelanggaran Prosedur Pengoperasian Unit</t>
  </si>
  <si>
    <t>Tidak menggunakan gear transmisi 7 sesuai rambu yang ditetapkan</t>
  </si>
  <si>
    <t xml:space="preserve">Doni Damara </t>
  </si>
  <si>
    <t xml:space="preserve">Farid Nurrudin </t>
  </si>
  <si>
    <t xml:space="preserve">4 Tahun 7 Bulan </t>
  </si>
  <si>
    <t xml:space="preserve">Pelanggaran batas kecepatan </t>
  </si>
  <si>
    <t xml:space="preserve">Mengambil Jalur terlalu Kekiri </t>
  </si>
  <si>
    <t xml:space="preserve">Alfian Hidayat </t>
  </si>
  <si>
    <t xml:space="preserve">5 Bulan </t>
  </si>
  <si>
    <t xml:space="preserve">32 Tahun </t>
  </si>
  <si>
    <t>Tidak dimasukkan dalam item PS HM 5000</t>
  </si>
  <si>
    <t>KM 20</t>
  </si>
  <si>
    <t xml:space="preserve">Syahrial Afandi </t>
  </si>
  <si>
    <t xml:space="preserve">1 Tahun 2 bulan </t>
  </si>
  <si>
    <t xml:space="preserve">42 Tahun </t>
  </si>
  <si>
    <t>41-45 Tahun</t>
  </si>
  <si>
    <t xml:space="preserve">Safiudin </t>
  </si>
  <si>
    <t>Masuk tikungan dengan kecepatan 45 km/jam</t>
  </si>
  <si>
    <t>80002483</t>
  </si>
  <si>
    <t>Operator kurang memahami pengoperasian unit saat di jalan tanjakan Km 5</t>
  </si>
  <si>
    <t>80002471</t>
  </si>
  <si>
    <t xml:space="preserve">6 Bulan </t>
  </si>
  <si>
    <t>31 Tahun</t>
  </si>
  <si>
    <t>INSPEKSI AWAL SHIFT PENGAWAS TIDAK MAKSIMAL DILAKUKAN</t>
  </si>
  <si>
    <t>4 Bulan 27 Hari</t>
  </si>
  <si>
    <t>Dance Tangga</t>
  </si>
  <si>
    <t>8 Bulan</t>
  </si>
  <si>
    <t>Inspeksi awal shift belum dilakukan</t>
  </si>
  <si>
    <t>Superviser area belum melakukan kontrol terhadap kewajiban inspeksi</t>
  </si>
  <si>
    <t>PTR ROAD</t>
  </si>
  <si>
    <t>4 Bulan 17 Hari</t>
  </si>
  <si>
    <t>29 Tahun</t>
  </si>
  <si>
    <t>Masuk tikungan dengan kecepatan yang salah</t>
  </si>
  <si>
    <t>KM 78</t>
  </si>
  <si>
    <t>80002248</t>
  </si>
  <si>
    <t>80003519</t>
  </si>
  <si>
    <t xml:space="preserve">2 Bulan </t>
  </si>
  <si>
    <t>M Ramadhani A</t>
  </si>
  <si>
    <t>Belum terdapat bendera batas aman dumping di area disposal</t>
  </si>
  <si>
    <t>Tidak melakukan observasi awal shift pada saat pekerjaan dumping disposal</t>
  </si>
  <si>
    <t xml:space="preserve">Operator HDT </t>
  </si>
  <si>
    <t xml:space="preserve">1 Tahun 8 bulan </t>
  </si>
  <si>
    <t>Operator HD tidak mengikuti bendera batas dumping</t>
  </si>
  <si>
    <t>Inisiatif dari operator memilih sendiri area dumping point (Over confidence karena merasa masih aman)</t>
  </si>
  <si>
    <t>KM 12</t>
  </si>
  <si>
    <t>Tidak menjaga jarak aman beriringan dengan unit DT lainnya</t>
  </si>
  <si>
    <t>Ingin segera istirahat</t>
  </si>
  <si>
    <t>Tireman</t>
  </si>
  <si>
    <t xml:space="preserve">Wahyu Utomo </t>
  </si>
  <si>
    <t>Mengoperasikan unit tanpa kewenangan</t>
  </si>
  <si>
    <t>Inisiatif driver mengoperasikan unit ke area Mess</t>
  </si>
  <si>
    <t>Andik Erwanto</t>
  </si>
  <si>
    <t>3 Bulan</t>
  </si>
  <si>
    <t>Inisiatif driver mengoperasikan unit ke Km 30 untuk berbelanja</t>
  </si>
  <si>
    <t>Operator WL</t>
  </si>
  <si>
    <t>24 Tahun</t>
  </si>
  <si>
    <t>Yerry Fernando</t>
  </si>
  <si>
    <t>Tidak segera melakukan pemasangan barikade pada area plate stopper</t>
  </si>
  <si>
    <t>Mengira kondisi plate stopper masih aman</t>
  </si>
  <si>
    <t xml:space="preserve">1 Tahun 11 bulan </t>
  </si>
  <si>
    <t>38 Tahun</t>
  </si>
  <si>
    <t>15 Tahun</t>
  </si>
  <si>
    <t>Gagal melakukan identifikasi jarak dumping aman di disposal mudcell</t>
  </si>
  <si>
    <t>Belum terdapat JSA pekerjaan dumping di area disposal mudcell</t>
  </si>
  <si>
    <t>KM 41</t>
  </si>
  <si>
    <t>Belum ditentukan batas masa pakai O Ring</t>
  </si>
  <si>
    <t>Tidak dimasukkan dalam item PS HM 2000</t>
  </si>
  <si>
    <t>KM 21</t>
  </si>
  <si>
    <t xml:space="preserve">1 Tahun 4 bulan </t>
  </si>
  <si>
    <t>Tidak siap mengurangi kecepatan saat beriringan dengan unit lain</t>
  </si>
  <si>
    <t>Melakukan aktivitas lain saat mengoperasikan unit</t>
  </si>
  <si>
    <t>PARKIRAN</t>
  </si>
  <si>
    <t xml:space="preserve">1 Tahun 3 bulan </t>
  </si>
  <si>
    <t>Pelanggaran prosedur parkir unit</t>
  </si>
  <si>
    <t>Tidak memastikan panjng unit saat manuver</t>
  </si>
  <si>
    <t>KEBOCORAN IBC OLI BEKAS</t>
  </si>
  <si>
    <t>80000982</t>
  </si>
  <si>
    <t xml:space="preserve">Operator CT </t>
  </si>
  <si>
    <t xml:space="preserve">4 bulan </t>
  </si>
  <si>
    <t>Dwy Fitrianor</t>
  </si>
  <si>
    <t xml:space="preserve">Tidak memastikan kelengkapan Manifest limbah </t>
  </si>
  <si>
    <t>Tidak memastikan kondisi IBC saat pengangkutan</t>
  </si>
  <si>
    <t>3 Tahun 7 hari</t>
  </si>
  <si>
    <t>3 - 4 thn</t>
  </si>
  <si>
    <t>Sinaga Frakas</t>
  </si>
  <si>
    <t>TOOLS TIDAK LAYAK MASIH DIGUNAKAN</t>
  </si>
  <si>
    <t>Mekanik</t>
  </si>
  <si>
    <t>Alif Aulya Nur F</t>
  </si>
  <si>
    <t xml:space="preserve">Menggunakan peralatan kerja tidak layak </t>
  </si>
  <si>
    <t xml:space="preserve">Tool keeper tidak memahami standar alat bantu kerja </t>
  </si>
  <si>
    <t>KM 04</t>
  </si>
  <si>
    <t>MUNDUR &amp; REBAH</t>
  </si>
  <si>
    <t>1 Tahun 5 bulan</t>
  </si>
  <si>
    <t xml:space="preserve">Operator terbiasa melewati tanjakan dengan gear 11 atau 9 karena merasa mampu </t>
  </si>
  <si>
    <t>KM 30</t>
  </si>
  <si>
    <t>DT040-0009 Rebah di KM 30+000</t>
  </si>
  <si>
    <t>MENGONSUMSI ALKOHOL</t>
  </si>
  <si>
    <t>Operator dalam pengaruh alkohol pada saat operasi (Hasil pemeriksaan medis)</t>
  </si>
  <si>
    <t>Kurangnya Kontrol Pengawasan pada saat jam kerja</t>
  </si>
  <si>
    <t>KM 75</t>
  </si>
  <si>
    <t>Operator DT 109 beroperasi pada kecepatan berlebih saat turunan (rambu kecepatan 30 km/jam &amp; Wajib Gear 7 di jalan LNR)</t>
  </si>
  <si>
    <t>DT030-1008  rebah ke kanan ROM Pit 1</t>
  </si>
  <si>
    <t>2 Tahun</t>
  </si>
  <si>
    <t>Joni Palinggi</t>
  </si>
  <si>
    <t>Operator Kurang skill
(Fakta Operator DT 1008 merupakan operator  OJT dengan HM 392)</t>
  </si>
  <si>
    <t>Kurangnya pengawasan dari instruktur terhadap kegiatan pelatihan OJT
(Fakta Dalam SOP Pelatihan kegiatan  OJT tidak memerlukan pendampingan namun aktual Instruktur menugaskan operator settingan unit sebagai pendamping / tidak masuk dalam kriteria operator pendamping)</t>
  </si>
  <si>
    <t>Kaharuddin Eppe</t>
  </si>
  <si>
    <t>KM 06</t>
  </si>
  <si>
    <t>Operator FT</t>
  </si>
  <si>
    <t xml:space="preserve"> Fachry Abdel Sardam</t>
  </si>
  <si>
    <t>Pengisian solar tidak sesuai sesuai prosedur dikarenakan ponton waterfill tidak level/miring</t>
  </si>
  <si>
    <t>17.04 WIB</t>
  </si>
  <si>
    <t>DT 1154 Tersandar kekiri di HW 1</t>
  </si>
  <si>
    <t>1 Bulan</t>
  </si>
  <si>
    <t>Imam Mustofa</t>
  </si>
  <si>
    <t>operator memaksakan dumping dengan posisi yang salah</t>
  </si>
  <si>
    <t>operator beberapa kali tidak melakukan prosedur kerja</t>
  </si>
  <si>
    <t>ROM Product</t>
  </si>
  <si>
    <t>Nearmis DT040-0008 Tyre F1 lepas di ROM Product</t>
  </si>
  <si>
    <t>PART LEPAS</t>
  </si>
  <si>
    <t xml:space="preserve"> M Fahrurazi</t>
  </si>
  <si>
    <t>11 Bulan</t>
  </si>
  <si>
    <t>Tidak memastikan dengan detail kondisi Tyre unit</t>
  </si>
  <si>
    <t xml:space="preserve">10.15 WIB </t>
  </si>
  <si>
    <t>Neamiss CT 010 - 0016 muatan tyre amblas di KM 15</t>
  </si>
  <si>
    <t xml:space="preserve">1  Tahun 5 Bulan </t>
  </si>
  <si>
    <t>Imron Mashadi</t>
  </si>
  <si>
    <t>12 Tahun</t>
  </si>
  <si>
    <t>Maintenance jalan tidak maksimal dilakukan</t>
  </si>
  <si>
    <t>Jadwal maintenance jalan hauling tidak ada</t>
  </si>
  <si>
    <t>16.00 WIB</t>
  </si>
  <si>
    <t>Neamiss DT 030 - 00104 amblas di KM 26</t>
  </si>
  <si>
    <t xml:space="preserve">1  Tahun </t>
  </si>
  <si>
    <t xml:space="preserve">24 Tahun </t>
  </si>
  <si>
    <t>Mengambil jalur terlalu kekiri</t>
  </si>
  <si>
    <t xml:space="preserve"> menghindari 2 unit truck loging bermuatan</t>
  </si>
  <si>
    <t>PT CBML</t>
  </si>
  <si>
    <t>Ceceran Oli Pelumas Mesin di TIA (Tuhup Integrated Area)</t>
  </si>
  <si>
    <t>PENEMPATAN BARANG TIDAK PADA TEMPATNYA</t>
  </si>
  <si>
    <t>MP/CBML 22070003</t>
  </si>
  <si>
    <t>Pengawas</t>
  </si>
  <si>
    <t xml:space="preserve">37 Tahun </t>
  </si>
  <si>
    <t>2 bulan</t>
  </si>
  <si>
    <t xml:space="preserve"> CT003-0009 Amblas di area Yard Vendor WS MIA</t>
  </si>
  <si>
    <t>80002750</t>
  </si>
  <si>
    <t>Tyreman</t>
  </si>
  <si>
    <t>Moh Ferian D C</t>
  </si>
  <si>
    <t>1 tahun</t>
  </si>
  <si>
    <t>gagal dalam mengindentifikasi bahaya saat melewati area vendor</t>
  </si>
  <si>
    <t>belum terbiasa melewati area tersebut</t>
  </si>
  <si>
    <t>14.15 WIB</t>
  </si>
  <si>
    <t>DT030-0144 muatan menyisir ke jalur kosongan di turunan KM 53</t>
  </si>
  <si>
    <t>2 Tahun 5 Bulan</t>
  </si>
  <si>
    <t xml:space="preserve">28 Tahun </t>
  </si>
  <si>
    <t xml:space="preserve">Ervan </t>
  </si>
  <si>
    <t>Operator bermuatan mengambil jalur sisi kosongan</t>
  </si>
  <si>
    <t>Motivasi yang salah saat menghindari jalan berdebu masuk di jalur muatan</t>
  </si>
  <si>
    <t>DT040-0020 terperosok dan tersandar di bundwall Km 46</t>
  </si>
  <si>
    <t xml:space="preserve">30 Tahun </t>
  </si>
  <si>
    <t>Pandangan saat mengoperasikan unit teralihkan ke bawah untuk sementara waktu</t>
  </si>
  <si>
    <t>Menempatkan PPT radio setelah lapor ke dispatch</t>
  </si>
  <si>
    <t>DT030-0084 muatan rebah di Km 75.500</t>
  </si>
  <si>
    <t>Menggunakan gear automatic &amp; beranggapan agar tidak over runninng</t>
  </si>
  <si>
    <t xml:space="preserve">PT SIS </t>
  </si>
  <si>
    <t xml:space="preserve">10.01 WIB </t>
  </si>
  <si>
    <t xml:space="preserve">Disposal Elv. 330 </t>
  </si>
  <si>
    <t xml:space="preserve">LV S - 114 Kemunduran Ripper Unit Grader 078 </t>
  </si>
  <si>
    <t xml:space="preserve">PARKIR UNIT PADA RADIUS MANUVER UNIT </t>
  </si>
  <si>
    <t>LPI-68-IX-2022- MACO</t>
  </si>
  <si>
    <t xml:space="preserve">Ihsan </t>
  </si>
  <si>
    <t xml:space="preserve">35 Tahun </t>
  </si>
  <si>
    <t xml:space="preserve">Parkir unit berada di radius kerja unit grader </t>
  </si>
  <si>
    <t>Kegagalan pengawas dan operator dalam melakukan komunikasi 2 arah</t>
  </si>
  <si>
    <t xml:space="preserve">KM 10 </t>
  </si>
  <si>
    <t xml:space="preserve">DT 159 Menyisir tanggul dan keluar jalur </t>
  </si>
  <si>
    <t>LPI-69-IX-2022- MACO</t>
  </si>
  <si>
    <t xml:space="preserve">Renu Kuswoyo </t>
  </si>
  <si>
    <t xml:space="preserve">2 Tahun 6 Bulan </t>
  </si>
  <si>
    <t>3 Tahun 1 Bulan</t>
  </si>
  <si>
    <t xml:space="preserve">14.15 WIB </t>
  </si>
  <si>
    <t xml:space="preserve">DT 1003 Brake Failure di KM 65 Jembatan Bau-bau </t>
  </si>
  <si>
    <t>LPI-70-IX-2022- MACO</t>
  </si>
  <si>
    <t>Metode Operasi Yang salah mengemudikan kecepatan melebihi batas rambu 30 km/jam saat turunan - Actual transmisi 6L 950 km/jam)_(Kurangnya pengetahuan operator dalam pengoperasian unit di jalan turunan karena baru sebulan beroperasi di area hauling)</t>
  </si>
  <si>
    <t xml:space="preserve">Minggu </t>
  </si>
  <si>
    <t xml:space="preserve">02.45 WIB </t>
  </si>
  <si>
    <t xml:space="preserve">DT 128 Menyisir tanggul dari arah muatan ke kosongan di KM 66 </t>
  </si>
  <si>
    <t xml:space="preserve">1 Tahun 8 Bulan </t>
  </si>
  <si>
    <t xml:space="preserve">20.00 WIB </t>
  </si>
  <si>
    <t>Workshop MIA CHPP</t>
  </si>
  <si>
    <t>HD 513 Menyenggol Canopy Atap Bays 1 Saat Dumping Untuk Pengukuran PPM</t>
  </si>
  <si>
    <t>Rudianto</t>
  </si>
  <si>
    <t>KM 01</t>
  </si>
  <si>
    <t>Ceceran Oli Hidrolik WT044 ke Tanah Km 01</t>
  </si>
  <si>
    <t>Operator WT</t>
  </si>
  <si>
    <t xml:space="preserve">04.00 WIB </t>
  </si>
  <si>
    <t>DT040-0025 Amblas KM 26</t>
  </si>
  <si>
    <t>PT SAPTAINDRA SEJATI JOB SITE MACO</t>
  </si>
  <si>
    <t>ANALISA LAPORAN INVESTIGASI INSIDEN</t>
  </si>
  <si>
    <t>PERIODE  : JANUARI - DESEMBER 2022</t>
  </si>
  <si>
    <t xml:space="preserve">Nama Korban </t>
  </si>
  <si>
    <t>Departemen/Seksi</t>
  </si>
  <si>
    <t xml:space="preserve">Jam </t>
  </si>
  <si>
    <t>Tempat</t>
  </si>
  <si>
    <t xml:space="preserve">Alat Terlibat </t>
  </si>
  <si>
    <t>Bagian Luka</t>
  </si>
  <si>
    <t xml:space="preserve">Hari Kerja Hilang                                                        </t>
  </si>
  <si>
    <t>Perkiraan Biaya</t>
  </si>
  <si>
    <t>Kategori Insiden</t>
  </si>
  <si>
    <t>Klass. Insiden/HPRI</t>
  </si>
  <si>
    <t>JI</t>
  </si>
  <si>
    <t>TB</t>
  </si>
  <si>
    <t>KB</t>
  </si>
  <si>
    <t>FPR</t>
  </si>
  <si>
    <t>FPK</t>
  </si>
  <si>
    <t>TP</t>
  </si>
  <si>
    <t>PRODUKSI</t>
  </si>
  <si>
    <t>GA</t>
  </si>
  <si>
    <t>ENGINEERING</t>
  </si>
  <si>
    <t>PLANT</t>
  </si>
  <si>
    <t>PROSES INVESTIGASI</t>
  </si>
  <si>
    <t>Legenda :</t>
  </si>
  <si>
    <t xml:space="preserve"> </t>
  </si>
  <si>
    <t>=</t>
  </si>
  <si>
    <t>Januari, Mei dan September</t>
  </si>
  <si>
    <t>Februari, Juni dan Oktober</t>
  </si>
  <si>
    <t>Maret, Juli dan November</t>
  </si>
  <si>
    <t>April, Agustus dan Desember</t>
  </si>
  <si>
    <t>BERDASARKAN PERUSAHAAN</t>
  </si>
  <si>
    <t>BERDASARKAN KATEGORI INSIDEN</t>
  </si>
  <si>
    <t>LAPORAN</t>
  </si>
  <si>
    <t>FTL</t>
  </si>
  <si>
    <t>BERDASARKAN KLASIFIKASI INSIDEN (HPRI)</t>
  </si>
  <si>
    <t>BERDASARKAN SECTION</t>
  </si>
  <si>
    <t>SECTION</t>
  </si>
  <si>
    <t>PROD HAULING</t>
  </si>
  <si>
    <t>PROD MINING</t>
  </si>
  <si>
    <t>PLANT HAULING</t>
  </si>
  <si>
    <t>PLANT MINING</t>
  </si>
  <si>
    <t>ENG.</t>
  </si>
  <si>
    <t>PSV</t>
  </si>
  <si>
    <t>CSR</t>
  </si>
  <si>
    <t>LOG</t>
  </si>
  <si>
    <t>HR</t>
  </si>
  <si>
    <t>SS</t>
  </si>
  <si>
    <t>LC</t>
  </si>
  <si>
    <t>IT</t>
  </si>
  <si>
    <t>BERDASARKAN WAKTU KEJADIAN</t>
  </si>
  <si>
    <t>JAM</t>
  </si>
  <si>
    <t>00:01 - 01:00</t>
  </si>
  <si>
    <t>01:01 - 02:00</t>
  </si>
  <si>
    <t>02:01 - 03:00</t>
  </si>
  <si>
    <t>03:01 - 04:00</t>
  </si>
  <si>
    <t>04:01 - 05:00</t>
  </si>
  <si>
    <t>05:01 - 06:00</t>
  </si>
  <si>
    <t>06:01 - 07:00</t>
  </si>
  <si>
    <t>07:01 - 08:00</t>
  </si>
  <si>
    <t>08:01 - 09:00</t>
  </si>
  <si>
    <t>09:01 - 10:00</t>
  </si>
  <si>
    <t>10:01 - 11:00</t>
  </si>
  <si>
    <t>11:01 - 12:00</t>
  </si>
  <si>
    <t>12:01 - 13:00</t>
  </si>
  <si>
    <t>13:01 - 14:00</t>
  </si>
  <si>
    <t>14:01 - 15:00</t>
  </si>
  <si>
    <t>15:01 - 16:00</t>
  </si>
  <si>
    <t>16:01 - 17:00</t>
  </si>
  <si>
    <t>17:01 - 18:00</t>
  </si>
  <si>
    <t>18:01 - 19:00</t>
  </si>
  <si>
    <t>19:01 - 20:00</t>
  </si>
  <si>
    <t>20:01 - 21:00</t>
  </si>
  <si>
    <t>21:01 - 22:00</t>
  </si>
  <si>
    <t>22:01 - 23:00</t>
  </si>
  <si>
    <t>23:01 - 24:00</t>
  </si>
  <si>
    <t>BERDASARKAN HARI KEJADIAN</t>
  </si>
  <si>
    <t>HARI</t>
  </si>
  <si>
    <t>SENIN</t>
  </si>
  <si>
    <t>SELASA</t>
  </si>
  <si>
    <t>RABU</t>
  </si>
  <si>
    <t>KAMIS</t>
  </si>
  <si>
    <t>JUMAT</t>
  </si>
  <si>
    <t>SABTU</t>
  </si>
  <si>
    <t>MINGGU</t>
  </si>
  <si>
    <t>BERDASARKAN SHIFT KEJADIAN</t>
  </si>
  <si>
    <t>SHIFT</t>
  </si>
  <si>
    <t>SHIFT SIANG</t>
  </si>
  <si>
    <t>SHIFT MALAM</t>
  </si>
  <si>
    <t>BERDASARKAN JABATAN</t>
  </si>
  <si>
    <t>JABATAN</t>
  </si>
  <si>
    <t>DRV DT / SARANA</t>
  </si>
  <si>
    <t>OPT A2B</t>
  </si>
  <si>
    <t>MEK / HELPER</t>
  </si>
  <si>
    <t>GL / SPV</t>
  </si>
  <si>
    <t>DRV SUPPORT</t>
  </si>
  <si>
    <t>ADM / DLL</t>
  </si>
  <si>
    <t>SUBKONTRAKTOR</t>
  </si>
  <si>
    <t>BERDASARKAN LAMA KERJA</t>
  </si>
  <si>
    <t>LAMA KERJA</t>
  </si>
  <si>
    <t>&lt;  3 bln</t>
  </si>
  <si>
    <t>3 bln - 1 thn</t>
  </si>
  <si>
    <t>1 - 2 thn</t>
  </si>
  <si>
    <t>2 - 3 thn</t>
  </si>
  <si>
    <t>4 - 5 thn</t>
  </si>
  <si>
    <t>&gt;  5 thn</t>
  </si>
  <si>
    <t>BERDASARKAN UMUR</t>
  </si>
  <si>
    <t>UMUR</t>
  </si>
  <si>
    <r>
      <t>&lt;</t>
    </r>
    <r>
      <rPr>
        <sz val="10"/>
        <rFont val="Arial Narrow"/>
        <family val="2"/>
      </rPr>
      <t xml:space="preserve">  20</t>
    </r>
  </si>
  <si>
    <t>21  -  25</t>
  </si>
  <si>
    <t>26  -  30</t>
  </si>
  <si>
    <t>31  -  35</t>
  </si>
  <si>
    <t>36  -  40</t>
  </si>
  <si>
    <t>41  -  45</t>
  </si>
  <si>
    <t>46  -  50</t>
  </si>
  <si>
    <t>&gt;  50</t>
  </si>
  <si>
    <t>BERDASARKAN TEMPAT KEJADIAN</t>
  </si>
  <si>
    <t>TEMPAT</t>
  </si>
  <si>
    <t>TAMBANG</t>
  </si>
  <si>
    <t>HAULING ROAD</t>
  </si>
  <si>
    <t>ROM</t>
  </si>
  <si>
    <t>LAIN-LAIN</t>
  </si>
  <si>
    <t>BERDASARKAN UNIT TERLIBAT</t>
  </si>
  <si>
    <t>TRUCK</t>
  </si>
  <si>
    <t>SARANA</t>
  </si>
  <si>
    <t>A2B</t>
  </si>
  <si>
    <t>PERALATAN</t>
  </si>
  <si>
    <t>BERDASARKAN BAGIAN LUKA</t>
  </si>
  <si>
    <t>BAGIAN TUBUH</t>
  </si>
  <si>
    <t>MATA</t>
  </si>
  <si>
    <t>LENGAN</t>
  </si>
  <si>
    <t>PUNGGUNG</t>
  </si>
  <si>
    <t>BATANG TUBUH</t>
  </si>
  <si>
    <t>TANGAN</t>
  </si>
  <si>
    <t>KAKI</t>
  </si>
  <si>
    <t>TUNGKAI</t>
  </si>
  <si>
    <t>JARI TANGAN</t>
  </si>
  <si>
    <t>JARI KAKI</t>
  </si>
  <si>
    <t>ORGAN DALAM</t>
  </si>
  <si>
    <t>KEPALA</t>
  </si>
  <si>
    <t>BERDASARKAN JENIS INSIDEN</t>
  </si>
  <si>
    <t>JENIS INSIDEN</t>
  </si>
  <si>
    <t>Menabrak Sesuatu</t>
  </si>
  <si>
    <t>Unit Rebah</t>
  </si>
  <si>
    <t>Amblas</t>
  </si>
  <si>
    <t>Jatuh Atau Kejatuhan</t>
  </si>
  <si>
    <t>Jatuh Pada Permukaan Yang Sama</t>
  </si>
  <si>
    <t>Kontak Dengan Pemukaan Kerja</t>
  </si>
  <si>
    <t>Terjepit / Terkait</t>
  </si>
  <si>
    <t>Terkena Suhu Panas / Dingin</t>
  </si>
  <si>
    <t>Terkena Listrik, Kimia, Bising, Lentingan</t>
  </si>
  <si>
    <t>Pencemaran Lingkungan</t>
  </si>
  <si>
    <t>Jenis Insiden Lainnya</t>
  </si>
  <si>
    <t>TINDAKAN BERBAHAYA</t>
  </si>
  <si>
    <t>Operasi Tanpa Wewenang</t>
  </si>
  <si>
    <t>Gagal Memberi Peringatan</t>
  </si>
  <si>
    <t>Gagal Mengamankan</t>
  </si>
  <si>
    <t>Operasi Dengan Kecepatan Yang Salah</t>
  </si>
  <si>
    <t>Membuat Alat Pengaman Tidak Berfungsi</t>
  </si>
  <si>
    <t>Merusak Alat Pengaman</t>
  </si>
  <si>
    <t>Memakai Peralatan Yang Rusak</t>
  </si>
  <si>
    <t>APD Tidak Dipakai / Salah</t>
  </si>
  <si>
    <t>Pemuatan Tidak Sesuai</t>
  </si>
  <si>
    <t>Penempatan Tidak Sesuai</t>
  </si>
  <si>
    <t>Pengangkatan Tidak Sesuai</t>
  </si>
  <si>
    <t>Memakai Alat Tidak Benar</t>
  </si>
  <si>
    <t>Berada Pada Posisi Yang Salah</t>
  </si>
  <si>
    <t>Memperbaiki Alat Tanpa 'Lock Out'</t>
  </si>
  <si>
    <t>Bercanda / Bermain-Main</t>
  </si>
  <si>
    <t>Dibawah Pengaruh Obat / Alkohol</t>
  </si>
  <si>
    <t>Sebab Lain</t>
  </si>
  <si>
    <t>KONDISI BERBAHAYA</t>
  </si>
  <si>
    <t>Pelindung Pada Alat Tidak Memadai</t>
  </si>
  <si>
    <t>APD Tidak Memadai</t>
  </si>
  <si>
    <t>Alat / Material Tidak Memadai</t>
  </si>
  <si>
    <t>Ruang Gerak Terbatas</t>
  </si>
  <si>
    <t>Sistem Peringatan Tidak Memadai</t>
  </si>
  <si>
    <t>Bahaya Ledakan / Kebakaran</t>
  </si>
  <si>
    <t>Housekeeping Buruk</t>
  </si>
  <si>
    <t>Lingkungan Berbahaya</t>
  </si>
  <si>
    <t>Terpapar Kebisingan Tinggi</t>
  </si>
  <si>
    <t>Terpapar Radiasi Tinggi</t>
  </si>
  <si>
    <t>Suhu Ekstrim (Panas / Dingin)</t>
  </si>
  <si>
    <t>Penerangan Kurang / Berlebih</t>
  </si>
  <si>
    <t>Penyempitan Jalan</t>
  </si>
  <si>
    <t>Ketidakmampuan Fisik ( Fatigue)</t>
  </si>
  <si>
    <t>Ketidakmampuan Mental / Psikologis</t>
  </si>
  <si>
    <t>Kurang Pengetahuan</t>
  </si>
  <si>
    <t>Kurang Ketrampilan</t>
  </si>
  <si>
    <t>Stress Fisik</t>
  </si>
  <si>
    <t>Stress Psikologis</t>
  </si>
  <si>
    <t>Motivasi Yang Tidak Sesuai</t>
  </si>
  <si>
    <t>Pengawasan / Supervisi Tidak Memadai</t>
  </si>
  <si>
    <t>Desain Perancangan Tidak Memadai</t>
  </si>
  <si>
    <t>Spesifikasi Pembelian Tidak Memadai</t>
  </si>
  <si>
    <t>Pemeliharaan Tidak Memadai</t>
  </si>
  <si>
    <t>Perkakas / Alat / Material Tidak Memadai</t>
  </si>
  <si>
    <t>Standar / SOP Tidak Memadai</t>
  </si>
  <si>
    <t>Aus / Rusak Normal</t>
  </si>
  <si>
    <t>Penyalahgunaan / Pemaksaan Peralatan</t>
  </si>
  <si>
    <t>KATEGORI TINDAKAN</t>
  </si>
  <si>
    <t>Eliminasi Bahaya / Masalah</t>
  </si>
  <si>
    <t>Penanggulangan Melalui Perancangan</t>
  </si>
  <si>
    <t>Substitusi Bahaya</t>
  </si>
  <si>
    <t>Pemisahan Bahaya / Masalah</t>
  </si>
  <si>
    <t>Kontrol Administratif</t>
  </si>
  <si>
    <t>Pelatihan / Bimbingan</t>
  </si>
  <si>
    <t>Alat Pelindung Diri</t>
  </si>
  <si>
    <t xml:space="preserve">SPDK Formulir AMC belum ada </t>
  </si>
  <si>
    <t>Overdue</t>
  </si>
  <si>
    <t>KURANG TTD  PAK ROERY</t>
  </si>
  <si>
    <t xml:space="preserve">Progress pemenuhan instruktur </t>
  </si>
  <si>
    <t>Count of Status</t>
  </si>
  <si>
    <t>(blank)</t>
  </si>
  <si>
    <t>Bambang</t>
  </si>
  <si>
    <t>Bambang &amp; Aljary</t>
  </si>
  <si>
    <t>CCH</t>
  </si>
  <si>
    <t>KTT</t>
  </si>
  <si>
    <t>PIC Perbaikan</t>
  </si>
  <si>
    <t xml:space="preserve">Progress Follow Up Insiden </t>
  </si>
  <si>
    <t>Section</t>
  </si>
  <si>
    <t>membuat pembatasan area kewenangan untuk section tertentu untuk mengurangi risiko</t>
  </si>
  <si>
    <t>20 Januari 2021</t>
  </si>
  <si>
    <t>Refresh metode pengoperasian unit</t>
  </si>
  <si>
    <t>Slamet W.</t>
  </si>
  <si>
    <t xml:space="preserve">Pembinaan sesuai dengan SPDK yang berlaku </t>
  </si>
  <si>
    <t>PROD</t>
  </si>
  <si>
    <t>Pembinaan sesuai dengan SPDK yang berlaku</t>
  </si>
  <si>
    <t>Refresh in class dan pendampingan dengan senior operator</t>
  </si>
  <si>
    <t>Tindakan disiplin sesuai SPDK</t>
  </si>
  <si>
    <t>Melakukan treatment khusus mengurangi batubara basah</t>
  </si>
  <si>
    <t>Abdul Rohman</t>
  </si>
  <si>
    <t xml:space="preserve">-. Penyampaian ke kepala desa terkait dengan Awareness membawa kendaraan bermotor kepada warga
</t>
  </si>
  <si>
    <t>Ida Bagus P</t>
  </si>
  <si>
    <t>15 Maret 2021</t>
  </si>
  <si>
    <t>'- Pemasangan spanduk campaign terkait</t>
  </si>
  <si>
    <t>keselamatan berkendara di area community</t>
  </si>
  <si>
    <t xml:space="preserve"> Penyampaian ke kepala desa terkait dengan Awareness membawa kendaraan bermotor kepada warga</t>
  </si>
  <si>
    <t>Pemasangan spanduk campaign terkait keselamatan berkendara di area community</t>
  </si>
  <si>
    <t>Review jalan All SHR Section disesuaikan dengan GMP</t>
  </si>
  <si>
    <t>IGN Agriyasa
(PJA PT MC)</t>
  </si>
  <si>
    <t>1 Mei 2021</t>
  </si>
  <si>
    <t>Memasang Rambu Informasi di lokasi-lokasi kritikal apabila berpapasan Logging Truck sehingga DT bisa antisipasi</t>
  </si>
  <si>
    <t>Memberikan refresh pemahaman kepada Operator terkait metode operasi truk logging (Panjang Pendek), Jalur SHR</t>
  </si>
  <si>
    <t>Tafsal
(OTD PT SIS)</t>
  </si>
  <si>
    <t>11 Maret 2021</t>
  </si>
  <si>
    <t>MOU dengan SRP terkait waktu dan kondisi jalan yang dapat mereka gunakan untuk Operasional logging Serta batas maksimal panjang Muatan</t>
  </si>
  <si>
    <t>IGN Agriyasa &amp; Bustanul
(PJA &amp; Eksternal PT MC)</t>
  </si>
  <si>
    <t>Inspeksi dan observasi lokasi kritikal yang membutuhkan perbaikan dengan membuat prioritas pekerjaan</t>
  </si>
  <si>
    <t>1 April 2021/ Continue</t>
  </si>
  <si>
    <t>Pengaturan roster shift II</t>
  </si>
  <si>
    <t>Budi Gangsar
(Eng PT SIS)</t>
  </si>
  <si>
    <t>20 Maret 2021</t>
  </si>
  <si>
    <t>Informasi kepada pihak terkait adanya aktifitas logging di luar jam standar</t>
  </si>
  <si>
    <t>20 Maret 2021/ Continue</t>
  </si>
  <si>
    <t>HCGA</t>
  </si>
  <si>
    <t>OTD</t>
  </si>
  <si>
    <t>Produksi</t>
  </si>
  <si>
    <t>NAMA PENYAKIT 
(MENGACU ICD-10)</t>
  </si>
  <si>
    <t>TENAGA KERJA YANG TERKENA</t>
  </si>
  <si>
    <t>JUMLAH RAWAT</t>
  </si>
  <si>
    <t>MITRA KERJA</t>
  </si>
  <si>
    <t>JALAN</t>
  </si>
  <si>
    <t>INAP</t>
  </si>
  <si>
    <t>Radang Gigi</t>
  </si>
  <si>
    <t xml:space="preserve">Radang pada usus besar </t>
  </si>
  <si>
    <t>Rada Gusi</t>
  </si>
  <si>
    <t>Diare Akut</t>
  </si>
  <si>
    <t>Mata Merah dan Berair</t>
  </si>
  <si>
    <t>Dermatitis Kontak Alergi</t>
  </si>
  <si>
    <t xml:space="preserve">Inspeksi Jamur </t>
  </si>
  <si>
    <t>Nyeri Perut</t>
  </si>
  <si>
    <t>Low Back Pain</t>
  </si>
  <si>
    <t>Radang Lambung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</si>
</sst>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5" formatCode="&quot;$&quot;#,##0_);\(&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Rp&quot;#,##0;\-&quot;Rp&quot;#,##0"/>
    <numFmt numFmtId="165" formatCode="_-* #,##0_-;\-* #,##0_-;_-* &quot;-&quot;_-;_-@_-"/>
    <numFmt numFmtId="166" formatCode="_-* #,##0.00_-;\-* #,##0.00_-;_-* &quot;-&quot;??_-;_-@_-"/>
    <numFmt numFmtId="167" formatCode="[$-409]dd\-mmm\-yy;@"/>
    <numFmt numFmtId="168" formatCode="hh:mm:ss;@"/>
    <numFmt numFmtId="169" formatCode="[$-409]d\-mmm\-yy;@"/>
    <numFmt numFmtId="170" formatCode="_([$Rp-421]* #,##0.00_);_([$Rp-421]* \(#,##0.00\);_([$Rp-421]* &quot;-&quot;??_);_(@_)"/>
    <numFmt numFmtId="171" formatCode="_(* #,##0_);_(* \(#,##0\);_(* \-_);_(@_)"/>
    <numFmt numFmtId="172" formatCode="_(* #,##0.00_);_(* \(#,##0.00\);_(* \-??_);_(@_)"/>
    <numFmt numFmtId="173" formatCode="dd\-mmm\-yy;@"/>
    <numFmt numFmtId="174" formatCode="[$-409]dddd\,\ mmmm\ dd\,\ yyyy"/>
    <numFmt numFmtId="175" formatCode="h:mm;@"/>
    <numFmt numFmtId="176" formatCode="[$-409]m/d/yy\ h:mm\ AM/PM;@"/>
    <numFmt numFmtId="177" formatCode="_(* #,##0_);_(* \(#,##0\);_(* &quot;-&quot;??_);_(@_)"/>
    <numFmt numFmtId="178" formatCode="0.0"/>
    <numFmt numFmtId="179" formatCode="_(&quot;$&quot;* #,##0_);_(&quot;$&quot;* \(#,##0\);_(&quot;$&quot;* &quot;-&quot;??_);_(@_)"/>
    <numFmt numFmtId="180" formatCode="[$-421]dd\ mmmm\ yyyy;@"/>
    <numFmt numFmtId="181" formatCode="[$-13809]dd\ mmmm\ yyyy;@"/>
    <numFmt numFmtId="182" formatCode="[$-F800]dddd\,\ mmmm\ dd\,\ yyyy"/>
    <numFmt numFmtId="183" formatCode="dd/mm/yyyy;@"/>
    <numFmt numFmtId="184" formatCode="mm/dd/yy;@"/>
    <numFmt numFmtId="185" formatCode="0;[Red]0"/>
    <numFmt numFmtId="186" formatCode="&quot;Rp&quot;#,##0"/>
    <numFmt numFmtId="187" formatCode="_-* #,##0_-;\-* #,##0_-;_-* &quot;-&quot;??_-;_-@_-"/>
    <numFmt numFmtId="188" formatCode="0.0%"/>
  </numFmts>
  <fonts count="120">
    <font>
      <sz val="11"/>
      <color theme="1"/>
      <name val="Calibri"/>
      <family val="2"/>
      <scheme val="minor"/>
    </font>
    <font>
      <sz val="10"/>
      <name val="Arial"/>
      <family val="2"/>
    </font>
    <font>
      <sz val="10"/>
      <name val="Arial"/>
      <family val="2"/>
    </font>
    <font>
      <sz val="11"/>
      <color theme="1"/>
      <name val="Calibri"/>
      <family val="2"/>
      <charset val="1"/>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1"/>
      <color rgb="FF9C0006"/>
      <name val="Calibri"/>
      <family val="2"/>
    </font>
    <font>
      <b/>
      <sz val="11"/>
      <color rgb="FFFA7D00"/>
      <name val="Calibri"/>
      <family val="2"/>
    </font>
    <font>
      <sz val="11"/>
      <color rgb="FF006100"/>
      <name val="Calibri"/>
      <family val="2"/>
    </font>
    <font>
      <sz val="11"/>
      <color rgb="FF3F3F76"/>
      <name val="Calibri"/>
      <family val="2"/>
    </font>
    <font>
      <sz val="11"/>
      <color rgb="FF9C6500"/>
      <name val="Calibri"/>
      <family val="2"/>
    </font>
    <font>
      <b/>
      <sz val="11"/>
      <color rgb="FF3F3F3F"/>
      <name val="Calibri"/>
      <family val="2"/>
    </font>
    <font>
      <b/>
      <sz val="18"/>
      <color rgb="FF1F4A7E"/>
      <name val="Cambria"/>
      <family val="1"/>
    </font>
    <font>
      <sz val="11"/>
      <color theme="1"/>
      <name val="Arial"/>
      <family val="2"/>
    </font>
    <font>
      <sz val="11"/>
      <color theme="0"/>
      <name val="Arial"/>
      <family val="2"/>
    </font>
    <font>
      <b/>
      <sz val="18"/>
      <color theme="3"/>
      <name val="Calibri Light"/>
      <family val="2"/>
      <scheme val="major"/>
    </font>
    <font>
      <b/>
      <sz val="12"/>
      <color theme="0"/>
      <name val="Arial"/>
      <family val="2"/>
    </font>
    <font>
      <sz val="12"/>
      <name val="Arial"/>
      <family val="2"/>
    </font>
    <font>
      <b/>
      <sz val="12"/>
      <name val="Arial"/>
      <family val="2"/>
    </font>
    <font>
      <b/>
      <sz val="11"/>
      <color theme="0"/>
      <name val="Arial"/>
      <family val="2"/>
    </font>
    <font>
      <b/>
      <sz val="11"/>
      <name val="Arial"/>
      <family val="2"/>
    </font>
    <font>
      <b/>
      <sz val="11"/>
      <color theme="1"/>
      <name val="Calibri"/>
      <family val="2"/>
      <scheme val="minor"/>
    </font>
    <font>
      <sz val="12"/>
      <color theme="1"/>
      <name val="Arial"/>
      <family val="2"/>
    </font>
    <font>
      <sz val="8"/>
      <name val="Arial"/>
      <family val="2"/>
    </font>
    <font>
      <sz val="8"/>
      <color theme="1"/>
      <name val="Arial"/>
      <family val="2"/>
    </font>
    <font>
      <b/>
      <sz val="8"/>
      <color theme="1"/>
      <name val="Arial"/>
      <family val="2"/>
    </font>
    <font>
      <sz val="8"/>
      <color theme="1"/>
      <name val="Calibri"/>
      <family val="2"/>
      <scheme val="minor"/>
    </font>
    <font>
      <sz val="11"/>
      <name val="Calibri"/>
      <family val="2"/>
      <scheme val="minor"/>
    </font>
    <font>
      <b/>
      <sz val="48"/>
      <color theme="1"/>
      <name val="Arial"/>
      <family val="2"/>
    </font>
    <font>
      <b/>
      <sz val="11"/>
      <color theme="0"/>
      <name val="Calibri"/>
      <family val="2"/>
      <scheme val="minor"/>
    </font>
    <font>
      <sz val="11"/>
      <color theme="0"/>
      <name val="Calibri"/>
      <family val="2"/>
      <scheme val="minor"/>
    </font>
    <font>
      <b/>
      <sz val="11"/>
      <name val="Calibri"/>
      <family val="2"/>
      <scheme val="minor"/>
    </font>
    <font>
      <sz val="10"/>
      <name val="Arial"/>
      <family val="2"/>
    </font>
    <font>
      <sz val="10"/>
      <name val="Century Gothic"/>
      <family val="2"/>
    </font>
    <font>
      <b/>
      <i/>
      <sz val="14"/>
      <color indexed="56"/>
      <name val="Century Gothic"/>
      <family val="2"/>
    </font>
    <font>
      <b/>
      <sz val="14"/>
      <name val="Century Gothic"/>
      <family val="2"/>
    </font>
    <font>
      <b/>
      <sz val="10"/>
      <name val="Century Gothic"/>
      <family val="2"/>
    </font>
    <font>
      <b/>
      <sz val="11"/>
      <name val="Century Gothic"/>
      <family val="2"/>
    </font>
    <font>
      <sz val="12"/>
      <name val="Century Gothic"/>
      <family val="2"/>
    </font>
    <font>
      <sz val="14"/>
      <name val="Century Gothic"/>
      <family val="2"/>
    </font>
    <font>
      <sz val="14"/>
      <name val="Arial"/>
      <family val="2"/>
    </font>
    <font>
      <b/>
      <i/>
      <sz val="14"/>
      <name val="Arial"/>
      <family val="2"/>
    </font>
    <font>
      <b/>
      <sz val="12"/>
      <name val="Century Gothic"/>
      <family val="2"/>
    </font>
    <font>
      <b/>
      <i/>
      <sz val="12"/>
      <name val="Arial"/>
      <family val="2"/>
    </font>
    <font>
      <b/>
      <sz val="12"/>
      <color indexed="10"/>
      <name val="Century Gothic"/>
      <family val="2"/>
    </font>
    <font>
      <sz val="12"/>
      <color theme="0"/>
      <name val="Century Gothic"/>
      <family val="2"/>
    </font>
    <font>
      <sz val="14"/>
      <color theme="1"/>
      <name val="Arial"/>
      <family val="2"/>
    </font>
    <font>
      <sz val="12"/>
      <color theme="0"/>
      <name val="Arial"/>
      <family val="2"/>
    </font>
    <font>
      <b/>
      <sz val="12"/>
      <color theme="1"/>
      <name val="Arial"/>
      <family val="2"/>
    </font>
    <font>
      <sz val="10"/>
      <name val="Arial Narrow"/>
      <family val="2"/>
    </font>
    <font>
      <b/>
      <sz val="12"/>
      <name val="Arial Narrow"/>
      <family val="2"/>
    </font>
    <font>
      <b/>
      <sz val="16"/>
      <color indexed="9"/>
      <name val="Arial Narrow"/>
      <family val="2"/>
    </font>
    <font>
      <b/>
      <sz val="16"/>
      <name val="Arial Narrow"/>
      <family val="2"/>
    </font>
    <font>
      <b/>
      <sz val="8"/>
      <color indexed="9"/>
      <name val="Arial"/>
      <family val="2"/>
    </font>
    <font>
      <sz val="10"/>
      <name val="Century"/>
      <family val="1"/>
    </font>
    <font>
      <sz val="9"/>
      <name val="Arial"/>
      <family val="2"/>
    </font>
    <font>
      <b/>
      <sz val="10"/>
      <name val="Arial"/>
      <family val="2"/>
    </font>
    <font>
      <b/>
      <u/>
      <sz val="10"/>
      <name val="Arial"/>
      <family val="2"/>
    </font>
    <font>
      <b/>
      <sz val="10"/>
      <color indexed="9"/>
      <name val="Arial Narrow"/>
      <family val="2"/>
    </font>
    <font>
      <b/>
      <sz val="10"/>
      <name val="Arial Narrow"/>
      <family val="2"/>
    </font>
    <font>
      <u/>
      <sz val="10"/>
      <name val="Arial Narrow"/>
      <family val="2"/>
    </font>
    <font>
      <b/>
      <sz val="12"/>
      <color rgb="FF000000"/>
      <name val="Arial"/>
      <family val="2"/>
    </font>
    <font>
      <b/>
      <sz val="12"/>
      <color rgb="FFFFFFFF"/>
      <name val="Arial"/>
      <family val="2"/>
    </font>
    <font>
      <b/>
      <sz val="36"/>
      <name val="Arial"/>
      <family val="2"/>
    </font>
    <font>
      <b/>
      <sz val="16"/>
      <name val="Arial"/>
      <family val="2"/>
    </font>
    <font>
      <sz val="16"/>
      <color theme="1"/>
      <name val="Calibri"/>
      <family val="2"/>
      <scheme val="minor"/>
    </font>
    <font>
      <b/>
      <sz val="16"/>
      <color theme="0"/>
      <name val="Arial"/>
      <family val="2"/>
    </font>
    <font>
      <b/>
      <sz val="18"/>
      <name val="Arial"/>
      <family val="2"/>
    </font>
    <font>
      <b/>
      <sz val="18"/>
      <color theme="1"/>
      <name val="Arial"/>
      <family val="2"/>
    </font>
    <font>
      <b/>
      <sz val="18"/>
      <color theme="0"/>
      <name val="Arial"/>
      <family val="2"/>
    </font>
    <font>
      <sz val="18"/>
      <color theme="0"/>
      <name val="Calibri"/>
      <family val="2"/>
      <scheme val="minor"/>
    </font>
    <font>
      <sz val="18"/>
      <color theme="1"/>
      <name val="Calibri"/>
      <family val="2"/>
      <scheme val="minor"/>
    </font>
    <font>
      <b/>
      <sz val="18"/>
      <color theme="1"/>
      <name val="Calibri"/>
      <family val="2"/>
      <scheme val="minor"/>
    </font>
    <font>
      <sz val="9"/>
      <color indexed="81"/>
      <name val="Tahoma"/>
      <family val="2"/>
    </font>
    <font>
      <b/>
      <sz val="9"/>
      <color indexed="81"/>
      <name val="Tahoma"/>
      <family val="2"/>
    </font>
    <font>
      <sz val="14"/>
      <color theme="1"/>
      <name val="Calibri"/>
      <family val="2"/>
      <scheme val="minor"/>
    </font>
    <font>
      <b/>
      <sz val="14"/>
      <name val="Calibri"/>
      <family val="2"/>
      <scheme val="minor"/>
    </font>
    <font>
      <sz val="14"/>
      <name val="Calibri"/>
      <family val="2"/>
      <scheme val="minor"/>
    </font>
    <font>
      <sz val="10"/>
      <color theme="1"/>
      <name val="Calibri"/>
      <family val="2"/>
      <scheme val="minor"/>
    </font>
    <font>
      <sz val="18"/>
      <color rgb="FF000000"/>
      <name val="Arial"/>
      <family val="2"/>
    </font>
    <font>
      <sz val="18"/>
      <color theme="1"/>
      <name val="Arial"/>
      <family val="2"/>
    </font>
    <font>
      <sz val="18"/>
      <color theme="0"/>
      <name val="Arial"/>
      <family val="2"/>
    </font>
    <font>
      <sz val="18"/>
      <name val="Arial"/>
      <family val="2"/>
    </font>
    <font>
      <sz val="16"/>
      <name val="Arial"/>
      <family val="2"/>
    </font>
    <font>
      <sz val="16"/>
      <color theme="1"/>
      <name val="Arial"/>
      <family val="2"/>
    </font>
    <font>
      <b/>
      <sz val="22"/>
      <name val="Arial"/>
      <family val="2"/>
    </font>
    <font>
      <sz val="22"/>
      <name val="Arial"/>
      <family val="2"/>
    </font>
    <font>
      <sz val="20"/>
      <color theme="1"/>
      <name val="Arial"/>
      <family val="2"/>
    </font>
    <font>
      <b/>
      <sz val="20"/>
      <color theme="1"/>
      <name val="Arial"/>
      <family val="2"/>
    </font>
    <font>
      <sz val="20"/>
      <color theme="0"/>
      <name val="Arial"/>
      <family val="2"/>
    </font>
    <font>
      <sz val="8"/>
      <name val="Calibri"/>
      <family val="2"/>
      <scheme val="minor"/>
    </font>
    <font>
      <b/>
      <sz val="22"/>
      <name val="Century Gothic"/>
      <family val="2"/>
    </font>
    <font>
      <b/>
      <sz val="11"/>
      <color theme="1"/>
      <name val="Arial"/>
      <family val="2"/>
    </font>
    <font>
      <b/>
      <sz val="14"/>
      <color theme="1"/>
      <name val="Arial"/>
      <family val="2"/>
    </font>
    <font>
      <b/>
      <sz val="14"/>
      <color rgb="FF000000"/>
      <name val="Arial"/>
      <family val="2"/>
    </font>
    <font>
      <b/>
      <sz val="14"/>
      <color theme="1"/>
      <name val="Calibri"/>
      <family val="2"/>
      <scheme val="minor"/>
    </font>
    <font>
      <b/>
      <sz val="14"/>
      <color rgb="FFFFFFFF"/>
      <name val="Arial"/>
      <family val="2"/>
    </font>
    <font>
      <sz val="10"/>
      <color theme="1"/>
      <name val="Arial"/>
      <family val="2"/>
    </font>
    <font>
      <b/>
      <sz val="14"/>
      <name val="Arial"/>
      <family val="2"/>
    </font>
    <font>
      <b/>
      <sz val="18"/>
      <name val="Century Gothic"/>
      <family val="2"/>
    </font>
    <font>
      <sz val="14"/>
      <color rgb="FF000000"/>
      <name val="Arial"/>
      <family val="2"/>
    </font>
    <font>
      <sz val="12"/>
      <color theme="1"/>
      <name val="Calibri"/>
      <family val="2"/>
      <scheme val="minor"/>
    </font>
    <font>
      <sz val="12"/>
      <color rgb="FF000000"/>
      <name val="Arial"/>
      <family val="2"/>
    </font>
  </fonts>
  <fills count="1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9" tint="0.79998168889431442"/>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DCE5F1"/>
        <bgColor indexed="64"/>
      </patternFill>
    </fill>
    <fill>
      <patternFill patternType="solid">
        <fgColor rgb="FFF2DCDB"/>
        <bgColor indexed="64"/>
      </patternFill>
    </fill>
    <fill>
      <patternFill patternType="solid">
        <fgColor rgb="FFEAF1DD"/>
        <bgColor indexed="64"/>
      </patternFill>
    </fill>
    <fill>
      <patternFill patternType="solid">
        <fgColor rgb="FFE5DFEC"/>
        <bgColor indexed="64"/>
      </patternFill>
    </fill>
    <fill>
      <patternFill patternType="solid">
        <fgColor rgb="FFDBEEF3"/>
        <bgColor indexed="64"/>
      </patternFill>
    </fill>
    <fill>
      <patternFill patternType="solid">
        <fgColor rgb="FFFDE9D9"/>
        <bgColor indexed="64"/>
      </patternFill>
    </fill>
    <fill>
      <patternFill patternType="solid">
        <fgColor rgb="FFB9CCE4"/>
        <bgColor indexed="64"/>
      </patternFill>
    </fill>
    <fill>
      <patternFill patternType="solid">
        <fgColor rgb="FFE6B9B8"/>
        <bgColor indexed="64"/>
      </patternFill>
    </fill>
    <fill>
      <patternFill patternType="solid">
        <fgColor rgb="FFD6E3BC"/>
        <bgColor indexed="64"/>
      </patternFill>
    </fill>
    <fill>
      <patternFill patternType="solid">
        <fgColor rgb="FFCBC0D9"/>
        <bgColor indexed="64"/>
      </patternFill>
    </fill>
    <fill>
      <patternFill patternType="solid">
        <fgColor rgb="FFB7DDE8"/>
        <bgColor indexed="64"/>
      </patternFill>
    </fill>
    <fill>
      <patternFill patternType="solid">
        <fgColor rgb="FFFBD4B4"/>
        <bgColor indexed="64"/>
      </patternFill>
    </fill>
    <fill>
      <patternFill patternType="solid">
        <fgColor rgb="FF96B3D7"/>
        <bgColor indexed="64"/>
      </patternFill>
    </fill>
    <fill>
      <patternFill patternType="solid">
        <fgColor rgb="FFD99694"/>
        <bgColor indexed="64"/>
      </patternFill>
    </fill>
    <fill>
      <patternFill patternType="solid">
        <fgColor rgb="FFC2D69B"/>
        <bgColor indexed="64"/>
      </patternFill>
    </fill>
    <fill>
      <patternFill patternType="solid">
        <fgColor rgb="FFB2A1C6"/>
        <bgColor indexed="64"/>
      </patternFill>
    </fill>
    <fill>
      <patternFill patternType="solid">
        <fgColor rgb="FF94CDDD"/>
        <bgColor indexed="64"/>
      </patternFill>
    </fill>
    <fill>
      <patternFill patternType="solid">
        <fgColor rgb="FFFABF8F"/>
        <bgColor indexed="64"/>
      </patternFill>
    </fill>
    <fill>
      <patternFill patternType="solid">
        <fgColor rgb="FF5181BD"/>
        <bgColor indexed="64"/>
      </patternFill>
    </fill>
    <fill>
      <patternFill patternType="solid">
        <fgColor rgb="FFC0514D"/>
        <bgColor indexed="64"/>
      </patternFill>
    </fill>
    <fill>
      <patternFill patternType="solid">
        <fgColor rgb="FF9ABA58"/>
        <bgColor indexed="64"/>
      </patternFill>
    </fill>
    <fill>
      <patternFill patternType="solid">
        <fgColor rgb="FF7E62A1"/>
        <bgColor indexed="64"/>
      </patternFill>
    </fill>
    <fill>
      <patternFill patternType="solid">
        <fgColor rgb="FF4CACC6"/>
        <bgColor indexed="64"/>
      </patternFill>
    </fill>
    <fill>
      <patternFill patternType="solid">
        <fgColor rgb="FFF79544"/>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theme="4"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rgb="FFFF0000"/>
        <bgColor indexed="64"/>
      </patternFill>
    </fill>
    <fill>
      <patternFill patternType="solid">
        <fgColor rgb="FF00B050"/>
        <bgColor theme="4" tint="0.79998168889431442"/>
      </patternFill>
    </fill>
    <fill>
      <patternFill patternType="solid">
        <fgColor theme="9" tint="0.59999389629810485"/>
        <bgColor theme="4" tint="0.79998168889431442"/>
      </patternFill>
    </fill>
    <fill>
      <patternFill patternType="solid">
        <fgColor rgb="FFFFC000"/>
        <bgColor theme="4" tint="0.79998168889431442"/>
      </patternFill>
    </fill>
    <fill>
      <patternFill patternType="solid">
        <fgColor rgb="FFFF0000"/>
        <bgColor theme="4" tint="0.79998168889431442"/>
      </patternFill>
    </fill>
    <fill>
      <patternFill patternType="solid">
        <fgColor rgb="FFFFFF00"/>
        <bgColor theme="4" tint="0.79998168889431442"/>
      </patternFill>
    </fill>
    <fill>
      <patternFill patternType="solid">
        <fgColor theme="9" tint="0.59999389629810485"/>
        <bgColor indexed="64"/>
      </patternFill>
    </fill>
    <fill>
      <patternFill patternType="solid">
        <fgColor indexed="43"/>
        <bgColor indexed="64"/>
      </patternFill>
    </fill>
    <fill>
      <patternFill patternType="solid">
        <fgColor indexed="41"/>
        <bgColor indexed="64"/>
      </patternFill>
    </fill>
    <fill>
      <patternFill patternType="solid">
        <fgColor rgb="FFCCFFFF"/>
        <bgColor indexed="64"/>
      </patternFill>
    </fill>
    <fill>
      <patternFill patternType="solid">
        <fgColor rgb="FFCCFFCC"/>
        <bgColor indexed="64"/>
      </patternFill>
    </fill>
    <fill>
      <patternFill patternType="solid">
        <fgColor theme="4" tint="0.59999389629810485"/>
        <bgColor indexed="64"/>
      </patternFill>
    </fill>
    <fill>
      <patternFill patternType="solid">
        <fgColor theme="8"/>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indexed="62"/>
        <bgColor indexed="64"/>
      </patternFill>
    </fill>
    <fill>
      <patternFill patternType="solid">
        <fgColor indexed="42"/>
        <bgColor indexed="64"/>
      </patternFill>
    </fill>
    <fill>
      <patternFill patternType="solid">
        <fgColor indexed="47"/>
        <bgColor indexed="64"/>
      </patternFill>
    </fill>
    <fill>
      <patternFill patternType="solid">
        <fgColor indexed="18"/>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indexed="30"/>
        <bgColor indexed="64"/>
      </patternFill>
    </fill>
    <fill>
      <patternFill patternType="solid">
        <fgColor rgb="FF0070C0"/>
        <bgColor indexed="64"/>
      </patternFill>
    </fill>
    <fill>
      <patternFill patternType="solid">
        <fgColor theme="8" tint="-0.499984740745262"/>
        <bgColor indexed="64"/>
      </patternFill>
    </fill>
    <fill>
      <patternFill patternType="solid">
        <fgColor rgb="FFF3FADA"/>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medium">
        <color indexed="64"/>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medium">
        <color indexed="64"/>
      </left>
      <right style="hair">
        <color indexed="64"/>
      </right>
      <top/>
      <bottom/>
      <diagonal/>
    </border>
    <border>
      <left style="hair">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medium">
        <color indexed="64"/>
      </top>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thin">
        <color indexed="64"/>
      </left>
      <right/>
      <top/>
      <bottom/>
      <diagonal/>
    </border>
    <border>
      <left style="thin">
        <color indexed="9"/>
      </left>
      <right style="thin">
        <color indexed="9"/>
      </right>
      <top style="thin">
        <color indexed="9"/>
      </top>
      <bottom style="thin">
        <color indexed="9"/>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bottom/>
      <diagonal/>
    </border>
    <border>
      <left style="medium">
        <color auto="1"/>
      </left>
      <right/>
      <top style="thin">
        <color indexed="64"/>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style="hair">
        <color indexed="64"/>
      </top>
      <bottom/>
      <diagonal/>
    </border>
    <border>
      <left style="medium">
        <color auto="1"/>
      </left>
      <right style="thin">
        <color indexed="64"/>
      </right>
      <top style="hair">
        <color indexed="64"/>
      </top>
      <bottom style="thin">
        <color indexed="64"/>
      </bottom>
      <diagonal/>
    </border>
    <border>
      <left style="medium">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double">
        <color rgb="FF000000"/>
      </top>
      <bottom/>
      <diagonal/>
    </border>
    <border>
      <left style="thin">
        <color rgb="FF000000"/>
      </left>
      <right/>
      <top style="double">
        <color rgb="FF000000"/>
      </top>
      <bottom style="thin">
        <color rgb="FF000000"/>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diagonal/>
    </border>
    <border>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diagonal/>
    </border>
    <border>
      <left style="hair">
        <color indexed="64"/>
      </left>
      <right style="medium">
        <color indexed="64"/>
      </right>
      <top style="hair">
        <color indexed="64"/>
      </top>
      <bottom/>
      <diagonal/>
    </border>
    <border>
      <left style="hair">
        <color indexed="64"/>
      </left>
      <right/>
      <top/>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hair">
        <color indexed="64"/>
      </left>
      <right/>
      <top/>
      <bottom style="medium">
        <color indexed="64"/>
      </bottom>
      <diagonal/>
    </border>
    <border>
      <left style="hair">
        <color indexed="64"/>
      </left>
      <right/>
      <top style="medium">
        <color indexed="64"/>
      </top>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hair">
        <color indexed="64"/>
      </top>
      <bottom style="medium">
        <color indexed="64"/>
      </bottom>
      <diagonal/>
    </border>
    <border>
      <left/>
      <right style="hair">
        <color indexed="64"/>
      </right>
      <top style="medium">
        <color indexed="64"/>
      </top>
      <bottom style="hair">
        <color indexed="64"/>
      </bottom>
      <diagonal/>
    </border>
    <border>
      <left/>
      <right style="hair">
        <color indexed="64"/>
      </right>
      <top/>
      <bottom style="hair">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medium">
        <color indexed="64"/>
      </right>
      <top/>
      <bottom style="hair">
        <color indexed="64"/>
      </bottom>
      <diagonal/>
    </border>
    <border>
      <left style="hair">
        <color indexed="64"/>
      </left>
      <right style="hair">
        <color indexed="64"/>
      </right>
      <top style="thin">
        <color indexed="64"/>
      </top>
      <bottom style="hair">
        <color indexed="64"/>
      </bottom>
      <diagonal/>
    </border>
    <border>
      <left/>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style="medium">
        <color indexed="64"/>
      </top>
      <bottom style="medium">
        <color indexed="64"/>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hair">
        <color indexed="64"/>
      </left>
      <right style="hair">
        <color indexed="64"/>
      </right>
      <top/>
      <bottom style="thin">
        <color indexed="64"/>
      </bottom>
      <diagonal/>
    </border>
    <border>
      <left style="thick">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thick">
        <color indexed="64"/>
      </right>
      <top style="medium">
        <color indexed="64"/>
      </top>
      <bottom/>
      <diagonal/>
    </border>
    <border>
      <left style="thick">
        <color indexed="64"/>
      </left>
      <right style="dotted">
        <color indexed="64"/>
      </right>
      <top/>
      <bottom style="thick">
        <color indexed="64"/>
      </bottom>
      <diagonal/>
    </border>
    <border>
      <left style="dotted">
        <color indexed="64"/>
      </left>
      <right style="dotted">
        <color indexed="64"/>
      </right>
      <top/>
      <bottom style="thick">
        <color indexed="64"/>
      </bottom>
      <diagonal/>
    </border>
    <border>
      <left style="dotted">
        <color indexed="64"/>
      </left>
      <right style="thick">
        <color indexed="64"/>
      </right>
      <top/>
      <bottom style="thick">
        <color indexed="64"/>
      </bottom>
      <diagonal/>
    </border>
  </borders>
  <cellStyleXfs count="694">
    <xf numFmtId="0" fontId="0" fillId="0" borderId="0"/>
    <xf numFmtId="0" fontId="1" fillId="0" borderId="0"/>
    <xf numFmtId="0" fontId="1" fillId="0" borderId="0"/>
    <xf numFmtId="0" fontId="2" fillId="0" borderId="0"/>
    <xf numFmtId="0" fontId="1" fillId="0" borderId="0"/>
    <xf numFmtId="0" fontId="1" fillId="0" borderId="0"/>
    <xf numFmtId="170" fontId="3" fillId="0" borderId="0"/>
    <xf numFmtId="44" fontId="3" fillId="0" borderId="0" applyFont="0" applyFill="0" applyBorder="0" applyAlignment="0" applyProtection="0"/>
    <xf numFmtId="170" fontId="3" fillId="0" borderId="0"/>
    <xf numFmtId="169" fontId="1" fillId="0" borderId="0"/>
    <xf numFmtId="169" fontId="1" fillId="0" borderId="0"/>
    <xf numFmtId="9" fontId="1" fillId="0" borderId="0" applyFill="0" applyBorder="0" applyAlignment="0" applyProtection="0"/>
    <xf numFmtId="169" fontId="5" fillId="5" borderId="0" applyNumberFormat="0" applyBorder="0" applyAlignment="0" applyProtection="0"/>
    <xf numFmtId="169" fontId="5" fillId="6" borderId="0" applyNumberFormat="0" applyBorder="0" applyAlignment="0" applyProtection="0"/>
    <xf numFmtId="169" fontId="5" fillId="7" borderId="0" applyNumberFormat="0" applyBorder="0" applyAlignment="0" applyProtection="0"/>
    <xf numFmtId="169" fontId="5" fillId="8" borderId="0" applyNumberFormat="0" applyBorder="0" applyAlignment="0" applyProtection="0"/>
    <xf numFmtId="169" fontId="5" fillId="9" borderId="0" applyNumberFormat="0" applyBorder="0" applyAlignment="0" applyProtection="0"/>
    <xf numFmtId="169" fontId="5" fillId="10" borderId="0" applyNumberFormat="0" applyBorder="0" applyAlignment="0" applyProtection="0"/>
    <xf numFmtId="169" fontId="5" fillId="11" borderId="0" applyNumberFormat="0" applyBorder="0" applyAlignment="0" applyProtection="0"/>
    <xf numFmtId="169" fontId="5" fillId="12" borderId="0" applyNumberFormat="0" applyBorder="0" applyAlignment="0" applyProtection="0"/>
    <xf numFmtId="169" fontId="5" fillId="13" borderId="0" applyNumberFormat="0" applyBorder="0" applyAlignment="0" applyProtection="0"/>
    <xf numFmtId="169" fontId="5" fillId="8" borderId="0" applyNumberFormat="0" applyBorder="0" applyAlignment="0" applyProtection="0"/>
    <xf numFmtId="169" fontId="5" fillId="11" borderId="0" applyNumberFormat="0" applyBorder="0" applyAlignment="0" applyProtection="0"/>
    <xf numFmtId="169" fontId="5" fillId="14" borderId="0" applyNumberFormat="0" applyBorder="0" applyAlignment="0" applyProtection="0"/>
    <xf numFmtId="169" fontId="6" fillId="15" borderId="0" applyNumberFormat="0" applyBorder="0" applyAlignment="0" applyProtection="0"/>
    <xf numFmtId="169" fontId="6" fillId="12" borderId="0" applyNumberFormat="0" applyBorder="0" applyAlignment="0" applyProtection="0"/>
    <xf numFmtId="169" fontId="6" fillId="13" borderId="0" applyNumberFormat="0" applyBorder="0" applyAlignment="0" applyProtection="0"/>
    <xf numFmtId="169" fontId="6" fillId="16" borderId="0" applyNumberFormat="0" applyBorder="0" applyAlignment="0" applyProtection="0"/>
    <xf numFmtId="169" fontId="6" fillId="17" borderId="0" applyNumberFormat="0" applyBorder="0" applyAlignment="0" applyProtection="0"/>
    <xf numFmtId="169" fontId="6" fillId="18" borderId="0" applyNumberFormat="0" applyBorder="0" applyAlignment="0" applyProtection="0"/>
    <xf numFmtId="169" fontId="6" fillId="19" borderId="0" applyNumberFormat="0" applyBorder="0" applyAlignment="0" applyProtection="0"/>
    <xf numFmtId="169" fontId="6" fillId="20" borderId="0" applyNumberFormat="0" applyBorder="0" applyAlignment="0" applyProtection="0"/>
    <xf numFmtId="169" fontId="6" fillId="21" borderId="0" applyNumberFormat="0" applyBorder="0" applyAlignment="0" applyProtection="0"/>
    <xf numFmtId="169" fontId="6" fillId="16" borderId="0" applyNumberFormat="0" applyBorder="0" applyAlignment="0" applyProtection="0"/>
    <xf numFmtId="169" fontId="6" fillId="17" borderId="0" applyNumberFormat="0" applyBorder="0" applyAlignment="0" applyProtection="0"/>
    <xf numFmtId="169" fontId="6" fillId="22" borderId="0" applyNumberFormat="0" applyBorder="0" applyAlignment="0" applyProtection="0"/>
    <xf numFmtId="169" fontId="7" fillId="6" borderId="0" applyNumberFormat="0" applyBorder="0" applyAlignment="0" applyProtection="0"/>
    <xf numFmtId="169" fontId="8" fillId="23" borderId="3" applyNumberFormat="0" applyAlignment="0" applyProtection="0"/>
    <xf numFmtId="169" fontId="9" fillId="24" borderId="4" applyNumberFormat="0" applyAlignment="0" applyProtection="0"/>
    <xf numFmtId="171" fontId="1" fillId="0" borderId="0" applyFill="0" applyBorder="0" applyAlignment="0" applyProtection="0"/>
    <xf numFmtId="171" fontId="1" fillId="0" borderId="0" applyFill="0" applyBorder="0" applyAlignment="0" applyProtection="0"/>
    <xf numFmtId="171" fontId="1" fillId="0" borderId="0" applyFill="0" applyBorder="0" applyAlignment="0" applyProtection="0"/>
    <xf numFmtId="172" fontId="1" fillId="0" borderId="0" applyFill="0" applyBorder="0" applyAlignment="0" applyProtection="0"/>
    <xf numFmtId="172" fontId="1" fillId="0" borderId="0" applyFill="0" applyBorder="0" applyAlignment="0" applyProtection="0"/>
    <xf numFmtId="172" fontId="1" fillId="0" borderId="0" applyFill="0" applyBorder="0" applyAlignment="0" applyProtection="0"/>
    <xf numFmtId="169" fontId="10" fillId="0" borderId="0" applyNumberFormat="0" applyFill="0" applyBorder="0" applyAlignment="0" applyProtection="0"/>
    <xf numFmtId="169" fontId="11" fillId="7" borderId="0" applyNumberFormat="0" applyBorder="0" applyAlignment="0" applyProtection="0"/>
    <xf numFmtId="169" fontId="12" fillId="0" borderId="5" applyNumberFormat="0" applyFill="0" applyAlignment="0" applyProtection="0"/>
    <xf numFmtId="169" fontId="13" fillId="0" borderId="6" applyNumberFormat="0" applyFill="0" applyAlignment="0" applyProtection="0"/>
    <xf numFmtId="169" fontId="14" fillId="0" borderId="7" applyNumberFormat="0" applyFill="0" applyAlignment="0" applyProtection="0"/>
    <xf numFmtId="169" fontId="14" fillId="0" borderId="0" applyNumberFormat="0" applyFill="0" applyBorder="0" applyAlignment="0" applyProtection="0"/>
    <xf numFmtId="169" fontId="15" fillId="10" borderId="3" applyNumberFormat="0" applyAlignment="0" applyProtection="0"/>
    <xf numFmtId="169" fontId="16" fillId="0" borderId="8" applyNumberFormat="0" applyFill="0" applyAlignment="0" applyProtection="0"/>
    <xf numFmtId="169" fontId="17" fillId="25" borderId="0" applyNumberFormat="0" applyBorder="0" applyAlignment="0" applyProtection="0"/>
    <xf numFmtId="169" fontId="1" fillId="0" borderId="0"/>
    <xf numFmtId="169" fontId="4" fillId="0" borderId="0"/>
    <xf numFmtId="169" fontId="1" fillId="26" borderId="9" applyNumberFormat="0" applyAlignment="0" applyProtection="0"/>
    <xf numFmtId="169" fontId="18" fillId="23" borderId="10" applyNumberFormat="0" applyAlignment="0" applyProtection="0"/>
    <xf numFmtId="9" fontId="1" fillId="0" borderId="0" applyFill="0" applyBorder="0" applyAlignment="0" applyProtection="0"/>
    <xf numFmtId="9" fontId="1" fillId="0" borderId="0" applyFill="0" applyBorder="0" applyAlignment="0" applyProtection="0"/>
    <xf numFmtId="169" fontId="19" fillId="0" borderId="0" applyNumberFormat="0" applyFill="0" applyBorder="0" applyAlignment="0" applyProtection="0"/>
    <xf numFmtId="169" fontId="20" fillId="0" borderId="11" applyNumberFormat="0" applyFill="0" applyAlignment="0" applyProtection="0"/>
    <xf numFmtId="169" fontId="21" fillId="0" borderId="0" applyNumberFormat="0" applyFill="0" applyBorder="0" applyAlignment="0" applyProtection="0"/>
    <xf numFmtId="169" fontId="1" fillId="0" borderId="0"/>
    <xf numFmtId="0" fontId="1" fillId="0" borderId="0"/>
    <xf numFmtId="173" fontId="4" fillId="0" borderId="0"/>
    <xf numFmtId="0" fontId="1" fillId="0" borderId="0"/>
    <xf numFmtId="0" fontId="1" fillId="0" borderId="0"/>
    <xf numFmtId="172" fontId="1" fillId="0" borderId="0"/>
    <xf numFmtId="0" fontId="4" fillId="0" borderId="0"/>
    <xf numFmtId="174" fontId="1" fillId="0" borderId="0"/>
    <xf numFmtId="174" fontId="1" fillId="0" borderId="0"/>
    <xf numFmtId="169" fontId="4" fillId="0" borderId="0"/>
    <xf numFmtId="174" fontId="1" fillId="0" borderId="0"/>
    <xf numFmtId="174" fontId="1" fillId="0" borderId="0"/>
    <xf numFmtId="0" fontId="4" fillId="0" borderId="0"/>
    <xf numFmtId="43" fontId="1" fillId="0" borderId="0" applyFont="0" applyFill="0" applyBorder="0" applyAlignment="0" applyProtection="0"/>
    <xf numFmtId="0" fontId="4" fillId="27" borderId="0" applyNumberFormat="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3"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3" fontId="1"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1" fillId="0" borderId="0" applyFont="0" applyFill="0" applyBorder="0" applyAlignment="0" applyProtection="0"/>
    <xf numFmtId="175" fontId="1" fillId="0" borderId="0"/>
    <xf numFmtId="175" fontId="1" fillId="0" borderId="0"/>
    <xf numFmtId="176" fontId="1" fillId="0" borderId="0"/>
    <xf numFmtId="0" fontId="3" fillId="0" borderId="0"/>
    <xf numFmtId="0" fontId="4" fillId="0" borderId="0"/>
    <xf numFmtId="0" fontId="4" fillId="0" borderId="0"/>
    <xf numFmtId="0" fontId="4" fillId="0" borderId="0"/>
    <xf numFmtId="0" fontId="4"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0" fillId="0" borderId="15" applyNumberFormat="0" applyFill="0" applyAlignment="0" applyProtection="0"/>
    <xf numFmtId="0" fontId="5" fillId="5"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28"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29" borderId="0" applyNumberFormat="0" applyBorder="0" applyAlignment="0" applyProtection="0"/>
    <xf numFmtId="0" fontId="5" fillId="29" borderId="0" applyNumberFormat="0" applyBorder="0" applyAlignment="0" applyProtection="0"/>
    <xf numFmtId="0" fontId="5" fillId="29"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8"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6" fillId="1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16"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22" borderId="0" applyNumberFormat="0" applyBorder="0" applyAlignment="0" applyProtection="0"/>
    <xf numFmtId="0" fontId="6" fillId="45" borderId="0" applyNumberFormat="0" applyBorder="0" applyAlignment="0" applyProtection="0"/>
    <xf numFmtId="0" fontId="6" fillId="45" borderId="0" applyNumberFormat="0" applyBorder="0" applyAlignment="0" applyProtection="0"/>
    <xf numFmtId="0" fontId="6" fillId="45" borderId="0" applyNumberFormat="0" applyBorder="0" applyAlignment="0" applyProtection="0"/>
    <xf numFmtId="0" fontId="6" fillId="22" borderId="0" applyNumberFormat="0" applyBorder="0" applyAlignment="0" applyProtection="0"/>
    <xf numFmtId="0" fontId="6" fillId="22" borderId="0" applyNumberFormat="0" applyBorder="0" applyAlignment="0" applyProtection="0"/>
    <xf numFmtId="0" fontId="7" fillId="6"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8" fillId="23" borderId="3" applyNumberFormat="0" applyAlignment="0" applyProtection="0"/>
    <xf numFmtId="0" fontId="8" fillId="46" borderId="3" applyNumberFormat="0" applyAlignment="0" applyProtection="0"/>
    <xf numFmtId="0" fontId="8" fillId="46" borderId="3" applyNumberFormat="0" applyAlignment="0" applyProtection="0"/>
    <xf numFmtId="0" fontId="8" fillId="46" borderId="3" applyNumberFormat="0" applyAlignment="0" applyProtection="0"/>
    <xf numFmtId="0" fontId="8" fillId="23" borderId="3" applyNumberFormat="0" applyAlignment="0" applyProtection="0"/>
    <xf numFmtId="0" fontId="8" fillId="23" borderId="3" applyNumberFormat="0" applyAlignment="0" applyProtection="0"/>
    <xf numFmtId="0" fontId="9" fillId="24" borderId="4" applyNumberFormat="0" applyAlignment="0" applyProtection="0"/>
    <xf numFmtId="0" fontId="9" fillId="47" borderId="4" applyNumberFormat="0" applyAlignment="0" applyProtection="0"/>
    <xf numFmtId="0" fontId="9" fillId="47" borderId="4" applyNumberFormat="0" applyAlignment="0" applyProtection="0"/>
    <xf numFmtId="0" fontId="9" fillId="47" borderId="4" applyNumberFormat="0" applyAlignment="0" applyProtection="0"/>
    <xf numFmtId="0" fontId="9" fillId="24" borderId="4" applyNumberFormat="0" applyAlignment="0" applyProtection="0"/>
    <xf numFmtId="0" fontId="9" fillId="24" borderId="4" applyNumberFormat="0" applyAlignment="0" applyProtection="0"/>
    <xf numFmtId="171" fontId="1" fillId="0" borderId="0" applyFill="0" applyBorder="0" applyAlignment="0" applyProtection="0"/>
    <xf numFmtId="41" fontId="1" fillId="0" borderId="0" applyFont="0" applyFill="0" applyBorder="0" applyAlignment="0" applyProtection="0"/>
    <xf numFmtId="41" fontId="4" fillId="0" borderId="0" applyFont="0" applyFill="0" applyBorder="0" applyAlignment="0" applyProtection="0"/>
    <xf numFmtId="0" fontId="20" fillId="0" borderId="15" applyNumberFormat="0" applyFill="0" applyAlignment="0" applyProtection="0"/>
    <xf numFmtId="172" fontId="1" fillId="0" borderId="0" applyFill="0" applyBorder="0" applyAlignment="0" applyProtection="0"/>
    <xf numFmtId="43" fontId="1" fillId="0" borderId="0" applyFont="0" applyFill="0" applyBorder="0" applyAlignment="0" applyProtection="0"/>
    <xf numFmtId="0" fontId="20" fillId="0" borderId="15" applyNumberFormat="0" applyFill="0" applyAlignment="0" applyProtection="0"/>
    <xf numFmtId="172" fontId="1" fillId="0" borderId="0" applyFill="0" applyBorder="0" applyAlignment="0" applyProtection="0"/>
    <xf numFmtId="172" fontId="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0" fontId="1"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7"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6" applyNumberFormat="0" applyFill="0" applyAlignment="0" applyProtection="0"/>
    <xf numFmtId="0" fontId="13" fillId="0" borderId="6" applyNumberFormat="0" applyFill="0" applyAlignment="0" applyProtection="0"/>
    <xf numFmtId="0" fontId="13" fillId="0" borderId="6" applyNumberFormat="0" applyFill="0" applyAlignment="0" applyProtection="0"/>
    <xf numFmtId="0" fontId="13" fillId="0" borderId="6"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14" fillId="0" borderId="7"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10" borderId="3" applyNumberFormat="0" applyAlignment="0" applyProtection="0"/>
    <xf numFmtId="0" fontId="15" fillId="33" borderId="3" applyNumberFormat="0" applyAlignment="0" applyProtection="0"/>
    <xf numFmtId="0" fontId="15" fillId="33" borderId="3" applyNumberFormat="0" applyAlignment="0" applyProtection="0"/>
    <xf numFmtId="0" fontId="15" fillId="33" borderId="3" applyNumberFormat="0" applyAlignment="0" applyProtection="0"/>
    <xf numFmtId="0" fontId="15" fillId="10" borderId="3" applyNumberFormat="0" applyAlignment="0" applyProtection="0"/>
    <xf numFmtId="0" fontId="15" fillId="10" borderId="3" applyNumberFormat="0" applyAlignment="0" applyProtection="0"/>
    <xf numFmtId="0" fontId="16" fillId="0" borderId="8" applyNumberFormat="0" applyFill="0" applyAlignment="0" applyProtection="0"/>
    <xf numFmtId="0" fontId="16" fillId="0" borderId="8" applyNumberFormat="0" applyFill="0" applyAlignment="0" applyProtection="0"/>
    <xf numFmtId="0" fontId="16" fillId="0" borderId="8" applyNumberFormat="0" applyFill="0" applyAlignment="0" applyProtection="0"/>
    <xf numFmtId="0" fontId="16" fillId="0" borderId="8" applyNumberFormat="0" applyFill="0" applyAlignment="0" applyProtection="0"/>
    <xf numFmtId="0" fontId="16" fillId="0" borderId="8" applyNumberFormat="0" applyFill="0" applyAlignment="0" applyProtection="0"/>
    <xf numFmtId="0" fontId="17" fillId="25"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48"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 fillId="0" borderId="0"/>
    <xf numFmtId="0" fontId="20" fillId="0" borderId="15" applyNumberFormat="0" applyFill="0" applyAlignment="0" applyProtection="0"/>
    <xf numFmtId="0" fontId="20" fillId="0" borderId="15" applyNumberFormat="0" applyFill="0" applyAlignment="0" applyProtection="0"/>
    <xf numFmtId="0" fontId="1" fillId="0" borderId="0"/>
    <xf numFmtId="0" fontId="1" fillId="0" borderId="0"/>
    <xf numFmtId="0" fontId="1" fillId="0" borderId="0"/>
    <xf numFmtId="5" fontId="1" fillId="0" borderId="0"/>
    <xf numFmtId="0" fontId="1" fillId="0" borderId="0"/>
    <xf numFmtId="0" fontId="4" fillId="0" borderId="0"/>
    <xf numFmtId="0" fontId="4" fillId="0" borderId="0"/>
    <xf numFmtId="0" fontId="4" fillId="0" borderId="0"/>
    <xf numFmtId="8" fontId="4" fillId="0" borderId="0"/>
    <xf numFmtId="8" fontId="4" fillId="0" borderId="0"/>
    <xf numFmtId="8" fontId="4" fillId="0" borderId="0"/>
    <xf numFmtId="8"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26" borderId="9" applyNumberFormat="0" applyAlignment="0" applyProtection="0"/>
    <xf numFmtId="0" fontId="1" fillId="49" borderId="9" applyNumberFormat="0" applyFont="0" applyAlignment="0" applyProtection="0"/>
    <xf numFmtId="0" fontId="1" fillId="49" borderId="9" applyNumberFormat="0" applyFont="0" applyAlignment="0" applyProtection="0"/>
    <xf numFmtId="0" fontId="1" fillId="49" borderId="9" applyNumberFormat="0" applyFont="0" applyAlignment="0" applyProtection="0"/>
    <xf numFmtId="0" fontId="1" fillId="26" borderId="9" applyNumberFormat="0" applyAlignment="0" applyProtection="0"/>
    <xf numFmtId="0" fontId="1" fillId="26" borderId="9" applyNumberFormat="0" applyAlignment="0" applyProtection="0"/>
    <xf numFmtId="0" fontId="18" fillId="23" borderId="10" applyNumberFormat="0" applyAlignment="0" applyProtection="0"/>
    <xf numFmtId="0" fontId="18" fillId="46" borderId="10" applyNumberFormat="0" applyAlignment="0" applyProtection="0"/>
    <xf numFmtId="0" fontId="18" fillId="46" borderId="10" applyNumberFormat="0" applyAlignment="0" applyProtection="0"/>
    <xf numFmtId="0" fontId="18" fillId="46" borderId="10" applyNumberFormat="0" applyAlignment="0" applyProtection="0"/>
    <xf numFmtId="0" fontId="18" fillId="23" borderId="10" applyNumberFormat="0" applyAlignment="0" applyProtection="0"/>
    <xf numFmtId="0" fontId="18" fillId="23" borderId="10" applyNumberFormat="0" applyAlignment="0" applyProtection="0"/>
    <xf numFmtId="9" fontId="1" fillId="0" borderId="0" applyFill="0" applyBorder="0" applyAlignment="0" applyProtection="0"/>
    <xf numFmtId="9" fontId="1" fillId="0" borderId="0" applyFont="0" applyFill="0" applyBorder="0" applyAlignment="0" applyProtection="0"/>
    <xf numFmtId="9" fontId="1" fillId="0" borderId="0" applyFill="0" applyBorder="0" applyAlignment="0" applyProtection="0"/>
    <xf numFmtId="9" fontId="1" fillId="0" borderId="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1" applyNumberFormat="0" applyFill="0" applyAlignment="0" applyProtection="0"/>
    <xf numFmtId="0" fontId="20" fillId="0" borderId="11"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8" fillId="23" borderId="14" applyNumberFormat="0" applyAlignment="0" applyProtection="0"/>
    <xf numFmtId="0" fontId="18" fillId="23" borderId="14" applyNumberFormat="0" applyAlignment="0" applyProtection="0"/>
    <xf numFmtId="0" fontId="18" fillId="46" borderId="14" applyNumberFormat="0" applyAlignment="0" applyProtection="0"/>
    <xf numFmtId="0" fontId="18" fillId="46" borderId="14" applyNumberFormat="0" applyAlignment="0" applyProtection="0"/>
    <xf numFmtId="0" fontId="18" fillId="46" borderId="14" applyNumberFormat="0" applyAlignment="0" applyProtection="0"/>
    <xf numFmtId="0" fontId="18" fillId="23" borderId="14" applyNumberFormat="0" applyAlignment="0" applyProtection="0"/>
    <xf numFmtId="0" fontId="1" fillId="26" borderId="13" applyNumberFormat="0" applyAlignment="0" applyProtection="0"/>
    <xf numFmtId="0" fontId="1" fillId="26" borderId="13" applyNumberFormat="0" applyAlignment="0" applyProtection="0"/>
    <xf numFmtId="0" fontId="1" fillId="49" borderId="13" applyNumberFormat="0" applyFont="0" applyAlignment="0" applyProtection="0"/>
    <xf numFmtId="0" fontId="1" fillId="49" borderId="13" applyNumberFormat="0" applyFont="0" applyAlignment="0" applyProtection="0"/>
    <xf numFmtId="0" fontId="1" fillId="49" borderId="13" applyNumberFormat="0" applyFont="0" applyAlignment="0" applyProtection="0"/>
    <xf numFmtId="0" fontId="1" fillId="26" borderId="13" applyNumberFormat="0" applyAlignment="0" applyProtection="0"/>
    <xf numFmtId="0" fontId="15" fillId="10" borderId="12" applyNumberFormat="0" applyAlignment="0" applyProtection="0"/>
    <xf numFmtId="0" fontId="15" fillId="10" borderId="12" applyNumberFormat="0" applyAlignment="0" applyProtection="0"/>
    <xf numFmtId="0" fontId="15" fillId="33" borderId="12" applyNumberFormat="0" applyAlignment="0" applyProtection="0"/>
    <xf numFmtId="0" fontId="15" fillId="33" borderId="12" applyNumberFormat="0" applyAlignment="0" applyProtection="0"/>
    <xf numFmtId="0" fontId="15" fillId="33" borderId="12" applyNumberFormat="0" applyAlignment="0" applyProtection="0"/>
    <xf numFmtId="0" fontId="15" fillId="10" borderId="12" applyNumberFormat="0" applyAlignment="0" applyProtection="0"/>
    <xf numFmtId="0" fontId="8" fillId="23" borderId="12" applyNumberFormat="0" applyAlignment="0" applyProtection="0"/>
    <xf numFmtId="0" fontId="8" fillId="23" borderId="12" applyNumberFormat="0" applyAlignment="0" applyProtection="0"/>
    <xf numFmtId="0" fontId="8" fillId="46" borderId="12" applyNumberFormat="0" applyAlignment="0" applyProtection="0"/>
    <xf numFmtId="0" fontId="8" fillId="46" borderId="12" applyNumberFormat="0" applyAlignment="0" applyProtection="0"/>
    <xf numFmtId="0" fontId="8" fillId="46" borderId="12" applyNumberFormat="0" applyAlignment="0" applyProtection="0"/>
    <xf numFmtId="0" fontId="8" fillId="23" borderId="12" applyNumberFormat="0" applyAlignment="0" applyProtection="0"/>
    <xf numFmtId="169" fontId="8" fillId="23" borderId="12" applyNumberFormat="0" applyAlignment="0" applyProtection="0"/>
    <xf numFmtId="169" fontId="15" fillId="10" borderId="12" applyNumberFormat="0" applyAlignment="0" applyProtection="0"/>
    <xf numFmtId="169" fontId="1" fillId="26" borderId="23" applyNumberFormat="0" applyAlignment="0" applyProtection="0"/>
    <xf numFmtId="169" fontId="15" fillId="10" borderId="22" applyNumberFormat="0" applyAlignment="0" applyProtection="0"/>
    <xf numFmtId="169" fontId="1" fillId="26" borderId="13" applyNumberFormat="0" applyAlignment="0" applyProtection="0"/>
    <xf numFmtId="169" fontId="18" fillId="23" borderId="14" applyNumberFormat="0" applyAlignment="0" applyProtection="0"/>
    <xf numFmtId="169" fontId="20" fillId="0" borderId="15" applyNumberFormat="0" applyFill="0" applyAlignment="0" applyProtection="0"/>
    <xf numFmtId="169" fontId="8" fillId="23" borderId="24" applyNumberFormat="0" applyAlignment="0" applyProtection="0"/>
    <xf numFmtId="169" fontId="8" fillId="23" borderId="22" applyNumberFormat="0" applyAlignment="0" applyProtection="0"/>
    <xf numFmtId="169" fontId="18" fillId="23" borderId="20" applyNumberFormat="0" applyAlignment="0" applyProtection="0"/>
    <xf numFmtId="169" fontId="20" fillId="0" borderId="21" applyNumberFormat="0" applyFill="0" applyAlignment="0" applyProtection="0"/>
    <xf numFmtId="169" fontId="18" fillId="23" borderId="25" applyNumberFormat="0" applyAlignment="0" applyProtection="0"/>
    <xf numFmtId="169" fontId="15" fillId="10" borderId="24" applyNumberFormat="0" applyAlignment="0" applyProtection="0"/>
    <xf numFmtId="169" fontId="20" fillId="0" borderId="26" applyNumberFormat="0" applyFill="0" applyAlignment="0" applyProtection="0"/>
    <xf numFmtId="0" fontId="5" fillId="50"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5" fillId="53" borderId="0" applyNumberFormat="0" applyBorder="0" applyAlignment="0" applyProtection="0"/>
    <xf numFmtId="0" fontId="5" fillId="54" borderId="0" applyNumberFormat="0" applyBorder="0" applyAlignment="0" applyProtection="0"/>
    <xf numFmtId="0" fontId="5" fillId="55" borderId="0" applyNumberFormat="0" applyBorder="0" applyAlignment="0" applyProtection="0"/>
    <xf numFmtId="0" fontId="5" fillId="56"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59" borderId="0" applyNumberFormat="0" applyBorder="0" applyAlignment="0" applyProtection="0"/>
    <xf numFmtId="0" fontId="5" fillId="60" borderId="0" applyNumberFormat="0" applyBorder="0" applyAlignment="0" applyProtection="0"/>
    <xf numFmtId="0" fontId="5"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6" borderId="0" applyNumberFormat="0" applyBorder="0" applyAlignment="0" applyProtection="0"/>
    <xf numFmtId="0" fontId="6" fillId="67" borderId="0" applyNumberFormat="0" applyBorder="0" applyAlignment="0" applyProtection="0"/>
    <xf numFmtId="0" fontId="6" fillId="68" borderId="0" applyNumberFormat="0" applyBorder="0" applyAlignment="0" applyProtection="0"/>
    <xf numFmtId="0" fontId="6" fillId="69" borderId="0" applyNumberFormat="0" applyBorder="0" applyAlignment="0" applyProtection="0"/>
    <xf numFmtId="0" fontId="6" fillId="70" borderId="0" applyNumberFormat="0" applyBorder="0" applyAlignment="0" applyProtection="0"/>
    <xf numFmtId="0" fontId="6" fillId="71" borderId="0" applyNumberFormat="0" applyBorder="0" applyAlignment="0" applyProtection="0"/>
    <xf numFmtId="0" fontId="6" fillId="72" borderId="0" applyNumberFormat="0" applyBorder="0" applyAlignment="0" applyProtection="0"/>
    <xf numFmtId="0" fontId="6" fillId="73" borderId="0" applyNumberFormat="0" applyBorder="0" applyAlignment="0" applyProtection="0"/>
    <xf numFmtId="0" fontId="23" fillId="74" borderId="0" applyNumberFormat="0" applyBorder="0" applyAlignment="0" applyProtection="0"/>
    <xf numFmtId="0" fontId="24" fillId="75" borderId="16" applyNumberFormat="0" applyAlignment="0" applyProtection="0"/>
    <xf numFmtId="0" fontId="9" fillId="76" borderId="18" applyNumberFormat="0" applyAlignment="0" applyProtection="0"/>
    <xf numFmtId="0" fontId="25" fillId="77" borderId="0" applyNumberFormat="0" applyBorder="0" applyAlignment="0" applyProtection="0"/>
    <xf numFmtId="0" fontId="26" fillId="78" borderId="16" applyNumberFormat="0" applyAlignment="0" applyProtection="0"/>
    <xf numFmtId="0" fontId="27" fillId="79" borderId="0" applyNumberFormat="0" applyBorder="0" applyAlignment="0" applyProtection="0"/>
    <xf numFmtId="0" fontId="1" fillId="80" borderId="19" applyNumberFormat="0" applyFont="0" applyAlignment="0" applyProtection="0"/>
    <xf numFmtId="0" fontId="28" fillId="75" borderId="17" applyNumberFormat="0" applyAlignment="0" applyProtection="0"/>
    <xf numFmtId="0" fontId="29" fillId="0" borderId="0" applyNumberFormat="0" applyFill="0" applyBorder="0" applyAlignment="0" applyProtection="0"/>
    <xf numFmtId="0" fontId="3" fillId="0" borderId="0"/>
    <xf numFmtId="0" fontId="3" fillId="0" borderId="0"/>
    <xf numFmtId="170" fontId="3" fillId="0" borderId="0"/>
    <xf numFmtId="170" fontId="3" fillId="0" borderId="0"/>
    <xf numFmtId="169" fontId="4" fillId="0" borderId="0"/>
    <xf numFmtId="169" fontId="4" fillId="0" borderId="0"/>
    <xf numFmtId="169" fontId="4" fillId="0" borderId="0"/>
    <xf numFmtId="169" fontId="4" fillId="0" borderId="0"/>
    <xf numFmtId="169" fontId="4" fillId="0" borderId="0"/>
    <xf numFmtId="170" fontId="3" fillId="0" borderId="0"/>
    <xf numFmtId="0" fontId="3" fillId="0" borderId="0"/>
    <xf numFmtId="0" fontId="3" fillId="0" borderId="0"/>
    <xf numFmtId="44" fontId="3" fillId="0" borderId="0" applyFont="0" applyFill="0" applyBorder="0" applyAlignment="0" applyProtection="0"/>
    <xf numFmtId="44" fontId="3" fillId="0" borderId="0" applyFont="0" applyFill="0" applyBorder="0" applyAlignment="0" applyProtection="0"/>
    <xf numFmtId="0" fontId="8" fillId="23" borderId="27" applyNumberFormat="0" applyAlignment="0" applyProtection="0"/>
    <xf numFmtId="0" fontId="8" fillId="46" borderId="27" applyNumberFormat="0" applyAlignment="0" applyProtection="0"/>
    <xf numFmtId="0" fontId="8" fillId="46" borderId="27" applyNumberFormat="0" applyAlignment="0" applyProtection="0"/>
    <xf numFmtId="0" fontId="8" fillId="46" borderId="27" applyNumberFormat="0" applyAlignment="0" applyProtection="0"/>
    <xf numFmtId="0" fontId="8" fillId="23" borderId="27" applyNumberFormat="0" applyAlignment="0" applyProtection="0"/>
    <xf numFmtId="0" fontId="8" fillId="23" borderId="27" applyNumberFormat="0" applyAlignment="0" applyProtection="0"/>
    <xf numFmtId="41" fontId="1" fillId="0" borderId="0" applyFont="0" applyFill="0" applyBorder="0" applyAlignment="0" applyProtection="0"/>
    <xf numFmtId="41"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 fillId="10" borderId="27" applyNumberFormat="0" applyAlignment="0" applyProtection="0"/>
    <xf numFmtId="0" fontId="15" fillId="33" borderId="27" applyNumberFormat="0" applyAlignment="0" applyProtection="0"/>
    <xf numFmtId="0" fontId="15" fillId="33" borderId="27" applyNumberFormat="0" applyAlignment="0" applyProtection="0"/>
    <xf numFmtId="0" fontId="15" fillId="33" borderId="27" applyNumberFormat="0" applyAlignment="0" applyProtection="0"/>
    <xf numFmtId="0" fontId="15" fillId="10" borderId="27" applyNumberFormat="0" applyAlignment="0" applyProtection="0"/>
    <xf numFmtId="0" fontId="15" fillId="10" borderId="27" applyNumberFormat="0" applyAlignment="0" applyProtection="0"/>
    <xf numFmtId="0" fontId="1" fillId="26" borderId="28" applyNumberFormat="0" applyAlignment="0" applyProtection="0"/>
    <xf numFmtId="0" fontId="1" fillId="49" borderId="28" applyNumberFormat="0" applyFont="0" applyAlignment="0" applyProtection="0"/>
    <xf numFmtId="0" fontId="1" fillId="49" borderId="28" applyNumberFormat="0" applyFont="0" applyAlignment="0" applyProtection="0"/>
    <xf numFmtId="0" fontId="1" fillId="49" borderId="28" applyNumberFormat="0" applyFont="0" applyAlignment="0" applyProtection="0"/>
    <xf numFmtId="0" fontId="1" fillId="26" borderId="28" applyNumberFormat="0" applyAlignment="0" applyProtection="0"/>
    <xf numFmtId="0" fontId="1" fillId="26" borderId="28" applyNumberFormat="0" applyAlignment="0" applyProtection="0"/>
    <xf numFmtId="0" fontId="18" fillId="23" borderId="29" applyNumberFormat="0" applyAlignment="0" applyProtection="0"/>
    <xf numFmtId="0" fontId="18" fillId="46" borderId="29" applyNumberFormat="0" applyAlignment="0" applyProtection="0"/>
    <xf numFmtId="0" fontId="18" fillId="46" borderId="29" applyNumberFormat="0" applyAlignment="0" applyProtection="0"/>
    <xf numFmtId="0" fontId="18" fillId="46" borderId="29" applyNumberFormat="0" applyAlignment="0" applyProtection="0"/>
    <xf numFmtId="0" fontId="18" fillId="23" borderId="29" applyNumberFormat="0" applyAlignment="0" applyProtection="0"/>
    <xf numFmtId="0" fontId="18" fillId="23" borderId="29" applyNumberFormat="0" applyAlignment="0" applyProtection="0"/>
    <xf numFmtId="0" fontId="20" fillId="0" borderId="30" applyNumberFormat="0" applyFill="0" applyAlignment="0" applyProtection="0"/>
    <xf numFmtId="0" fontId="20" fillId="0" borderId="30" applyNumberFormat="0" applyFill="0" applyAlignment="0" applyProtection="0"/>
    <xf numFmtId="0" fontId="20" fillId="0" borderId="30" applyNumberFormat="0" applyFill="0" applyAlignment="0" applyProtection="0"/>
    <xf numFmtId="0" fontId="20" fillId="0" borderId="30" applyNumberFormat="0" applyFill="0" applyAlignment="0" applyProtection="0"/>
    <xf numFmtId="0" fontId="20" fillId="0" borderId="30" applyNumberFormat="0" applyFill="0" applyAlignment="0" applyProtection="0"/>
    <xf numFmtId="169" fontId="8" fillId="23" borderId="27" applyNumberFormat="0" applyAlignment="0" applyProtection="0"/>
    <xf numFmtId="169" fontId="15" fillId="10" borderId="27" applyNumberFormat="0" applyAlignment="0" applyProtection="0"/>
    <xf numFmtId="169" fontId="1" fillId="26" borderId="28" applyNumberFormat="0" applyAlignment="0" applyProtection="0"/>
    <xf numFmtId="169" fontId="18" fillId="23" borderId="29" applyNumberFormat="0" applyAlignment="0" applyProtection="0"/>
    <xf numFmtId="169" fontId="20" fillId="0" borderId="30" applyNumberFormat="0" applyFill="0" applyAlignment="0" applyProtection="0"/>
    <xf numFmtId="9" fontId="4" fillId="0" borderId="0" applyFont="0" applyFill="0" applyBorder="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18" fillId="23" borderId="33" applyNumberFormat="0" applyAlignment="0" applyProtection="0"/>
    <xf numFmtId="0" fontId="18" fillId="23" borderId="33" applyNumberFormat="0" applyAlignment="0" applyProtection="0"/>
    <xf numFmtId="0" fontId="18" fillId="46" borderId="33" applyNumberFormat="0" applyAlignment="0" applyProtection="0"/>
    <xf numFmtId="0" fontId="18" fillId="46" borderId="33" applyNumberFormat="0" applyAlignment="0" applyProtection="0"/>
    <xf numFmtId="0" fontId="18" fillId="46" borderId="33" applyNumberFormat="0" applyAlignment="0" applyProtection="0"/>
    <xf numFmtId="0" fontId="18" fillId="23" borderId="33" applyNumberFormat="0" applyAlignment="0" applyProtection="0"/>
    <xf numFmtId="0" fontId="1" fillId="26" borderId="32" applyNumberFormat="0" applyAlignment="0" applyProtection="0"/>
    <xf numFmtId="0" fontId="1" fillId="26" borderId="32" applyNumberFormat="0" applyAlignment="0" applyProtection="0"/>
    <xf numFmtId="0" fontId="1" fillId="49" borderId="32" applyNumberFormat="0" applyFont="0" applyAlignment="0" applyProtection="0"/>
    <xf numFmtId="0" fontId="1" fillId="49" borderId="32" applyNumberFormat="0" applyFont="0" applyAlignment="0" applyProtection="0"/>
    <xf numFmtId="0" fontId="1" fillId="49" borderId="32" applyNumberFormat="0" applyFont="0" applyAlignment="0" applyProtection="0"/>
    <xf numFmtId="0" fontId="1" fillId="26" borderId="32" applyNumberFormat="0" applyAlignment="0" applyProtection="0"/>
    <xf numFmtId="0" fontId="15" fillId="10" borderId="31" applyNumberFormat="0" applyAlignment="0" applyProtection="0"/>
    <xf numFmtId="0" fontId="15" fillId="10" borderId="31" applyNumberFormat="0" applyAlignment="0" applyProtection="0"/>
    <xf numFmtId="0" fontId="15" fillId="33" borderId="31" applyNumberFormat="0" applyAlignment="0" applyProtection="0"/>
    <xf numFmtId="0" fontId="15" fillId="33" borderId="31" applyNumberFormat="0" applyAlignment="0" applyProtection="0"/>
    <xf numFmtId="0" fontId="15" fillId="33" borderId="31" applyNumberFormat="0" applyAlignment="0" applyProtection="0"/>
    <xf numFmtId="0" fontId="15" fillId="10" borderId="31" applyNumberFormat="0" applyAlignment="0" applyProtection="0"/>
    <xf numFmtId="0" fontId="8" fillId="23" borderId="31" applyNumberFormat="0" applyAlignment="0" applyProtection="0"/>
    <xf numFmtId="0" fontId="8" fillId="23" borderId="31" applyNumberFormat="0" applyAlignment="0" applyProtection="0"/>
    <xf numFmtId="0" fontId="8" fillId="46" borderId="31" applyNumberFormat="0" applyAlignment="0" applyProtection="0"/>
    <xf numFmtId="0" fontId="8" fillId="46" borderId="31" applyNumberFormat="0" applyAlignment="0" applyProtection="0"/>
    <xf numFmtId="0" fontId="8" fillId="46" borderId="31" applyNumberFormat="0" applyAlignment="0" applyProtection="0"/>
    <xf numFmtId="0" fontId="8" fillId="23" borderId="31" applyNumberFormat="0" applyAlignment="0" applyProtection="0"/>
    <xf numFmtId="0" fontId="30" fillId="0" borderId="0"/>
    <xf numFmtId="0" fontId="32" fillId="0" borderId="0" applyNumberFormat="0" applyFill="0" applyBorder="0" applyAlignment="0" applyProtection="0"/>
    <xf numFmtId="0" fontId="31" fillId="81" borderId="0" applyNumberFormat="0" applyBorder="0" applyAlignment="0" applyProtection="0"/>
    <xf numFmtId="0" fontId="1" fillId="0" borderId="0"/>
    <xf numFmtId="170" fontId="49" fillId="0" borderId="0"/>
    <xf numFmtId="41" fontId="4" fillId="0" borderId="0" applyFont="0" applyFill="0" applyBorder="0" applyAlignment="0" applyProtection="0"/>
    <xf numFmtId="170" fontId="1" fillId="0" borderId="0"/>
    <xf numFmtId="0" fontId="1" fillId="0" borderId="0"/>
    <xf numFmtId="43" fontId="1" fillId="0" borderId="0" applyFont="0" applyFill="0" applyBorder="0" applyAlignment="0" applyProtection="0"/>
    <xf numFmtId="165" fontId="30" fillId="0" borderId="0" applyFont="0" applyFill="0" applyBorder="0" applyAlignment="0" applyProtection="0"/>
    <xf numFmtId="0" fontId="4" fillId="0" borderId="0"/>
    <xf numFmtId="166" fontId="4" fillId="0" borderId="0" applyFont="0" applyFill="0" applyBorder="0" applyAlignment="0" applyProtection="0"/>
  </cellStyleXfs>
  <cellXfs count="1609">
    <xf numFmtId="0" fontId="0" fillId="0" borderId="0" xfId="0"/>
    <xf numFmtId="0" fontId="34" fillId="2" borderId="1" xfId="1" applyFont="1" applyFill="1" applyBorder="1" applyAlignment="1">
      <alignment horizontal="center" vertical="center" wrapText="1"/>
    </xf>
    <xf numFmtId="0" fontId="37" fillId="3" borderId="1" xfId="0" applyFont="1" applyFill="1" applyBorder="1" applyAlignment="1">
      <alignment horizontal="center"/>
    </xf>
    <xf numFmtId="0" fontId="40" fillId="82" borderId="1" xfId="0" applyFont="1" applyFill="1" applyBorder="1" applyAlignment="1">
      <alignment horizontal="left" vertical="center" wrapText="1"/>
    </xf>
    <xf numFmtId="0" fontId="41" fillId="82" borderId="1" xfId="0" applyFont="1" applyFill="1" applyBorder="1" applyAlignment="1">
      <alignment horizontal="center" vertical="center" wrapText="1"/>
    </xf>
    <xf numFmtId="170" fontId="42" fillId="2" borderId="1" xfId="6" applyFont="1" applyFill="1" applyBorder="1" applyAlignment="1">
      <alignment horizontal="center" vertical="center"/>
    </xf>
    <xf numFmtId="0" fontId="40" fillId="82" borderId="1" xfId="0" quotePrefix="1" applyFont="1" applyFill="1" applyBorder="1" applyAlignment="1">
      <alignment horizontal="left" vertical="center" wrapText="1"/>
    </xf>
    <xf numFmtId="15" fontId="41" fillId="82" borderId="1" xfId="0" applyNumberFormat="1" applyFont="1" applyFill="1" applyBorder="1" applyAlignment="1">
      <alignment horizontal="center" vertical="center" wrapText="1"/>
    </xf>
    <xf numFmtId="0" fontId="40" fillId="82" borderId="35" xfId="0" quotePrefix="1" applyFont="1" applyFill="1" applyBorder="1" applyAlignment="1">
      <alignment horizontal="left" vertical="center" wrapText="1"/>
    </xf>
    <xf numFmtId="0" fontId="41" fillId="82" borderId="35" xfId="0" applyFont="1" applyFill="1" applyBorder="1" applyAlignment="1">
      <alignment horizontal="center" vertical="center" wrapText="1"/>
    </xf>
    <xf numFmtId="15" fontId="41" fillId="82" borderId="35" xfId="0" applyNumberFormat="1" applyFont="1" applyFill="1" applyBorder="1" applyAlignment="1">
      <alignment horizontal="center" vertical="center" wrapText="1"/>
    </xf>
    <xf numFmtId="0" fontId="40" fillId="83" borderId="1" xfId="0" quotePrefix="1" applyFont="1" applyFill="1" applyBorder="1" applyAlignment="1">
      <alignment horizontal="left" vertical="center" wrapText="1"/>
    </xf>
    <xf numFmtId="0" fontId="41" fillId="83" borderId="1" xfId="0" applyFont="1" applyFill="1" applyBorder="1" applyAlignment="1">
      <alignment horizontal="center" vertical="center" wrapText="1"/>
    </xf>
    <xf numFmtId="15" fontId="41" fillId="83" borderId="1" xfId="0" applyNumberFormat="1" applyFont="1" applyFill="1" applyBorder="1" applyAlignment="1">
      <alignment horizontal="center" vertical="center" wrapText="1"/>
    </xf>
    <xf numFmtId="0" fontId="40" fillId="83" borderId="1" xfId="0" applyFont="1" applyFill="1" applyBorder="1" applyAlignment="1">
      <alignment horizontal="left" vertical="center" wrapText="1"/>
    </xf>
    <xf numFmtId="0" fontId="43" fillId="83" borderId="1" xfId="0" applyFont="1" applyFill="1" applyBorder="1" applyAlignment="1">
      <alignment vertical="center" wrapText="1"/>
    </xf>
    <xf numFmtId="0" fontId="43" fillId="83" borderId="1" xfId="0" applyFont="1" applyFill="1" applyBorder="1" applyAlignment="1">
      <alignment horizontal="center" vertical="center" wrapText="1"/>
    </xf>
    <xf numFmtId="0" fontId="43" fillId="83" borderId="1" xfId="0" applyFont="1" applyFill="1" applyBorder="1" applyAlignment="1">
      <alignment horizontal="center" vertical="center"/>
    </xf>
    <xf numFmtId="0" fontId="38" fillId="4" borderId="1" xfId="0" applyFont="1" applyFill="1" applyBorder="1" applyAlignment="1">
      <alignment horizontal="center" vertical="center" wrapText="1"/>
    </xf>
    <xf numFmtId="0" fontId="38" fillId="4" borderId="1" xfId="0" applyFont="1" applyFill="1" applyBorder="1" applyAlignment="1">
      <alignment horizontal="center" vertical="center"/>
    </xf>
    <xf numFmtId="1" fontId="44" fillId="0" borderId="38" xfId="0" applyNumberFormat="1" applyFont="1" applyBorder="1" applyAlignment="1">
      <alignment horizontal="center" vertical="center"/>
    </xf>
    <xf numFmtId="0" fontId="38" fillId="0" borderId="1" xfId="0" applyFont="1" applyBorder="1" applyAlignment="1">
      <alignment horizontal="center" vertical="center"/>
    </xf>
    <xf numFmtId="0" fontId="0" fillId="0" borderId="1" xfId="0" applyBorder="1" applyAlignment="1">
      <alignment horizontal="center" vertical="center"/>
    </xf>
    <xf numFmtId="49" fontId="39" fillId="2" borderId="1" xfId="685" applyNumberFormat="1" applyFont="1" applyFill="1" applyBorder="1" applyAlignment="1">
      <alignment vertical="center" wrapText="1"/>
    </xf>
    <xf numFmtId="0" fontId="34" fillId="2" borderId="1" xfId="685" applyFont="1" applyFill="1" applyBorder="1" applyAlignment="1">
      <alignment vertical="center"/>
    </xf>
    <xf numFmtId="0" fontId="0" fillId="0" borderId="0" xfId="0" applyAlignment="1">
      <alignment horizontal="center"/>
    </xf>
    <xf numFmtId="0" fontId="0" fillId="0" borderId="40" xfId="0" applyBorder="1"/>
    <xf numFmtId="0" fontId="38" fillId="4" borderId="36" xfId="0" applyFont="1" applyFill="1" applyBorder="1" applyAlignment="1">
      <alignment vertical="center" wrapText="1"/>
    </xf>
    <xf numFmtId="0" fontId="38" fillId="4" borderId="35" xfId="0" applyFont="1" applyFill="1" applyBorder="1" applyAlignment="1">
      <alignment vertical="center" wrapText="1"/>
    </xf>
    <xf numFmtId="0" fontId="30" fillId="0" borderId="37" xfId="0" applyFont="1" applyBorder="1"/>
    <xf numFmtId="0" fontId="30" fillId="0" borderId="0" xfId="0" applyFont="1"/>
    <xf numFmtId="0" fontId="0" fillId="0" borderId="44" xfId="0" applyBorder="1"/>
    <xf numFmtId="0" fontId="34" fillId="2" borderId="45" xfId="1" applyFont="1" applyFill="1" applyBorder="1" applyAlignment="1">
      <alignment horizontal="center" vertical="center" wrapText="1"/>
    </xf>
    <xf numFmtId="0" fontId="0" fillId="0" borderId="37" xfId="0" applyBorder="1"/>
    <xf numFmtId="0" fontId="0" fillId="0" borderId="46" xfId="0" applyBorder="1"/>
    <xf numFmtId="0" fontId="0" fillId="0" borderId="47" xfId="0" applyBorder="1"/>
    <xf numFmtId="0" fontId="0" fillId="0" borderId="48" xfId="0" applyBorder="1"/>
    <xf numFmtId="0" fontId="0" fillId="0" borderId="42" xfId="0" applyBorder="1"/>
    <xf numFmtId="0" fontId="0" fillId="0" borderId="2" xfId="0" applyBorder="1"/>
    <xf numFmtId="0" fontId="0" fillId="0" borderId="43" xfId="0" applyBorder="1"/>
    <xf numFmtId="0" fontId="43" fillId="83" borderId="36" xfId="0" applyFont="1" applyFill="1" applyBorder="1" applyAlignment="1">
      <alignment horizontal="center" vertical="center" wrapText="1"/>
    </xf>
    <xf numFmtId="15" fontId="43" fillId="83"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38" fillId="86" borderId="50" xfId="0" applyFont="1" applyFill="1" applyBorder="1" applyAlignment="1">
      <alignment horizontal="left"/>
    </xf>
    <xf numFmtId="0" fontId="38" fillId="86" borderId="49" xfId="0" applyFont="1" applyFill="1" applyBorder="1"/>
    <xf numFmtId="0" fontId="38" fillId="86" borderId="50" xfId="0" applyFont="1" applyFill="1" applyBorder="1"/>
    <xf numFmtId="0" fontId="30" fillId="0" borderId="1" xfId="0" applyFont="1" applyBorder="1" applyAlignment="1">
      <alignment horizontal="center"/>
    </xf>
    <xf numFmtId="0" fontId="0" fillId="0" borderId="1" xfId="0" applyBorder="1" applyAlignment="1">
      <alignment horizontal="left"/>
    </xf>
    <xf numFmtId="0" fontId="0" fillId="0" borderId="1" xfId="0" applyBorder="1" applyAlignment="1">
      <alignment horizontal="center"/>
    </xf>
    <xf numFmtId="0" fontId="47" fillId="0" borderId="0" xfId="0" applyFont="1"/>
    <xf numFmtId="0" fontId="46" fillId="4" borderId="1" xfId="0" applyFont="1" applyFill="1" applyBorder="1" applyAlignment="1">
      <alignment horizontal="center"/>
    </xf>
    <xf numFmtId="0" fontId="48" fillId="90" borderId="1" xfId="0" applyFont="1" applyFill="1" applyBorder="1" applyAlignment="1">
      <alignment horizontal="center" vertical="center"/>
    </xf>
    <xf numFmtId="0" fontId="46" fillId="92" borderId="1" xfId="0" applyFont="1" applyFill="1" applyBorder="1" applyAlignment="1">
      <alignment horizontal="center" vertical="center"/>
    </xf>
    <xf numFmtId="0" fontId="48" fillId="93" borderId="1" xfId="0" applyFont="1" applyFill="1" applyBorder="1" applyAlignment="1">
      <alignment horizontal="center" vertical="center"/>
    </xf>
    <xf numFmtId="0" fontId="48" fillId="91" borderId="1" xfId="0" applyFont="1" applyFill="1" applyBorder="1" applyAlignment="1">
      <alignment horizontal="center" vertical="center"/>
    </xf>
    <xf numFmtId="0" fontId="48" fillId="94" borderId="1" xfId="0" applyFont="1" applyFill="1" applyBorder="1" applyAlignment="1">
      <alignment horizontal="center"/>
    </xf>
    <xf numFmtId="0" fontId="48" fillId="3" borderId="1" xfId="0" applyFont="1" applyFill="1" applyBorder="1" applyAlignment="1">
      <alignment horizontal="center"/>
    </xf>
    <xf numFmtId="0" fontId="46" fillId="88" borderId="1" xfId="0" applyFont="1" applyFill="1" applyBorder="1" applyAlignment="1">
      <alignment horizontal="center"/>
    </xf>
    <xf numFmtId="0" fontId="48" fillId="84" borderId="1" xfId="0" applyFont="1" applyFill="1" applyBorder="1" applyAlignment="1">
      <alignment horizontal="center"/>
    </xf>
    <xf numFmtId="0" fontId="0" fillId="83" borderId="1" xfId="0" applyFill="1" applyBorder="1" applyAlignment="1">
      <alignment horizontal="center"/>
    </xf>
    <xf numFmtId="170" fontId="50" fillId="0" borderId="0" xfId="686" applyFont="1" applyAlignment="1">
      <alignment vertical="center"/>
    </xf>
    <xf numFmtId="0" fontId="51" fillId="0" borderId="2" xfId="686" applyNumberFormat="1" applyFont="1" applyBorder="1" applyAlignment="1">
      <alignment vertical="center"/>
    </xf>
    <xf numFmtId="0" fontId="50" fillId="0" borderId="2" xfId="686" applyNumberFormat="1" applyFont="1" applyBorder="1" applyAlignment="1">
      <alignment horizontal="left" vertical="center"/>
    </xf>
    <xf numFmtId="0" fontId="50" fillId="0" borderId="2" xfId="686" applyNumberFormat="1" applyFont="1" applyBorder="1" applyAlignment="1">
      <alignment vertical="center"/>
    </xf>
    <xf numFmtId="0" fontId="50" fillId="2" borderId="2" xfId="686" applyNumberFormat="1" applyFont="1" applyFill="1" applyBorder="1" applyAlignment="1">
      <alignment vertical="center"/>
    </xf>
    <xf numFmtId="0" fontId="50" fillId="0" borderId="2" xfId="686" applyNumberFormat="1" applyFont="1" applyBorder="1" applyAlignment="1">
      <alignment horizontal="center" vertical="center"/>
    </xf>
    <xf numFmtId="42" fontId="50" fillId="0" borderId="2" xfId="686" applyNumberFormat="1" applyFont="1" applyBorder="1" applyAlignment="1">
      <alignment vertical="center"/>
    </xf>
    <xf numFmtId="0" fontId="51" fillId="0" borderId="0" xfId="686" applyNumberFormat="1" applyFont="1" applyAlignment="1">
      <alignment vertical="center"/>
    </xf>
    <xf numFmtId="0" fontId="50" fillId="0" borderId="0" xfId="686" applyNumberFormat="1" applyFont="1" applyAlignment="1">
      <alignment horizontal="left" vertical="center"/>
    </xf>
    <xf numFmtId="0" fontId="50" fillId="0" borderId="0" xfId="686" applyNumberFormat="1" applyFont="1" applyAlignment="1">
      <alignment vertical="center"/>
    </xf>
    <xf numFmtId="0" fontId="50" fillId="2" borderId="0" xfId="686" applyNumberFormat="1" applyFont="1" applyFill="1" applyAlignment="1">
      <alignment vertical="center"/>
    </xf>
    <xf numFmtId="0" fontId="50" fillId="0" borderId="0" xfId="686" applyNumberFormat="1" applyFont="1" applyAlignment="1">
      <alignment horizontal="center" vertical="center"/>
    </xf>
    <xf numFmtId="42" fontId="50" fillId="0" borderId="0" xfId="686" applyNumberFormat="1" applyFont="1" applyAlignment="1">
      <alignment vertical="center"/>
    </xf>
    <xf numFmtId="42" fontId="50" fillId="0" borderId="44" xfId="686" applyNumberFormat="1" applyFont="1" applyBorder="1" applyAlignment="1">
      <alignment vertical="center"/>
    </xf>
    <xf numFmtId="0" fontId="53" fillId="0" borderId="0" xfId="686" applyNumberFormat="1" applyFont="1" applyAlignment="1">
      <alignment horizontal="left"/>
    </xf>
    <xf numFmtId="0" fontId="53" fillId="0" borderId="0" xfId="686" applyNumberFormat="1" applyFont="1" applyAlignment="1">
      <alignment horizontal="left" vertical="center"/>
    </xf>
    <xf numFmtId="0" fontId="53" fillId="0" borderId="0" xfId="686" applyNumberFormat="1" applyFont="1"/>
    <xf numFmtId="0" fontId="53" fillId="2" borderId="0" xfId="686" applyNumberFormat="1" applyFont="1" applyFill="1"/>
    <xf numFmtId="0" fontId="53" fillId="0" borderId="0" xfId="686" applyNumberFormat="1" applyFont="1" applyAlignment="1">
      <alignment horizontal="center"/>
    </xf>
    <xf numFmtId="42" fontId="53" fillId="0" borderId="0" xfId="686" applyNumberFormat="1" applyFont="1"/>
    <xf numFmtId="42" fontId="53" fillId="0" borderId="44" xfId="686" applyNumberFormat="1" applyFont="1" applyBorder="1"/>
    <xf numFmtId="170" fontId="54" fillId="0" borderId="0" xfId="686" applyFont="1" applyAlignment="1">
      <alignment vertical="center" wrapText="1"/>
    </xf>
    <xf numFmtId="170" fontId="53" fillId="0" borderId="0" xfId="686" applyFont="1" applyAlignment="1">
      <alignment horizontal="center" vertical="center" wrapText="1"/>
    </xf>
    <xf numFmtId="0" fontId="52" fillId="96" borderId="36" xfId="686" applyNumberFormat="1" applyFont="1" applyFill="1" applyBorder="1" applyAlignment="1">
      <alignment horizontal="left" vertical="center" wrapText="1"/>
    </xf>
    <xf numFmtId="0" fontId="52" fillId="97" borderId="36" xfId="686" applyNumberFormat="1" applyFont="1" applyFill="1" applyBorder="1" applyAlignment="1">
      <alignment horizontal="center" vertical="center" wrapText="1"/>
    </xf>
    <xf numFmtId="170" fontId="55" fillId="0" borderId="0" xfId="686" applyFont="1" applyAlignment="1">
      <alignment vertical="top" wrapText="1"/>
    </xf>
    <xf numFmtId="170" fontId="55" fillId="99" borderId="0" xfId="686" applyFont="1" applyFill="1" applyAlignment="1">
      <alignment vertical="center" wrapText="1"/>
    </xf>
    <xf numFmtId="0" fontId="59" fillId="0" borderId="0" xfId="686" quotePrefix="1" applyNumberFormat="1" applyFont="1" applyAlignment="1">
      <alignment horizontal="center" vertical="top" wrapText="1"/>
    </xf>
    <xf numFmtId="0" fontId="34" fillId="2" borderId="0" xfId="686" applyNumberFormat="1" applyFont="1" applyFill="1" applyAlignment="1">
      <alignment horizontal="left" vertical="top" wrapText="1"/>
    </xf>
    <xf numFmtId="0" fontId="34" fillId="2" borderId="0" xfId="686" applyNumberFormat="1" applyFont="1" applyFill="1" applyAlignment="1" applyProtection="1">
      <alignment horizontal="left" vertical="top" wrapText="1"/>
      <protection locked="0" hidden="1"/>
    </xf>
    <xf numFmtId="0" fontId="34" fillId="2" borderId="0" xfId="686" applyNumberFormat="1" applyFont="1" applyFill="1" applyAlignment="1" applyProtection="1">
      <alignment horizontal="left" vertical="top" wrapText="1"/>
      <protection hidden="1"/>
    </xf>
    <xf numFmtId="0" fontId="60" fillId="2" borderId="0" xfId="686" applyNumberFormat="1" applyFont="1" applyFill="1" applyAlignment="1">
      <alignment horizontal="left" vertical="center" wrapText="1"/>
    </xf>
    <xf numFmtId="0" fontId="34" fillId="2" borderId="0" xfId="686" quotePrefix="1" applyNumberFormat="1" applyFont="1" applyFill="1" applyAlignment="1">
      <alignment vertical="top" wrapText="1"/>
    </xf>
    <xf numFmtId="0" fontId="34" fillId="2" borderId="0" xfId="686" quotePrefix="1" applyNumberFormat="1" applyFont="1" applyFill="1" applyAlignment="1">
      <alignment vertical="center" wrapText="1"/>
    </xf>
    <xf numFmtId="0" fontId="34" fillId="2" borderId="0" xfId="686" quotePrefix="1" applyNumberFormat="1" applyFont="1" applyFill="1" applyAlignment="1">
      <alignment horizontal="center" vertical="center" wrapText="1"/>
    </xf>
    <xf numFmtId="0" fontId="55" fillId="0" borderId="0" xfId="686" quotePrefix="1" applyNumberFormat="1" applyFont="1" applyAlignment="1">
      <alignment horizontal="center" vertical="center" wrapText="1"/>
    </xf>
    <xf numFmtId="0" fontId="59" fillId="0" borderId="0" xfId="686" applyNumberFormat="1" applyFont="1" applyAlignment="1">
      <alignment horizontal="center" vertical="center" wrapText="1"/>
    </xf>
    <xf numFmtId="42" fontId="59" fillId="0" borderId="0" xfId="686" applyNumberFormat="1" applyFont="1" applyAlignment="1">
      <alignment horizontal="center" vertical="center" wrapText="1"/>
    </xf>
    <xf numFmtId="170" fontId="62" fillId="4" borderId="0" xfId="686" applyFont="1" applyFill="1" applyAlignment="1">
      <alignment horizontal="center" vertical="center" wrapText="1"/>
    </xf>
    <xf numFmtId="170" fontId="55" fillId="3" borderId="0" xfId="686" applyFont="1" applyFill="1" applyAlignment="1">
      <alignment horizontal="center" vertical="center" wrapText="1"/>
    </xf>
    <xf numFmtId="170" fontId="56" fillId="0" borderId="0" xfId="686" applyFont="1" applyAlignment="1">
      <alignment vertical="center"/>
    </xf>
    <xf numFmtId="170" fontId="52" fillId="0" borderId="0" xfId="686" applyFont="1" applyAlignment="1">
      <alignment vertical="center" wrapText="1"/>
    </xf>
    <xf numFmtId="170" fontId="52" fillId="0" borderId="0" xfId="686" applyFont="1" applyAlignment="1">
      <alignment horizontal="center" vertical="center" wrapText="1"/>
    </xf>
    <xf numFmtId="170" fontId="56" fillId="0" borderId="42" xfId="686" applyFont="1" applyBorder="1" applyAlignment="1">
      <alignment vertical="top" wrapText="1"/>
    </xf>
    <xf numFmtId="170" fontId="56" fillId="0" borderId="37" xfId="686" applyFont="1" applyBorder="1" applyAlignment="1">
      <alignment vertical="top" wrapText="1"/>
    </xf>
    <xf numFmtId="0" fontId="52" fillId="0" borderId="0" xfId="686" quotePrefix="1" applyNumberFormat="1" applyFont="1" applyAlignment="1">
      <alignment vertical="top" wrapText="1"/>
    </xf>
    <xf numFmtId="170" fontId="56" fillId="0" borderId="0" xfId="686" applyFont="1" applyAlignment="1">
      <alignment vertical="top" wrapText="1"/>
    </xf>
    <xf numFmtId="170" fontId="52" fillId="0" borderId="53" xfId="686" applyFont="1" applyBorder="1" applyAlignment="1">
      <alignment vertical="center"/>
    </xf>
    <xf numFmtId="170" fontId="52" fillId="0" borderId="54" xfId="686" applyFont="1" applyBorder="1" applyAlignment="1">
      <alignment vertical="center"/>
    </xf>
    <xf numFmtId="170" fontId="52" fillId="96" borderId="1" xfId="686" applyFont="1" applyFill="1" applyBorder="1" applyAlignment="1">
      <alignment vertical="center"/>
    </xf>
    <xf numFmtId="170" fontId="52" fillId="96" borderId="1" xfId="686" applyFont="1" applyFill="1" applyBorder="1" applyAlignment="1">
      <alignment vertical="center" wrapText="1"/>
    </xf>
    <xf numFmtId="42" fontId="52" fillId="96" borderId="36" xfId="686" applyNumberFormat="1" applyFont="1" applyFill="1" applyBorder="1" applyAlignment="1">
      <alignment horizontal="center" vertical="center" wrapText="1"/>
    </xf>
    <xf numFmtId="0" fontId="52" fillId="0" borderId="42" xfId="686" quotePrefix="1" applyNumberFormat="1" applyFont="1" applyBorder="1" applyAlignment="1">
      <alignment vertical="top" wrapText="1"/>
    </xf>
    <xf numFmtId="170" fontId="56" fillId="0" borderId="46" xfId="686" applyFont="1" applyBorder="1" applyAlignment="1">
      <alignment vertical="top" wrapText="1"/>
    </xf>
    <xf numFmtId="0" fontId="33" fillId="4" borderId="36" xfId="1" applyFont="1" applyFill="1" applyBorder="1" applyAlignment="1">
      <alignment horizontal="center" vertical="center" wrapText="1"/>
    </xf>
    <xf numFmtId="0" fontId="33" fillId="4" borderId="35" xfId="1" applyFont="1" applyFill="1" applyBorder="1" applyAlignment="1">
      <alignment horizontal="center" vertical="center" wrapText="1"/>
    </xf>
    <xf numFmtId="0" fontId="52" fillId="96" borderId="52" xfId="686" applyNumberFormat="1" applyFont="1" applyFill="1" applyBorder="1" applyAlignment="1">
      <alignment horizontal="center" vertical="center" wrapText="1"/>
    </xf>
    <xf numFmtId="0" fontId="52" fillId="96" borderId="1" xfId="686" applyNumberFormat="1" applyFont="1" applyFill="1" applyBorder="1" applyAlignment="1">
      <alignment horizontal="center" vertical="center" wrapText="1"/>
    </xf>
    <xf numFmtId="170" fontId="52" fillId="96" borderId="1" xfId="686" applyFont="1" applyFill="1" applyBorder="1" applyAlignment="1">
      <alignment horizontal="center" vertical="center" wrapText="1"/>
    </xf>
    <xf numFmtId="0" fontId="57" fillId="0" borderId="64" xfId="686" applyNumberFormat="1" applyFont="1" applyBorder="1" applyAlignment="1">
      <alignment horizontal="left" vertical="top" wrapText="1"/>
    </xf>
    <xf numFmtId="0" fontId="35" fillId="94" borderId="1" xfId="1" applyFont="1" applyFill="1" applyBorder="1" applyAlignment="1">
      <alignment horizontal="center" vertical="center" wrapText="1"/>
    </xf>
    <xf numFmtId="0" fontId="37" fillId="94" borderId="38" xfId="1" applyFont="1" applyFill="1" applyBorder="1" applyAlignment="1">
      <alignment horizontal="center" vertical="center" wrapText="1"/>
    </xf>
    <xf numFmtId="0" fontId="35" fillId="85" borderId="36" xfId="1" applyFont="1" applyFill="1" applyBorder="1" applyAlignment="1">
      <alignment horizontal="center" vertical="center" wrapText="1"/>
    </xf>
    <xf numFmtId="0" fontId="35" fillId="85" borderId="35" xfId="1" applyFont="1" applyFill="1" applyBorder="1" applyAlignment="1">
      <alignment horizontal="center" vertical="center" wrapText="1"/>
    </xf>
    <xf numFmtId="0" fontId="0" fillId="0" borderId="1" xfId="0" applyBorder="1"/>
    <xf numFmtId="0" fontId="65" fillId="94" borderId="1" xfId="0" applyFont="1" applyFill="1" applyBorder="1" applyAlignment="1">
      <alignment horizontal="center" vertical="center"/>
    </xf>
    <xf numFmtId="0" fontId="39" fillId="0" borderId="1" xfId="0" applyFont="1" applyBorder="1" applyAlignment="1">
      <alignment horizontal="center"/>
    </xf>
    <xf numFmtId="0" fontId="39" fillId="0" borderId="1" xfId="0" applyFont="1" applyBorder="1" applyAlignment="1">
      <alignment horizontal="center" vertical="center"/>
    </xf>
    <xf numFmtId="0" fontId="34" fillId="0" borderId="0" xfId="652" applyNumberFormat="1" applyFont="1" applyFill="1" applyBorder="1" applyAlignment="1">
      <alignment horizontal="center"/>
    </xf>
    <xf numFmtId="0" fontId="34" fillId="0" borderId="1" xfId="652" applyNumberFormat="1" applyFont="1" applyFill="1" applyBorder="1" applyAlignment="1">
      <alignment horizontal="center"/>
    </xf>
    <xf numFmtId="1" fontId="39" fillId="0" borderId="1" xfId="0" applyNumberFormat="1" applyFont="1" applyBorder="1" applyAlignment="1">
      <alignment horizontal="center" vertical="center"/>
    </xf>
    <xf numFmtId="177" fontId="34" fillId="0" borderId="1" xfId="188" applyNumberFormat="1" applyFont="1" applyBorder="1" applyAlignment="1">
      <alignment horizontal="center" vertical="center"/>
    </xf>
    <xf numFmtId="0" fontId="34" fillId="0" borderId="1" xfId="1" quotePrefix="1" applyFont="1" applyBorder="1" applyAlignment="1">
      <alignment horizontal="center" vertical="center" wrapText="1"/>
    </xf>
    <xf numFmtId="0" fontId="37" fillId="0" borderId="0" xfId="0" applyFont="1" applyAlignment="1">
      <alignment horizontal="center"/>
    </xf>
    <xf numFmtId="0" fontId="33" fillId="0" borderId="0" xfId="1" applyFont="1" applyAlignment="1">
      <alignment vertical="center" wrapText="1"/>
    </xf>
    <xf numFmtId="0" fontId="0" fillId="0" borderId="2" xfId="0" applyBorder="1" applyAlignment="1">
      <alignment horizontal="center"/>
    </xf>
    <xf numFmtId="0" fontId="30" fillId="0" borderId="0" xfId="0" applyFont="1" applyAlignment="1">
      <alignment horizontal="center"/>
    </xf>
    <xf numFmtId="0" fontId="0" fillId="0" borderId="47" xfId="0" applyBorder="1" applyAlignment="1">
      <alignment horizontal="center"/>
    </xf>
    <xf numFmtId="1" fontId="34" fillId="0" borderId="1" xfId="652" applyNumberFormat="1" applyFont="1" applyFill="1" applyBorder="1" applyAlignment="1">
      <alignment horizontal="center" vertical="center" wrapText="1"/>
    </xf>
    <xf numFmtId="1" fontId="36" fillId="4" borderId="1" xfId="0" applyNumberFormat="1" applyFont="1" applyFill="1" applyBorder="1" applyAlignment="1">
      <alignment horizontal="center"/>
    </xf>
    <xf numFmtId="0" fontId="36" fillId="100" borderId="1" xfId="0" applyFont="1" applyFill="1" applyBorder="1" applyAlignment="1">
      <alignment horizontal="center"/>
    </xf>
    <xf numFmtId="0" fontId="66" fillId="0" borderId="0" xfId="688" applyNumberFormat="1" applyFont="1" applyAlignment="1">
      <alignment vertical="center"/>
    </xf>
    <xf numFmtId="170" fontId="66" fillId="0" borderId="0" xfId="688" applyFont="1" applyAlignment="1">
      <alignment horizontal="left" vertical="center"/>
    </xf>
    <xf numFmtId="0" fontId="66" fillId="0" borderId="0" xfId="688" applyNumberFormat="1" applyFont="1" applyAlignment="1">
      <alignment horizontal="center" vertical="center"/>
    </xf>
    <xf numFmtId="170" fontId="66" fillId="0" borderId="0" xfId="688" applyFont="1" applyAlignment="1">
      <alignment vertical="center"/>
    </xf>
    <xf numFmtId="169" fontId="66" fillId="0" borderId="0" xfId="688" applyNumberFormat="1" applyFont="1" applyAlignment="1">
      <alignment vertical="center"/>
    </xf>
    <xf numFmtId="0" fontId="1" fillId="0" borderId="0" xfId="688" applyNumberFormat="1"/>
    <xf numFmtId="170" fontId="1" fillId="0" borderId="0" xfId="688"/>
    <xf numFmtId="170" fontId="1" fillId="2" borderId="0" xfId="688" applyFill="1"/>
    <xf numFmtId="170" fontId="1" fillId="0" borderId="0" xfId="688" applyAlignment="1">
      <alignment horizontal="left"/>
    </xf>
    <xf numFmtId="0" fontId="1" fillId="0" borderId="0" xfId="688" applyNumberFormat="1" applyAlignment="1">
      <alignment horizontal="center"/>
    </xf>
    <xf numFmtId="169" fontId="1" fillId="0" borderId="0" xfId="688" applyNumberFormat="1"/>
    <xf numFmtId="0" fontId="70" fillId="103" borderId="85" xfId="688" applyNumberFormat="1" applyFont="1" applyFill="1" applyBorder="1" applyAlignment="1">
      <alignment horizontal="center" vertical="center" wrapText="1"/>
    </xf>
    <xf numFmtId="170" fontId="70" fillId="103" borderId="85" xfId="688" applyFont="1" applyFill="1" applyBorder="1" applyAlignment="1">
      <alignment horizontal="center" vertical="center" wrapText="1"/>
    </xf>
    <xf numFmtId="169" fontId="70" fillId="103" borderId="85" xfId="688" applyNumberFormat="1" applyFont="1" applyFill="1" applyBorder="1" applyAlignment="1">
      <alignment horizontal="center" vertical="center" wrapText="1"/>
    </xf>
    <xf numFmtId="0" fontId="70" fillId="103" borderId="0" xfId="688" applyNumberFormat="1" applyFont="1" applyFill="1" applyAlignment="1">
      <alignment horizontal="center" vertical="center" wrapText="1"/>
    </xf>
    <xf numFmtId="170" fontId="70" fillId="103" borderId="0" xfId="688" applyFont="1" applyFill="1" applyAlignment="1">
      <alignment horizontal="left" vertical="center" wrapText="1"/>
    </xf>
    <xf numFmtId="170" fontId="70" fillId="103" borderId="0" xfId="688" applyFont="1" applyFill="1" applyAlignment="1">
      <alignment horizontal="center" vertical="center" wrapText="1"/>
    </xf>
    <xf numFmtId="169" fontId="70" fillId="103" borderId="0" xfId="688" applyNumberFormat="1" applyFont="1" applyFill="1" applyAlignment="1">
      <alignment horizontal="center" vertical="center" wrapText="1"/>
    </xf>
    <xf numFmtId="0" fontId="50" fillId="98" borderId="1" xfId="688" quotePrefix="1" applyNumberFormat="1" applyFont="1" applyFill="1" applyBorder="1" applyAlignment="1">
      <alignment horizontal="center" vertical="center"/>
    </xf>
    <xf numFmtId="170" fontId="50" fillId="98" borderId="1" xfId="688" applyFont="1" applyFill="1" applyBorder="1" applyAlignment="1">
      <alignment horizontal="left" vertical="center"/>
    </xf>
    <xf numFmtId="0" fontId="50" fillId="98" borderId="39" xfId="688" applyNumberFormat="1" applyFont="1" applyFill="1" applyBorder="1" applyAlignment="1">
      <alignment horizontal="center" vertical="center"/>
    </xf>
    <xf numFmtId="170" fontId="50" fillId="98" borderId="1" xfId="688" applyFont="1" applyFill="1" applyBorder="1" applyAlignment="1">
      <alignment horizontal="center" vertical="center"/>
    </xf>
    <xf numFmtId="169" fontId="50" fillId="98" borderId="1" xfId="688" applyNumberFormat="1" applyFont="1" applyFill="1" applyBorder="1" applyAlignment="1">
      <alignment horizontal="center" vertical="center"/>
    </xf>
    <xf numFmtId="170" fontId="50" fillId="98" borderId="1" xfId="688" applyFont="1" applyFill="1" applyBorder="1" applyAlignment="1">
      <alignment vertical="center"/>
    </xf>
    <xf numFmtId="0" fontId="50" fillId="98" borderId="1" xfId="688" applyNumberFormat="1" applyFont="1" applyFill="1" applyBorder="1" applyAlignment="1">
      <alignment horizontal="center" vertical="center"/>
    </xf>
    <xf numFmtId="0" fontId="50" fillId="98" borderId="1" xfId="688" applyNumberFormat="1" applyFont="1" applyFill="1" applyBorder="1" applyAlignment="1">
      <alignment horizontal="center"/>
    </xf>
    <xf numFmtId="44" fontId="50" fillId="98" borderId="1" xfId="419" quotePrefix="1" applyNumberFormat="1" applyFont="1" applyFill="1" applyBorder="1" applyAlignment="1">
      <alignment horizontal="right"/>
    </xf>
    <xf numFmtId="0" fontId="50" fillId="98" borderId="1" xfId="217" applyNumberFormat="1" applyFont="1" applyFill="1" applyBorder="1" applyAlignment="1">
      <alignment horizontal="center" vertical="center"/>
    </xf>
    <xf numFmtId="170" fontId="50" fillId="2" borderId="0" xfId="688" applyFont="1" applyFill="1"/>
    <xf numFmtId="170" fontId="50" fillId="0" borderId="0" xfId="688" applyFont="1"/>
    <xf numFmtId="170" fontId="71" fillId="98" borderId="1" xfId="688" applyFont="1" applyFill="1" applyBorder="1" applyAlignment="1">
      <alignment vertical="center"/>
    </xf>
    <xf numFmtId="170" fontId="1" fillId="0" borderId="0" xfId="688" applyAlignment="1">
      <alignment vertical="center"/>
    </xf>
    <xf numFmtId="0" fontId="72" fillId="2" borderId="0" xfId="688" quotePrefix="1" applyNumberFormat="1" applyFont="1" applyFill="1" applyAlignment="1">
      <alignment horizontal="center" vertical="center"/>
    </xf>
    <xf numFmtId="0" fontId="72" fillId="2" borderId="0" xfId="688" applyNumberFormat="1" applyFont="1" applyFill="1" applyAlignment="1">
      <alignment horizontal="center" vertical="center"/>
    </xf>
    <xf numFmtId="170" fontId="72" fillId="2" borderId="0" xfId="688" applyFont="1" applyFill="1" applyAlignment="1">
      <alignment horizontal="center" vertical="center"/>
    </xf>
    <xf numFmtId="169" fontId="72" fillId="2" borderId="0" xfId="688" applyNumberFormat="1" applyFont="1" applyFill="1" applyAlignment="1">
      <alignment horizontal="center" vertical="center"/>
    </xf>
    <xf numFmtId="170" fontId="72" fillId="2" borderId="0" xfId="688" applyFont="1" applyFill="1" applyAlignment="1">
      <alignment horizontal="left" vertical="center"/>
    </xf>
    <xf numFmtId="0" fontId="72" fillId="0" borderId="0" xfId="688" applyNumberFormat="1" applyFont="1" applyAlignment="1">
      <alignment horizontal="center"/>
    </xf>
    <xf numFmtId="0" fontId="72" fillId="2" borderId="0" xfId="688" applyNumberFormat="1" applyFont="1" applyFill="1" applyAlignment="1">
      <alignment horizontal="center"/>
    </xf>
    <xf numFmtId="44" fontId="72" fillId="2" borderId="0" xfId="419" applyNumberFormat="1" applyFont="1" applyFill="1" applyBorder="1" applyAlignment="1">
      <alignment horizontal="right"/>
    </xf>
    <xf numFmtId="0" fontId="72" fillId="2" borderId="0" xfId="217" applyNumberFormat="1" applyFont="1" applyFill="1" applyBorder="1" applyAlignment="1">
      <alignment horizontal="center" vertical="center"/>
    </xf>
    <xf numFmtId="170" fontId="72" fillId="2" borderId="0" xfId="688" applyFont="1" applyFill="1"/>
    <xf numFmtId="170" fontId="1" fillId="104" borderId="1" xfId="688" applyFill="1" applyBorder="1" applyAlignment="1">
      <alignment horizontal="left"/>
    </xf>
    <xf numFmtId="0" fontId="1" fillId="0" borderId="0" xfId="688" quotePrefix="1" applyNumberFormat="1" applyAlignment="1">
      <alignment horizontal="center"/>
    </xf>
    <xf numFmtId="169" fontId="1" fillId="0" borderId="0" xfId="688" applyNumberFormat="1" applyAlignment="1">
      <alignment horizontal="center" vertical="center"/>
    </xf>
    <xf numFmtId="170" fontId="1" fillId="0" borderId="0" xfId="688" applyAlignment="1">
      <alignment horizontal="center" vertical="center"/>
    </xf>
    <xf numFmtId="0" fontId="1" fillId="0" borderId="0" xfId="688" applyNumberFormat="1" applyAlignment="1">
      <alignment horizontal="left" indent="1"/>
    </xf>
    <xf numFmtId="0" fontId="1" fillId="0" borderId="0" xfId="688" applyNumberFormat="1" applyAlignment="1">
      <alignment horizontal="center" vertical="center"/>
    </xf>
    <xf numFmtId="0" fontId="1" fillId="0" borderId="0" xfId="688" quotePrefix="1" applyNumberFormat="1" applyAlignment="1">
      <alignment horizontal="center" vertical="center"/>
    </xf>
    <xf numFmtId="44" fontId="1" fillId="0" borderId="0" xfId="688" applyNumberFormat="1"/>
    <xf numFmtId="0" fontId="73" fillId="0" borderId="0" xfId="419" applyNumberFormat="1" applyFont="1" applyFill="1" applyBorder="1" applyAlignment="1">
      <alignment horizontal="right"/>
    </xf>
    <xf numFmtId="170" fontId="1" fillId="96" borderId="1" xfId="688" applyFill="1" applyBorder="1" applyAlignment="1">
      <alignment horizontal="left"/>
    </xf>
    <xf numFmtId="1" fontId="1" fillId="0" borderId="0" xfId="688" applyNumberFormat="1"/>
    <xf numFmtId="170" fontId="1" fillId="95" borderId="1" xfId="688" applyFill="1" applyBorder="1" applyAlignment="1">
      <alignment horizontal="left"/>
    </xf>
    <xf numFmtId="43" fontId="1" fillId="0" borderId="0" xfId="688" applyNumberFormat="1"/>
    <xf numFmtId="0" fontId="1" fillId="0" borderId="0" xfId="419" applyNumberFormat="1" applyBorder="1"/>
    <xf numFmtId="170" fontId="1" fillId="105" borderId="1" xfId="688" applyFill="1" applyBorder="1" applyAlignment="1">
      <alignment horizontal="left"/>
    </xf>
    <xf numFmtId="0" fontId="74" fillId="0" borderId="0" xfId="688" applyNumberFormat="1" applyFont="1"/>
    <xf numFmtId="0" fontId="70" fillId="0" borderId="85" xfId="688" applyNumberFormat="1" applyFont="1" applyBorder="1" applyAlignment="1">
      <alignment horizontal="center" vertical="center" wrapText="1"/>
    </xf>
    <xf numFmtId="170" fontId="70" fillId="0" borderId="85" xfId="688" applyFont="1" applyBorder="1" applyAlignment="1">
      <alignment horizontal="center" vertical="center" wrapText="1"/>
    </xf>
    <xf numFmtId="169" fontId="70" fillId="0" borderId="85" xfId="688" applyNumberFormat="1" applyFont="1" applyBorder="1" applyAlignment="1">
      <alignment horizontal="center" vertical="center" wrapText="1"/>
    </xf>
    <xf numFmtId="0" fontId="1" fillId="0" borderId="85" xfId="688" applyNumberFormat="1" applyBorder="1" applyAlignment="1">
      <alignment horizontal="center"/>
    </xf>
    <xf numFmtId="170" fontId="50" fillId="0" borderId="85" xfId="688" applyFont="1" applyBorder="1" applyAlignment="1">
      <alignment horizontal="left" vertical="center"/>
    </xf>
    <xf numFmtId="0" fontId="50" fillId="0" borderId="85" xfId="688" applyNumberFormat="1" applyFont="1" applyBorder="1" applyAlignment="1">
      <alignment horizontal="center" vertical="center"/>
    </xf>
    <xf numFmtId="170" fontId="50" fillId="0" borderId="85" xfId="688" applyFont="1" applyBorder="1" applyAlignment="1">
      <alignment horizontal="center" vertical="center"/>
    </xf>
    <xf numFmtId="169" fontId="50" fillId="0" borderId="85" xfId="688" applyNumberFormat="1" applyFont="1" applyBorder="1" applyAlignment="1">
      <alignment horizontal="left" vertical="center"/>
    </xf>
    <xf numFmtId="0" fontId="50" fillId="0" borderId="85" xfId="688" applyNumberFormat="1" applyFont="1" applyBorder="1" applyAlignment="1">
      <alignment horizontal="center"/>
    </xf>
    <xf numFmtId="44" fontId="50" fillId="0" borderId="85" xfId="419" applyNumberFormat="1" applyFont="1" applyFill="1" applyBorder="1" applyAlignment="1">
      <alignment horizontal="right"/>
    </xf>
    <xf numFmtId="0" fontId="50" fillId="0" borderId="85" xfId="688" quotePrefix="1" applyNumberFormat="1" applyFont="1" applyBorder="1" applyAlignment="1">
      <alignment horizontal="center" vertical="center"/>
    </xf>
    <xf numFmtId="0" fontId="50" fillId="0" borderId="85" xfId="217" applyNumberFormat="1" applyFont="1" applyFill="1" applyBorder="1" applyAlignment="1">
      <alignment horizontal="center" vertical="center"/>
    </xf>
    <xf numFmtId="170" fontId="1" fillId="2" borderId="84" xfId="688" applyFill="1" applyBorder="1"/>
    <xf numFmtId="170" fontId="1" fillId="2" borderId="0" xfId="688" applyFill="1" applyAlignment="1">
      <alignment horizontal="center" vertical="center"/>
    </xf>
    <xf numFmtId="9" fontId="1" fillId="2" borderId="0" xfId="217" applyFont="1" applyFill="1" applyBorder="1" applyAlignment="1">
      <alignment horizontal="center" vertical="center"/>
    </xf>
    <xf numFmtId="0" fontId="1" fillId="88" borderId="0" xfId="688" applyNumberFormat="1" applyFill="1"/>
    <xf numFmtId="170" fontId="67" fillId="0" borderId="0" xfId="688" applyFont="1" applyAlignment="1">
      <alignment horizontal="center" vertical="center"/>
    </xf>
    <xf numFmtId="170" fontId="68" fillId="0" borderId="0" xfId="688" applyFont="1" applyAlignment="1">
      <alignment horizontal="center" vertical="center"/>
    </xf>
    <xf numFmtId="170" fontId="69" fillId="0" borderId="0" xfId="688" applyFont="1" applyAlignment="1">
      <alignment horizontal="center" vertical="center"/>
    </xf>
    <xf numFmtId="170" fontId="76" fillId="104" borderId="1" xfId="688" applyFont="1" applyFill="1" applyBorder="1" applyAlignment="1">
      <alignment horizontal="center" vertical="center"/>
    </xf>
    <xf numFmtId="0" fontId="76" fillId="104" borderId="1" xfId="688" applyNumberFormat="1" applyFont="1" applyFill="1" applyBorder="1" applyAlignment="1">
      <alignment horizontal="center" vertical="center"/>
    </xf>
    <xf numFmtId="170" fontId="66" fillId="0" borderId="36" xfId="688" applyFont="1" applyBorder="1" applyAlignment="1">
      <alignment horizontal="center" vertical="center"/>
    </xf>
    <xf numFmtId="0" fontId="76" fillId="0" borderId="36" xfId="688" applyNumberFormat="1" applyFont="1" applyBorder="1" applyAlignment="1">
      <alignment horizontal="center" vertical="center"/>
    </xf>
    <xf numFmtId="9" fontId="76" fillId="0" borderId="86" xfId="217" applyFont="1" applyFill="1" applyBorder="1" applyAlignment="1">
      <alignment horizontal="center" vertical="center"/>
    </xf>
    <xf numFmtId="170" fontId="66" fillId="0" borderId="87" xfId="688" applyFont="1" applyBorder="1" applyAlignment="1">
      <alignment horizontal="center" vertical="center"/>
    </xf>
    <xf numFmtId="0" fontId="76" fillId="0" borderId="88" xfId="688" applyNumberFormat="1" applyFont="1" applyBorder="1" applyAlignment="1">
      <alignment horizontal="center" vertical="center"/>
    </xf>
    <xf numFmtId="9" fontId="76" fillId="0" borderId="52" xfId="217" applyFont="1" applyFill="1" applyBorder="1" applyAlignment="1">
      <alignment horizontal="center" vertical="center"/>
    </xf>
    <xf numFmtId="0" fontId="76" fillId="0" borderId="52" xfId="688" applyNumberFormat="1" applyFont="1" applyBorder="1" applyAlignment="1">
      <alignment horizontal="center" vertical="center"/>
    </xf>
    <xf numFmtId="9" fontId="76" fillId="0" borderId="87" xfId="217" applyFont="1" applyFill="1" applyBorder="1" applyAlignment="1">
      <alignment horizontal="center" vertical="center"/>
    </xf>
    <xf numFmtId="9" fontId="76" fillId="0" borderId="88" xfId="217" applyFont="1" applyFill="1" applyBorder="1" applyAlignment="1">
      <alignment horizontal="center" vertical="center"/>
    </xf>
    <xf numFmtId="170" fontId="66" fillId="0" borderId="89" xfId="688" applyFont="1" applyBorder="1" applyAlignment="1">
      <alignment horizontal="center" vertical="center"/>
    </xf>
    <xf numFmtId="0" fontId="76" fillId="0" borderId="90" xfId="688" applyNumberFormat="1" applyFont="1" applyBorder="1" applyAlignment="1">
      <alignment horizontal="center" vertical="center"/>
    </xf>
    <xf numFmtId="9" fontId="76" fillId="0" borderId="90" xfId="217" applyFont="1" applyFill="1" applyBorder="1" applyAlignment="1">
      <alignment horizontal="center" vertical="center"/>
    </xf>
    <xf numFmtId="170" fontId="76" fillId="96" borderId="1" xfId="688" applyFont="1" applyFill="1" applyBorder="1" applyAlignment="1">
      <alignment horizontal="center" vertical="center"/>
    </xf>
    <xf numFmtId="0" fontId="76" fillId="96" borderId="1" xfId="688" applyNumberFormat="1" applyFont="1" applyFill="1" applyBorder="1" applyAlignment="1">
      <alignment horizontal="center" vertical="center"/>
    </xf>
    <xf numFmtId="9" fontId="76" fillId="96" borderId="1" xfId="217" applyFont="1" applyFill="1" applyBorder="1" applyAlignment="1">
      <alignment horizontal="center" vertical="center"/>
    </xf>
    <xf numFmtId="170" fontId="66" fillId="0" borderId="86" xfId="688" applyFont="1" applyBorder="1" applyAlignment="1">
      <alignment horizontal="center" vertical="center"/>
    </xf>
    <xf numFmtId="170" fontId="66" fillId="0" borderId="88" xfId="688" applyFont="1" applyBorder="1" applyAlignment="1">
      <alignment horizontal="center" vertical="center"/>
    </xf>
    <xf numFmtId="170" fontId="66" fillId="0" borderId="52" xfId="688" applyFont="1" applyBorder="1" applyAlignment="1">
      <alignment horizontal="center" vertical="center"/>
    </xf>
    <xf numFmtId="0" fontId="76" fillId="0" borderId="87" xfId="688" applyNumberFormat="1" applyFont="1" applyBorder="1" applyAlignment="1">
      <alignment horizontal="center" vertical="center"/>
    </xf>
    <xf numFmtId="0" fontId="76" fillId="0" borderId="89" xfId="688" applyNumberFormat="1" applyFont="1" applyBorder="1" applyAlignment="1">
      <alignment horizontal="center" vertical="center"/>
    </xf>
    <xf numFmtId="170" fontId="76" fillId="0" borderId="0" xfId="688" applyFont="1" applyAlignment="1">
      <alignment horizontal="center" vertical="center"/>
    </xf>
    <xf numFmtId="0" fontId="76" fillId="0" borderId="0" xfId="688" applyNumberFormat="1" applyFont="1" applyAlignment="1">
      <alignment horizontal="center" vertical="center"/>
    </xf>
    <xf numFmtId="9" fontId="76" fillId="0" borderId="0" xfId="217" applyFont="1" applyFill="1" applyBorder="1" applyAlignment="1">
      <alignment horizontal="center" vertical="center"/>
    </xf>
    <xf numFmtId="0" fontId="76" fillId="104" borderId="36" xfId="688" applyNumberFormat="1" applyFont="1" applyFill="1" applyBorder="1" applyAlignment="1">
      <alignment horizontal="center" vertical="center"/>
    </xf>
    <xf numFmtId="0" fontId="76" fillId="0" borderId="86" xfId="688" applyNumberFormat="1" applyFont="1" applyBorder="1" applyAlignment="1">
      <alignment horizontal="center" vertical="center"/>
    </xf>
    <xf numFmtId="9" fontId="76" fillId="0" borderId="86" xfId="217" applyFont="1" applyBorder="1" applyAlignment="1">
      <alignment horizontal="center" vertical="center"/>
    </xf>
    <xf numFmtId="170" fontId="1" fillId="0" borderId="0" xfId="688" applyAlignment="1">
      <alignment horizontal="center"/>
    </xf>
    <xf numFmtId="9" fontId="76" fillId="0" borderId="88" xfId="217" applyFont="1" applyBorder="1" applyAlignment="1">
      <alignment horizontal="center" vertical="center"/>
    </xf>
    <xf numFmtId="170" fontId="66" fillId="0" borderId="88" xfId="688" applyFont="1" applyBorder="1" applyAlignment="1">
      <alignment vertical="center"/>
    </xf>
    <xf numFmtId="0" fontId="1" fillId="0" borderId="0" xfId="688" applyNumberFormat="1" applyAlignment="1">
      <alignment vertical="center"/>
    </xf>
    <xf numFmtId="170" fontId="76" fillId="104" borderId="36" xfId="688" applyFont="1" applyFill="1" applyBorder="1" applyAlignment="1">
      <alignment horizontal="center" vertical="center"/>
    </xf>
    <xf numFmtId="170" fontId="66" fillId="0" borderId="86" xfId="688" quotePrefix="1" applyFont="1" applyBorder="1" applyAlignment="1">
      <alignment horizontal="center" vertical="center"/>
    </xf>
    <xf numFmtId="170" fontId="66" fillId="0" borderId="88" xfId="688" quotePrefix="1" applyFont="1" applyBorder="1" applyAlignment="1">
      <alignment horizontal="center" vertical="center"/>
    </xf>
    <xf numFmtId="170" fontId="66" fillId="0" borderId="35" xfId="688" quotePrefix="1" applyFont="1" applyBorder="1" applyAlignment="1">
      <alignment horizontal="center" vertical="center"/>
    </xf>
    <xf numFmtId="9" fontId="76" fillId="0" borderId="52" xfId="217" applyFont="1" applyBorder="1" applyAlignment="1">
      <alignment horizontal="center" vertical="center"/>
    </xf>
    <xf numFmtId="9" fontId="76" fillId="0" borderId="35" xfId="217" applyFont="1" applyBorder="1" applyAlignment="1">
      <alignment horizontal="center" vertical="center"/>
    </xf>
    <xf numFmtId="170" fontId="66" fillId="0" borderId="86" xfId="688" applyFont="1" applyBorder="1" applyAlignment="1">
      <alignment vertical="center"/>
    </xf>
    <xf numFmtId="170" fontId="66" fillId="0" borderId="35" xfId="688" applyFont="1" applyBorder="1" applyAlignment="1">
      <alignment vertical="center"/>
    </xf>
    <xf numFmtId="170" fontId="66" fillId="0" borderId="0" xfId="688" applyFont="1" applyAlignment="1">
      <alignment horizontal="center"/>
    </xf>
    <xf numFmtId="16" fontId="66" fillId="0" borderId="88" xfId="688" applyNumberFormat="1" applyFont="1" applyBorder="1" applyAlignment="1">
      <alignment horizontal="center" vertical="center"/>
    </xf>
    <xf numFmtId="170" fontId="77" fillId="0" borderId="86" xfId="688" quotePrefix="1" applyFont="1" applyBorder="1" applyAlignment="1">
      <alignment horizontal="center" vertical="center"/>
    </xf>
    <xf numFmtId="170" fontId="66" fillId="0" borderId="52" xfId="688" quotePrefix="1" applyFont="1" applyBorder="1" applyAlignment="1">
      <alignment horizontal="center" vertical="center"/>
    </xf>
    <xf numFmtId="170" fontId="66" fillId="0" borderId="35" xfId="688" applyFont="1" applyBorder="1" applyAlignment="1">
      <alignment horizontal="center" vertical="center"/>
    </xf>
    <xf numFmtId="170" fontId="66" fillId="0" borderId="86" xfId="688" applyFont="1" applyBorder="1" applyAlignment="1">
      <alignment horizontal="left" vertical="center"/>
    </xf>
    <xf numFmtId="170" fontId="66" fillId="0" borderId="88" xfId="688" applyFont="1" applyBorder="1" applyAlignment="1">
      <alignment horizontal="left" vertical="center"/>
    </xf>
    <xf numFmtId="170" fontId="66" fillId="0" borderId="35" xfId="688" applyFont="1" applyBorder="1" applyAlignment="1">
      <alignment horizontal="left" vertical="center"/>
    </xf>
    <xf numFmtId="170" fontId="66" fillId="0" borderId="36" xfId="688" applyFont="1" applyBorder="1" applyAlignment="1">
      <alignment vertical="center"/>
    </xf>
    <xf numFmtId="9" fontId="76" fillId="0" borderId="36" xfId="217" applyFont="1" applyBorder="1" applyAlignment="1">
      <alignment horizontal="center" vertical="center"/>
    </xf>
    <xf numFmtId="170" fontId="66" fillId="0" borderId="52" xfId="688" applyFont="1" applyBorder="1" applyAlignment="1">
      <alignment vertical="center"/>
    </xf>
    <xf numFmtId="170" fontId="66" fillId="0" borderId="36" xfId="688" applyFont="1" applyBorder="1" applyAlignment="1">
      <alignment horizontal="left" vertical="center"/>
    </xf>
    <xf numFmtId="170" fontId="66" fillId="0" borderId="52" xfId="688" applyFont="1" applyBorder="1" applyAlignment="1">
      <alignment horizontal="left" vertical="center"/>
    </xf>
    <xf numFmtId="170" fontId="66" fillId="0" borderId="84" xfId="688" applyFont="1" applyBorder="1" applyAlignment="1">
      <alignment horizontal="left" vertical="center"/>
    </xf>
    <xf numFmtId="170" fontId="50" fillId="0" borderId="0" xfId="686" applyFont="1" applyAlignment="1">
      <alignment vertical="center" wrapText="1"/>
    </xf>
    <xf numFmtId="0" fontId="69" fillId="0" borderId="0" xfId="0" applyFont="1" applyAlignment="1">
      <alignment horizontal="center" vertical="center" wrapText="1"/>
    </xf>
    <xf numFmtId="0" fontId="76" fillId="104" borderId="45" xfId="0" applyFont="1" applyFill="1" applyBorder="1" applyAlignment="1">
      <alignment horizontal="center" vertical="center" wrapText="1"/>
    </xf>
    <xf numFmtId="0" fontId="76" fillId="104" borderId="1" xfId="0" applyFont="1" applyFill="1" applyBorder="1" applyAlignment="1">
      <alignment horizontal="center" vertical="center" wrapText="1"/>
    </xf>
    <xf numFmtId="0" fontId="66" fillId="0" borderId="95" xfId="0" applyFont="1" applyBorder="1" applyAlignment="1">
      <alignment horizontal="center" vertical="center" wrapText="1"/>
    </xf>
    <xf numFmtId="0" fontId="76" fillId="0" borderId="36" xfId="0" applyFont="1" applyBorder="1" applyAlignment="1">
      <alignment horizontal="center" vertical="center" wrapText="1"/>
    </xf>
    <xf numFmtId="9" fontId="76" fillId="0" borderId="86" xfId="217" applyFont="1" applyFill="1" applyBorder="1" applyAlignment="1">
      <alignment horizontal="center" vertical="center" wrapText="1"/>
    </xf>
    <xf numFmtId="0" fontId="66" fillId="0" borderId="96" xfId="0" applyFont="1" applyBorder="1" applyAlignment="1">
      <alignment horizontal="center" vertical="center" wrapText="1"/>
    </xf>
    <xf numFmtId="0" fontId="76" fillId="0" borderId="88" xfId="0" applyFont="1" applyBorder="1" applyAlignment="1">
      <alignment horizontal="center" vertical="center" wrapText="1"/>
    </xf>
    <xf numFmtId="9" fontId="76" fillId="0" borderId="52" xfId="217" applyFont="1" applyFill="1" applyBorder="1" applyAlignment="1">
      <alignment horizontal="center" vertical="center" wrapText="1"/>
    </xf>
    <xf numFmtId="0" fontId="76" fillId="0" borderId="52" xfId="0" applyFont="1" applyBorder="1" applyAlignment="1">
      <alignment horizontal="center" vertical="center" wrapText="1"/>
    </xf>
    <xf numFmtId="9" fontId="76" fillId="0" borderId="87" xfId="217" applyFont="1" applyFill="1" applyBorder="1" applyAlignment="1">
      <alignment horizontal="center" vertical="center" wrapText="1"/>
    </xf>
    <xf numFmtId="9" fontId="76" fillId="0" borderId="88" xfId="217" applyFont="1" applyFill="1" applyBorder="1" applyAlignment="1">
      <alignment horizontal="center" vertical="center" wrapText="1"/>
    </xf>
    <xf numFmtId="0" fontId="66" fillId="0" borderId="97" xfId="0" applyFont="1" applyBorder="1" applyAlignment="1">
      <alignment horizontal="center" vertical="center" wrapText="1"/>
    </xf>
    <xf numFmtId="0" fontId="76" fillId="0" borderId="90" xfId="0" applyFont="1" applyBorder="1" applyAlignment="1">
      <alignment horizontal="center" vertical="center" wrapText="1"/>
    </xf>
    <xf numFmtId="9" fontId="76" fillId="0" borderId="90" xfId="217" applyFont="1" applyFill="1" applyBorder="1" applyAlignment="1">
      <alignment horizontal="center" vertical="center" wrapText="1"/>
    </xf>
    <xf numFmtId="0" fontId="76" fillId="96" borderId="45" xfId="0" applyFont="1" applyFill="1" applyBorder="1" applyAlignment="1">
      <alignment horizontal="center" vertical="center" wrapText="1"/>
    </xf>
    <xf numFmtId="0" fontId="76" fillId="96" borderId="1" xfId="0" applyFont="1" applyFill="1" applyBorder="1" applyAlignment="1">
      <alignment horizontal="center" vertical="center" wrapText="1"/>
    </xf>
    <xf numFmtId="9" fontId="76" fillId="96" borderId="1" xfId="217" applyFont="1" applyFill="1" applyBorder="1" applyAlignment="1">
      <alignment horizontal="center" vertical="center" wrapText="1"/>
    </xf>
    <xf numFmtId="0" fontId="33" fillId="4" borderId="36" xfId="1" applyFont="1" applyFill="1" applyBorder="1" applyAlignment="1">
      <alignment vertical="center" wrapText="1"/>
    </xf>
    <xf numFmtId="0" fontId="33" fillId="4" borderId="35" xfId="1" applyFont="1" applyFill="1" applyBorder="1" applyAlignment="1">
      <alignment vertical="center" wrapText="1"/>
    </xf>
    <xf numFmtId="0" fontId="65" fillId="101" borderId="35" xfId="0" applyFont="1" applyFill="1" applyBorder="1" applyAlignment="1">
      <alignment horizontal="center" vertical="center" textRotation="45"/>
    </xf>
    <xf numFmtId="0" fontId="57" fillId="0" borderId="62" xfId="686" applyNumberFormat="1" applyFont="1" applyBorder="1" applyAlignment="1" applyProtection="1">
      <alignment horizontal="left" vertical="top" wrapText="1"/>
      <protection locked="0" hidden="1"/>
    </xf>
    <xf numFmtId="0" fontId="57" fillId="0" borderId="64" xfId="686" applyNumberFormat="1" applyFont="1" applyBorder="1" applyAlignment="1" applyProtection="1">
      <alignment horizontal="left" vertical="top" wrapText="1"/>
      <protection locked="0" hidden="1"/>
    </xf>
    <xf numFmtId="0" fontId="65" fillId="101" borderId="35" xfId="0" applyFont="1" applyFill="1" applyBorder="1" applyAlignment="1">
      <alignment horizontal="center" vertical="center" textRotation="45" wrapText="1"/>
    </xf>
    <xf numFmtId="0" fontId="0" fillId="0" borderId="0" xfId="0" applyAlignment="1">
      <alignment horizontal="center" vertical="center" wrapText="1"/>
    </xf>
    <xf numFmtId="0" fontId="38" fillId="101" borderId="1" xfId="0" applyFont="1" applyFill="1" applyBorder="1" applyAlignment="1">
      <alignment horizontal="center" vertical="center" wrapText="1"/>
    </xf>
    <xf numFmtId="0" fontId="65" fillId="102" borderId="35" xfId="0" applyFont="1" applyFill="1" applyBorder="1" applyAlignment="1">
      <alignment horizontal="center" vertical="center" textRotation="45"/>
    </xf>
    <xf numFmtId="0" fontId="34" fillId="2" borderId="37" xfId="1" applyFont="1" applyFill="1" applyBorder="1" applyAlignment="1">
      <alignment horizontal="center" vertical="center" wrapText="1"/>
    </xf>
    <xf numFmtId="0" fontId="34" fillId="2" borderId="0" xfId="1" applyFont="1" applyFill="1" applyAlignment="1">
      <alignment horizontal="center" vertical="center" wrapText="1"/>
    </xf>
    <xf numFmtId="9" fontId="0" fillId="0" borderId="1" xfId="652" applyFont="1" applyBorder="1" applyAlignment="1">
      <alignment horizontal="center" vertical="center"/>
    </xf>
    <xf numFmtId="14" fontId="57" fillId="2" borderId="0" xfId="686" applyNumberFormat="1" applyFont="1" applyFill="1" applyAlignment="1">
      <alignment horizontal="center" vertical="center" wrapText="1"/>
    </xf>
    <xf numFmtId="0" fontId="57" fillId="2" borderId="0" xfId="686" applyNumberFormat="1" applyFont="1" applyFill="1" applyAlignment="1">
      <alignment horizontal="center" vertical="center" wrapText="1"/>
    </xf>
    <xf numFmtId="0" fontId="0" fillId="84" borderId="0" xfId="0" applyFill="1"/>
    <xf numFmtId="41" fontId="39" fillId="0" borderId="1" xfId="687" applyFont="1" applyBorder="1" applyAlignment="1">
      <alignment horizontal="center" vertical="center"/>
    </xf>
    <xf numFmtId="177" fontId="34" fillId="2" borderId="1" xfId="1" quotePrefix="1" applyNumberFormat="1" applyFont="1" applyFill="1" applyBorder="1" applyAlignment="1">
      <alignment horizontal="center" vertical="center" wrapText="1"/>
    </xf>
    <xf numFmtId="177" fontId="34" fillId="2" borderId="1" xfId="1" applyNumberFormat="1" applyFont="1" applyFill="1" applyBorder="1" applyAlignment="1">
      <alignment horizontal="center" vertical="center" wrapText="1"/>
    </xf>
    <xf numFmtId="177" fontId="39" fillId="0" borderId="1" xfId="0" applyNumberFormat="1" applyFont="1" applyBorder="1" applyAlignment="1">
      <alignment horizontal="center"/>
    </xf>
    <xf numFmtId="177" fontId="39" fillId="0" borderId="1" xfId="0" applyNumberFormat="1" applyFont="1" applyBorder="1" applyAlignment="1">
      <alignment horizontal="center" vertical="center"/>
    </xf>
    <xf numFmtId="0" fontId="52" fillId="96" borderId="36" xfId="686" applyNumberFormat="1" applyFont="1" applyFill="1" applyBorder="1" applyAlignment="1">
      <alignment horizontal="center" vertical="center" wrapText="1"/>
    </xf>
    <xf numFmtId="0" fontId="78" fillId="0" borderId="1" xfId="0" applyFont="1" applyBorder="1" applyAlignment="1">
      <alignment horizontal="center" vertical="center" wrapText="1" readingOrder="1"/>
    </xf>
    <xf numFmtId="0" fontId="78" fillId="0" borderId="38" xfId="0" applyFont="1" applyBorder="1" applyAlignment="1">
      <alignment horizontal="left" vertical="center" readingOrder="1"/>
    </xf>
    <xf numFmtId="0" fontId="38" fillId="0" borderId="38" xfId="0" applyFont="1" applyBorder="1" applyAlignment="1">
      <alignment vertical="center"/>
    </xf>
    <xf numFmtId="0" fontId="78" fillId="0" borderId="99" xfId="0" applyFont="1" applyBorder="1" applyAlignment="1">
      <alignment horizontal="left" vertical="center" wrapText="1" readingOrder="1"/>
    </xf>
    <xf numFmtId="9" fontId="0" fillId="0" borderId="0" xfId="652" applyFont="1"/>
    <xf numFmtId="0" fontId="78" fillId="0" borderId="100" xfId="0" applyFont="1" applyBorder="1" applyAlignment="1">
      <alignment wrapText="1" readingOrder="1"/>
    </xf>
    <xf numFmtId="0" fontId="78" fillId="0" borderId="101" xfId="0" applyFont="1" applyBorder="1" applyAlignment="1">
      <alignment wrapText="1" readingOrder="1"/>
    </xf>
    <xf numFmtId="0" fontId="79" fillId="108" borderId="1" xfId="0" applyFont="1" applyFill="1" applyBorder="1" applyAlignment="1">
      <alignment horizontal="center" vertical="center" wrapText="1" readingOrder="1"/>
    </xf>
    <xf numFmtId="0" fontId="79" fillId="108" borderId="103" xfId="0" applyFont="1" applyFill="1" applyBorder="1" applyAlignment="1">
      <alignment horizontal="center" vertical="center" wrapText="1" readingOrder="1"/>
    </xf>
    <xf numFmtId="9" fontId="0" fillId="0" borderId="1" xfId="0" applyNumberFormat="1" applyBorder="1"/>
    <xf numFmtId="9" fontId="30" fillId="0" borderId="1" xfId="0" applyNumberFormat="1" applyFont="1" applyBorder="1"/>
    <xf numFmtId="0" fontId="30" fillId="0" borderId="1" xfId="0" applyFont="1" applyBorder="1"/>
    <xf numFmtId="0" fontId="0" fillId="0" borderId="0" xfId="0" applyAlignment="1">
      <alignment vertical="center"/>
    </xf>
    <xf numFmtId="0" fontId="78" fillId="0" borderId="1" xfId="0" applyFont="1" applyBorder="1" applyAlignment="1">
      <alignment horizontal="left" vertical="center" readingOrder="1"/>
    </xf>
    <xf numFmtId="0" fontId="0" fillId="0" borderId="1" xfId="0" applyBorder="1" applyAlignment="1">
      <alignment vertical="center"/>
    </xf>
    <xf numFmtId="0" fontId="78" fillId="0" borderId="104" xfId="0" applyFont="1" applyBorder="1" applyAlignment="1">
      <alignment horizontal="left" vertical="center" wrapText="1" readingOrder="1"/>
    </xf>
    <xf numFmtId="0" fontId="78" fillId="0" borderId="107" xfId="0" applyFont="1" applyBorder="1" applyAlignment="1">
      <alignment wrapText="1" readingOrder="1"/>
    </xf>
    <xf numFmtId="177" fontId="81" fillId="0" borderId="0" xfId="188" applyNumberFormat="1" applyFont="1" applyAlignment="1">
      <alignment horizontal="center" vertical="center"/>
    </xf>
    <xf numFmtId="0" fontId="81" fillId="0" borderId="0" xfId="188" applyFont="1" applyAlignment="1">
      <alignment horizontal="center" vertical="center"/>
    </xf>
    <xf numFmtId="43" fontId="81" fillId="0" borderId="0" xfId="188" applyNumberFormat="1" applyFont="1" applyAlignment="1">
      <alignment horizontal="center" vertical="center"/>
    </xf>
    <xf numFmtId="0" fontId="82" fillId="0" borderId="0" xfId="0" applyFont="1"/>
    <xf numFmtId="0" fontId="82" fillId="0" borderId="2" xfId="0" applyFont="1" applyBorder="1" applyAlignment="1">
      <alignment vertical="center"/>
    </xf>
    <xf numFmtId="43" fontId="84" fillId="0" borderId="0" xfId="188" applyNumberFormat="1" applyFont="1" applyAlignment="1">
      <alignment horizontal="center" vertical="center"/>
    </xf>
    <xf numFmtId="0" fontId="82" fillId="0" borderId="0" xfId="0" applyFont="1" applyAlignment="1">
      <alignment vertical="center"/>
    </xf>
    <xf numFmtId="0" fontId="86" fillId="110" borderId="116" xfId="0" applyFont="1" applyFill="1" applyBorder="1" applyAlignment="1">
      <alignment horizontal="center" vertical="center"/>
    </xf>
    <xf numFmtId="177" fontId="86" fillId="110" borderId="117" xfId="0" applyNumberFormat="1" applyFont="1" applyFill="1" applyBorder="1" applyAlignment="1">
      <alignment horizontal="center" vertical="center"/>
    </xf>
    <xf numFmtId="43" fontId="86" fillId="110" borderId="117" xfId="188" applyNumberFormat="1" applyFont="1" applyFill="1" applyBorder="1" applyAlignment="1">
      <alignment horizontal="center" vertical="center"/>
    </xf>
    <xf numFmtId="0" fontId="86" fillId="110" borderId="117" xfId="188" applyFont="1" applyFill="1" applyBorder="1" applyAlignment="1">
      <alignment horizontal="center" vertical="center"/>
    </xf>
    <xf numFmtId="177" fontId="86" fillId="110" borderId="118" xfId="188" applyNumberFormat="1" applyFont="1" applyFill="1" applyBorder="1" applyAlignment="1">
      <alignment horizontal="center" vertical="center"/>
    </xf>
    <xf numFmtId="0" fontId="87" fillId="0" borderId="0" xfId="0" applyFont="1"/>
    <xf numFmtId="0" fontId="88" fillId="0" borderId="0" xfId="0" applyFont="1" applyAlignment="1">
      <alignment vertical="center"/>
    </xf>
    <xf numFmtId="177" fontId="84" fillId="0" borderId="0" xfId="188" applyNumberFormat="1" applyFont="1" applyAlignment="1">
      <alignment horizontal="center" vertical="center"/>
    </xf>
    <xf numFmtId="0" fontId="84" fillId="0" borderId="0" xfId="188" applyFont="1" applyAlignment="1">
      <alignment horizontal="center" vertical="center"/>
    </xf>
    <xf numFmtId="2" fontId="86" fillId="110" borderId="117" xfId="188" applyNumberFormat="1" applyFont="1" applyFill="1" applyBorder="1" applyAlignment="1">
      <alignment horizontal="center" vertical="center"/>
    </xf>
    <xf numFmtId="0" fontId="50" fillId="98" borderId="0" xfId="688" quotePrefix="1" applyNumberFormat="1" applyFont="1" applyFill="1" applyAlignment="1">
      <alignment horizontal="center" vertical="center"/>
    </xf>
    <xf numFmtId="170" fontId="50" fillId="98" borderId="0" xfId="688" applyFont="1" applyFill="1" applyAlignment="1">
      <alignment horizontal="left" vertical="center"/>
    </xf>
    <xf numFmtId="0" fontId="50" fillId="94" borderId="0" xfId="688" applyNumberFormat="1" applyFont="1" applyFill="1" applyAlignment="1">
      <alignment horizontal="center" vertical="center"/>
    </xf>
    <xf numFmtId="170" fontId="50" fillId="94" borderId="0" xfId="688" applyFont="1" applyFill="1" applyAlignment="1">
      <alignment horizontal="center" vertical="center"/>
    </xf>
    <xf numFmtId="169" fontId="50" fillId="94" borderId="0" xfId="688" applyNumberFormat="1" applyFont="1" applyFill="1" applyAlignment="1">
      <alignment horizontal="center" vertical="center"/>
    </xf>
    <xf numFmtId="170" fontId="50" fillId="94" borderId="0" xfId="688" applyFont="1" applyFill="1" applyAlignment="1">
      <alignment horizontal="left" vertical="center"/>
    </xf>
    <xf numFmtId="0" fontId="50" fillId="94" borderId="0" xfId="688" quotePrefix="1" applyNumberFormat="1" applyFont="1" applyFill="1" applyAlignment="1">
      <alignment horizontal="center" vertical="center"/>
    </xf>
    <xf numFmtId="0" fontId="50" fillId="94" borderId="0" xfId="688" applyNumberFormat="1" applyFont="1" applyFill="1" applyAlignment="1">
      <alignment horizontal="center"/>
    </xf>
    <xf numFmtId="44" fontId="50" fillId="94" borderId="0" xfId="419" quotePrefix="1" applyNumberFormat="1" applyFont="1" applyFill="1" applyBorder="1" applyAlignment="1">
      <alignment horizontal="right"/>
    </xf>
    <xf numFmtId="0" fontId="50" fillId="94" borderId="0" xfId="217" applyNumberFormat="1" applyFont="1" applyFill="1" applyBorder="1" applyAlignment="1">
      <alignment horizontal="center" vertical="center"/>
    </xf>
    <xf numFmtId="2" fontId="34" fillId="0" borderId="1" xfId="1" applyNumberFormat="1" applyFont="1" applyBorder="1" applyAlignment="1">
      <alignment horizontal="center" vertical="center" wrapText="1"/>
    </xf>
    <xf numFmtId="178" fontId="36" fillId="100" borderId="1" xfId="0" applyNumberFormat="1" applyFont="1" applyFill="1" applyBorder="1" applyAlignment="1">
      <alignment horizontal="center"/>
    </xf>
    <xf numFmtId="2" fontId="36" fillId="100" borderId="1" xfId="0" applyNumberFormat="1" applyFont="1" applyFill="1" applyBorder="1" applyAlignment="1">
      <alignment horizontal="center"/>
    </xf>
    <xf numFmtId="2" fontId="39" fillId="0" borderId="1" xfId="0" applyNumberFormat="1" applyFont="1" applyBorder="1" applyAlignment="1">
      <alignment horizontal="center" vertical="center"/>
    </xf>
    <xf numFmtId="2" fontId="34" fillId="0" borderId="1" xfId="652" applyNumberFormat="1" applyFont="1" applyFill="1" applyBorder="1" applyAlignment="1">
      <alignment horizontal="center"/>
    </xf>
    <xf numFmtId="41" fontId="34" fillId="0" borderId="1" xfId="652" applyNumberFormat="1" applyFont="1" applyFill="1" applyBorder="1" applyAlignment="1">
      <alignment horizontal="center"/>
    </xf>
    <xf numFmtId="2" fontId="64" fillId="111" borderId="1" xfId="652" applyNumberFormat="1" applyFont="1" applyFill="1" applyBorder="1" applyAlignment="1">
      <alignment horizontal="center"/>
    </xf>
    <xf numFmtId="0" fontId="37" fillId="87" borderId="0" xfId="0" applyFont="1" applyFill="1" applyAlignment="1">
      <alignment horizontal="center"/>
    </xf>
    <xf numFmtId="0" fontId="78" fillId="0" borderId="99" xfId="0" applyFont="1" applyBorder="1" applyAlignment="1">
      <alignment horizontal="center" vertical="center" wrapText="1" readingOrder="1"/>
    </xf>
    <xf numFmtId="0" fontId="78" fillId="0" borderId="119" xfId="0" applyFont="1" applyBorder="1" applyAlignment="1">
      <alignment horizontal="center" vertical="center" wrapText="1" readingOrder="1"/>
    </xf>
    <xf numFmtId="0" fontId="31" fillId="108" borderId="0" xfId="0" applyFont="1" applyFill="1" applyAlignment="1">
      <alignment horizontal="center"/>
    </xf>
    <xf numFmtId="0" fontId="50" fillId="97" borderId="1" xfId="688" quotePrefix="1" applyNumberFormat="1" applyFont="1" applyFill="1" applyBorder="1" applyAlignment="1">
      <alignment horizontal="center" vertical="center"/>
    </xf>
    <xf numFmtId="170" fontId="50" fillId="97" borderId="1" xfId="688" applyFont="1" applyFill="1" applyBorder="1" applyAlignment="1">
      <alignment horizontal="left" vertical="center"/>
    </xf>
    <xf numFmtId="0" fontId="50" fillId="97" borderId="1" xfId="688" applyNumberFormat="1" applyFont="1" applyFill="1" applyBorder="1" applyAlignment="1">
      <alignment horizontal="center" vertical="center"/>
    </xf>
    <xf numFmtId="170" fontId="50" fillId="97" borderId="1" xfId="688" applyFont="1" applyFill="1" applyBorder="1" applyAlignment="1">
      <alignment horizontal="center" vertical="center"/>
    </xf>
    <xf numFmtId="169" fontId="50" fillId="97" borderId="1" xfId="688" applyNumberFormat="1" applyFont="1" applyFill="1" applyBorder="1" applyAlignment="1">
      <alignment horizontal="center" vertical="center"/>
    </xf>
    <xf numFmtId="0" fontId="50" fillId="97" borderId="1" xfId="688" applyNumberFormat="1" applyFont="1" applyFill="1" applyBorder="1" applyAlignment="1">
      <alignment horizontal="center"/>
    </xf>
    <xf numFmtId="44" fontId="50" fillId="97" borderId="1" xfId="419" quotePrefix="1" applyNumberFormat="1" applyFont="1" applyFill="1" applyBorder="1" applyAlignment="1">
      <alignment horizontal="right"/>
    </xf>
    <xf numFmtId="0" fontId="50" fillId="97" borderId="1" xfId="217" applyNumberFormat="1" applyFont="1" applyFill="1" applyBorder="1" applyAlignment="1">
      <alignment horizontal="center" vertical="center"/>
    </xf>
    <xf numFmtId="0" fontId="50" fillId="112" borderId="1" xfId="688" quotePrefix="1" applyNumberFormat="1" applyFont="1" applyFill="1" applyBorder="1" applyAlignment="1">
      <alignment horizontal="center" vertical="center"/>
    </xf>
    <xf numFmtId="170" fontId="50" fillId="112" borderId="1" xfId="688" applyFont="1" applyFill="1" applyBorder="1" applyAlignment="1">
      <alignment horizontal="left" vertical="center"/>
    </xf>
    <xf numFmtId="0" fontId="50" fillId="112" borderId="1" xfId="688" applyNumberFormat="1" applyFont="1" applyFill="1" applyBorder="1" applyAlignment="1">
      <alignment horizontal="center" vertical="center"/>
    </xf>
    <xf numFmtId="170" fontId="50" fillId="112" borderId="1" xfId="688" applyFont="1" applyFill="1" applyBorder="1" applyAlignment="1">
      <alignment horizontal="center" vertical="center"/>
    </xf>
    <xf numFmtId="169" fontId="50" fillId="112" borderId="1" xfId="688" applyNumberFormat="1" applyFont="1" applyFill="1" applyBorder="1" applyAlignment="1">
      <alignment horizontal="center" vertical="center"/>
    </xf>
    <xf numFmtId="0" fontId="50" fillId="112" borderId="1" xfId="688" applyNumberFormat="1" applyFont="1" applyFill="1" applyBorder="1" applyAlignment="1">
      <alignment horizontal="center"/>
    </xf>
    <xf numFmtId="44" fontId="50" fillId="112" borderId="1" xfId="419" quotePrefix="1" applyNumberFormat="1" applyFont="1" applyFill="1" applyBorder="1" applyAlignment="1">
      <alignment horizontal="right"/>
    </xf>
    <xf numFmtId="0" fontId="50" fillId="112" borderId="1" xfId="217" applyNumberFormat="1" applyFont="1" applyFill="1" applyBorder="1" applyAlignment="1">
      <alignment horizontal="center" vertical="center"/>
    </xf>
    <xf numFmtId="170" fontId="50" fillId="112" borderId="0" xfId="688" applyFont="1" applyFill="1"/>
    <xf numFmtId="179" fontId="50" fillId="97" borderId="1" xfId="419" quotePrefix="1" applyNumberFormat="1" applyFont="1" applyFill="1" applyBorder="1" applyAlignment="1">
      <alignment horizontal="right"/>
    </xf>
    <xf numFmtId="0" fontId="52" fillId="0" borderId="37" xfId="686" quotePrefix="1" applyNumberFormat="1" applyFont="1" applyBorder="1" applyAlignment="1">
      <alignment vertical="top" wrapText="1"/>
    </xf>
    <xf numFmtId="0" fontId="52" fillId="0" borderId="46" xfId="686" quotePrefix="1" applyNumberFormat="1" applyFont="1" applyBorder="1" applyAlignment="1">
      <alignment vertical="top" wrapText="1"/>
    </xf>
    <xf numFmtId="0" fontId="59" fillId="99" borderId="53" xfId="686" quotePrefix="1" applyNumberFormat="1" applyFont="1" applyFill="1" applyBorder="1" applyAlignment="1">
      <alignment vertical="center" wrapText="1"/>
    </xf>
    <xf numFmtId="170" fontId="56" fillId="113" borderId="0" xfId="686" applyFont="1" applyFill="1" applyAlignment="1">
      <alignment vertical="center"/>
    </xf>
    <xf numFmtId="0" fontId="52" fillId="113" borderId="1" xfId="686" applyNumberFormat="1" applyFont="1" applyFill="1" applyBorder="1" applyAlignment="1">
      <alignment horizontal="center" vertical="top" wrapText="1"/>
    </xf>
    <xf numFmtId="42" fontId="52" fillId="113" borderId="1" xfId="686" applyNumberFormat="1" applyFont="1" applyFill="1" applyBorder="1" applyAlignment="1">
      <alignment horizontal="center" vertical="center" wrapText="1"/>
    </xf>
    <xf numFmtId="49" fontId="35" fillId="0" borderId="102" xfId="0" applyNumberFormat="1" applyFont="1" applyBorder="1" applyAlignment="1">
      <alignment horizontal="center" vertical="center" wrapText="1" readingOrder="1"/>
    </xf>
    <xf numFmtId="0" fontId="57" fillId="2" borderId="62" xfId="686" applyNumberFormat="1" applyFont="1" applyFill="1" applyBorder="1" applyAlignment="1" applyProtection="1">
      <alignment horizontal="left" vertical="top" wrapText="1"/>
      <protection locked="0" hidden="1"/>
    </xf>
    <xf numFmtId="0" fontId="57" fillId="2" borderId="64" xfId="686" applyNumberFormat="1" applyFont="1" applyFill="1" applyBorder="1" applyAlignment="1" applyProtection="1">
      <alignment horizontal="left" vertical="top" wrapText="1"/>
      <protection hidden="1"/>
    </xf>
    <xf numFmtId="0" fontId="59" fillId="99" borderId="37" xfId="686" quotePrefix="1" applyNumberFormat="1" applyFont="1" applyFill="1" applyBorder="1" applyAlignment="1">
      <alignment vertical="center" wrapText="1"/>
    </xf>
    <xf numFmtId="0" fontId="55" fillId="0" borderId="0" xfId="686" applyNumberFormat="1" applyFont="1" applyAlignment="1">
      <alignment vertical="top" wrapText="1"/>
    </xf>
    <xf numFmtId="170" fontId="55" fillId="0" borderId="0" xfId="686" applyFont="1" applyAlignment="1">
      <alignment vertical="center" wrapText="1"/>
    </xf>
    <xf numFmtId="177" fontId="37" fillId="94" borderId="1" xfId="0" applyNumberFormat="1" applyFont="1" applyFill="1" applyBorder="1" applyAlignment="1">
      <alignment horizontal="center"/>
    </xf>
    <xf numFmtId="0" fontId="57" fillId="0" borderId="0" xfId="686" applyNumberFormat="1" applyFont="1" applyAlignment="1">
      <alignment horizontal="center" vertical="center" wrapText="1"/>
    </xf>
    <xf numFmtId="42" fontId="52" fillId="0" borderId="43" xfId="686" applyNumberFormat="1" applyFont="1" applyBorder="1" applyAlignment="1">
      <alignment vertical="center" wrapText="1"/>
    </xf>
    <xf numFmtId="42" fontId="52" fillId="0" borderId="44" xfId="686" applyNumberFormat="1" applyFont="1" applyBorder="1" applyAlignment="1">
      <alignment horizontal="center" vertical="center" wrapText="1"/>
    </xf>
    <xf numFmtId="42" fontId="52" fillId="0" borderId="44" xfId="686" applyNumberFormat="1" applyFont="1" applyBorder="1" applyAlignment="1">
      <alignment vertical="center" wrapText="1"/>
    </xf>
    <xf numFmtId="42" fontId="52" fillId="0" borderId="48" xfId="686" applyNumberFormat="1" applyFont="1" applyBorder="1" applyAlignment="1">
      <alignment horizontal="center" vertical="center" wrapText="1"/>
    </xf>
    <xf numFmtId="0" fontId="59" fillId="0" borderId="0" xfId="686" applyNumberFormat="1" applyFont="1" applyAlignment="1">
      <alignment vertical="center" wrapText="1"/>
    </xf>
    <xf numFmtId="42" fontId="59" fillId="0" borderId="0" xfId="686" applyNumberFormat="1" applyFont="1" applyAlignment="1">
      <alignment vertical="center"/>
    </xf>
    <xf numFmtId="42" fontId="61" fillId="0" borderId="0" xfId="686" applyNumberFormat="1" applyFont="1" applyAlignment="1">
      <alignment vertical="center" wrapText="1"/>
    </xf>
    <xf numFmtId="42" fontId="59" fillId="0" borderId="44" xfId="686" applyNumberFormat="1" applyFont="1" applyBorder="1" applyAlignment="1">
      <alignment vertical="center" wrapText="1"/>
    </xf>
    <xf numFmtId="0" fontId="55" fillId="0" borderId="0" xfId="686" quotePrefix="1" applyNumberFormat="1" applyFont="1" applyAlignment="1">
      <alignment vertical="center" wrapText="1"/>
    </xf>
    <xf numFmtId="0" fontId="52" fillId="0" borderId="0" xfId="686" applyNumberFormat="1" applyFont="1" applyAlignment="1">
      <alignment vertical="center" wrapText="1"/>
    </xf>
    <xf numFmtId="42" fontId="52" fillId="0" borderId="0" xfId="686" applyNumberFormat="1" applyFont="1" applyAlignment="1">
      <alignment vertical="center" wrapText="1"/>
    </xf>
    <xf numFmtId="0" fontId="56" fillId="0" borderId="0" xfId="686" quotePrefix="1" applyNumberFormat="1" applyFont="1" applyAlignment="1">
      <alignment vertical="center" wrapText="1"/>
    </xf>
    <xf numFmtId="0" fontId="52" fillId="0" borderId="35" xfId="686" applyNumberFormat="1" applyFont="1" applyBorder="1" applyAlignment="1">
      <alignment horizontal="center" vertical="top" wrapText="1"/>
    </xf>
    <xf numFmtId="42" fontId="52" fillId="0" borderId="35" xfId="686" applyNumberFormat="1" applyFont="1" applyBorder="1" applyAlignment="1">
      <alignment horizontal="center" vertical="center" wrapText="1"/>
    </xf>
    <xf numFmtId="0" fontId="52" fillId="0" borderId="1" xfId="686" applyNumberFormat="1" applyFont="1" applyBorder="1" applyAlignment="1">
      <alignment horizontal="center" vertical="top" wrapText="1"/>
    </xf>
    <xf numFmtId="42" fontId="52" fillId="0" borderId="1" xfId="686" applyNumberFormat="1" applyFont="1" applyBorder="1" applyAlignment="1">
      <alignment horizontal="center" vertical="center" wrapText="1"/>
    </xf>
    <xf numFmtId="0" fontId="57" fillId="2" borderId="66" xfId="686" applyNumberFormat="1" applyFont="1" applyFill="1" applyBorder="1" applyAlignment="1" applyProtection="1">
      <alignment horizontal="left" vertical="top" wrapText="1"/>
      <protection hidden="1"/>
    </xf>
    <xf numFmtId="15" fontId="0" fillId="0" borderId="0" xfId="0" applyNumberFormat="1"/>
    <xf numFmtId="41" fontId="39" fillId="0" borderId="1" xfId="687" applyFont="1" applyFill="1" applyBorder="1" applyAlignment="1">
      <alignment horizontal="center" vertical="center"/>
    </xf>
    <xf numFmtId="170" fontId="56" fillId="2" borderId="0" xfId="686" applyFont="1" applyFill="1" applyAlignment="1">
      <alignment vertical="center"/>
    </xf>
    <xf numFmtId="0" fontId="52" fillId="2" borderId="1" xfId="686" applyNumberFormat="1" applyFont="1" applyFill="1" applyBorder="1" applyAlignment="1">
      <alignment horizontal="center" vertical="top" wrapText="1"/>
    </xf>
    <xf numFmtId="42" fontId="52" fillId="2" borderId="1" xfId="686" applyNumberFormat="1" applyFont="1" applyFill="1" applyBorder="1" applyAlignment="1">
      <alignment horizontal="center" vertical="center" wrapText="1"/>
    </xf>
    <xf numFmtId="170" fontId="50" fillId="2" borderId="0" xfId="686" applyFont="1" applyFill="1" applyAlignment="1">
      <alignment vertical="center"/>
    </xf>
    <xf numFmtId="0" fontId="34" fillId="2" borderId="0" xfId="686" quotePrefix="1" applyNumberFormat="1" applyFont="1" applyFill="1" applyAlignment="1">
      <alignment horizontal="left" vertical="top" wrapText="1"/>
    </xf>
    <xf numFmtId="0" fontId="69" fillId="0" borderId="0" xfId="0" applyFont="1" applyAlignment="1">
      <alignment horizontal="left" vertical="center" wrapText="1"/>
    </xf>
    <xf numFmtId="0" fontId="95" fillId="0" borderId="0" xfId="0" applyFont="1"/>
    <xf numFmtId="180" fontId="1" fillId="0" borderId="0" xfId="686" applyNumberFormat="1" applyFont="1" applyAlignment="1">
      <alignment horizontal="center" vertical="center" wrapText="1"/>
    </xf>
    <xf numFmtId="0" fontId="1" fillId="0" borderId="0" xfId="686" applyNumberFormat="1" applyFont="1" applyAlignment="1">
      <alignment horizontal="center" vertical="center" wrapText="1"/>
    </xf>
    <xf numFmtId="0" fontId="1" fillId="0" borderId="0" xfId="686" applyNumberFormat="1" applyFont="1" applyAlignment="1">
      <alignment horizontal="left" vertical="center" wrapText="1"/>
    </xf>
    <xf numFmtId="0" fontId="57" fillId="0" borderId="0" xfId="686" quotePrefix="1" applyNumberFormat="1" applyFont="1" applyAlignment="1">
      <alignment horizontal="center" vertical="center" wrapText="1"/>
    </xf>
    <xf numFmtId="180" fontId="57" fillId="0" borderId="0" xfId="686" applyNumberFormat="1" applyFont="1" applyAlignment="1">
      <alignment horizontal="center" vertical="center" wrapText="1"/>
    </xf>
    <xf numFmtId="0" fontId="57" fillId="0" borderId="0" xfId="686" applyNumberFormat="1" applyFont="1" applyAlignment="1">
      <alignment horizontal="left" vertical="center" wrapText="1"/>
    </xf>
    <xf numFmtId="181" fontId="57" fillId="2" borderId="0" xfId="686" applyNumberFormat="1" applyFont="1" applyFill="1" applyAlignment="1">
      <alignment horizontal="center" vertical="center" wrapText="1"/>
    </xf>
    <xf numFmtId="0" fontId="57" fillId="2" borderId="0" xfId="686" applyNumberFormat="1" applyFont="1" applyFill="1" applyAlignment="1">
      <alignment horizontal="left" vertical="center" wrapText="1"/>
    </xf>
    <xf numFmtId="0" fontId="0" fillId="84" borderId="0" xfId="0" applyFill="1" applyAlignment="1">
      <alignment horizontal="center"/>
    </xf>
    <xf numFmtId="9" fontId="64" fillId="4" borderId="1" xfId="652" applyFont="1" applyFill="1" applyBorder="1" applyAlignment="1">
      <alignment horizontal="center"/>
    </xf>
    <xf numFmtId="9" fontId="64" fillId="4" borderId="1" xfId="652" quotePrefix="1" applyFont="1" applyFill="1" applyBorder="1" applyAlignment="1">
      <alignment horizontal="center" vertical="center" wrapText="1"/>
    </xf>
    <xf numFmtId="0" fontId="85" fillId="82" borderId="1" xfId="0" applyFont="1" applyFill="1" applyBorder="1" applyAlignment="1">
      <alignment horizontal="center" vertical="center" readingOrder="1"/>
    </xf>
    <xf numFmtId="0" fontId="96" fillId="114" borderId="1" xfId="0" applyFont="1" applyFill="1" applyBorder="1" applyAlignment="1">
      <alignment horizontal="center" vertical="center"/>
    </xf>
    <xf numFmtId="0" fontId="96" fillId="114" borderId="1" xfId="0" applyFont="1" applyFill="1" applyBorder="1" applyAlignment="1">
      <alignment horizontal="left" vertical="center" readingOrder="1"/>
    </xf>
    <xf numFmtId="0" fontId="96" fillId="114" borderId="36" xfId="0" applyFont="1" applyFill="1" applyBorder="1" applyAlignment="1">
      <alignment horizontal="center" vertical="center" readingOrder="1"/>
    </xf>
    <xf numFmtId="9" fontId="96" fillId="3" borderId="36" xfId="0" applyNumberFormat="1" applyFont="1" applyFill="1" applyBorder="1" applyAlignment="1">
      <alignment horizontal="center" vertical="center" readingOrder="1"/>
    </xf>
    <xf numFmtId="0" fontId="96" fillId="114" borderId="1" xfId="0" applyFont="1" applyFill="1" applyBorder="1" applyAlignment="1">
      <alignment horizontal="center" vertical="center" readingOrder="1"/>
    </xf>
    <xf numFmtId="0" fontId="97" fillId="114" borderId="1" xfId="0" quotePrefix="1" applyFont="1" applyFill="1" applyBorder="1" applyAlignment="1">
      <alignment vertical="center"/>
    </xf>
    <xf numFmtId="0" fontId="98" fillId="88" borderId="1" xfId="0" applyFont="1" applyFill="1" applyBorder="1" applyAlignment="1">
      <alignment horizontal="center" vertical="center" readingOrder="1"/>
    </xf>
    <xf numFmtId="0" fontId="99" fillId="83" borderId="1" xfId="686" applyNumberFormat="1" applyFont="1" applyFill="1" applyBorder="1" applyAlignment="1">
      <alignment horizontal="center" vertical="center" wrapText="1"/>
    </xf>
    <xf numFmtId="0" fontId="96" fillId="83" borderId="1" xfId="0" applyFont="1" applyFill="1" applyBorder="1" applyAlignment="1">
      <alignment horizontal="center" vertical="center" readingOrder="1"/>
    </xf>
    <xf numFmtId="0" fontId="99" fillId="83" borderId="1" xfId="686" quotePrefix="1" applyNumberFormat="1" applyFont="1" applyFill="1" applyBorder="1" applyAlignment="1">
      <alignment horizontal="left" vertical="center" wrapText="1"/>
    </xf>
    <xf numFmtId="0" fontId="99" fillId="3" borderId="1" xfId="686" quotePrefix="1" applyNumberFormat="1" applyFont="1" applyFill="1" applyBorder="1" applyAlignment="1">
      <alignment horizontal="center" vertical="center" wrapText="1"/>
    </xf>
    <xf numFmtId="0" fontId="97" fillId="83" borderId="1" xfId="0" applyFont="1" applyFill="1" applyBorder="1" applyAlignment="1">
      <alignment horizontal="center" vertical="center"/>
    </xf>
    <xf numFmtId="170" fontId="99" fillId="83" borderId="1" xfId="686" applyFont="1" applyFill="1" applyBorder="1" applyAlignment="1">
      <alignment vertical="center"/>
    </xf>
    <xf numFmtId="0" fontId="97" fillId="82" borderId="1" xfId="0" applyFont="1" applyFill="1" applyBorder="1" applyAlignment="1">
      <alignment horizontal="center" vertical="center"/>
    </xf>
    <xf numFmtId="9" fontId="97" fillId="82" borderId="1" xfId="652" applyFont="1" applyFill="1" applyBorder="1" applyAlignment="1">
      <alignment horizontal="center" vertical="center"/>
    </xf>
    <xf numFmtId="0" fontId="81" fillId="96" borderId="1" xfId="686" applyNumberFormat="1" applyFont="1" applyFill="1" applyBorder="1" applyAlignment="1">
      <alignment horizontal="center" vertical="center" wrapText="1"/>
    </xf>
    <xf numFmtId="0" fontId="102" fillId="96" borderId="1" xfId="686" applyNumberFormat="1" applyFont="1" applyFill="1" applyBorder="1" applyAlignment="1">
      <alignment horizontal="left" vertical="center" wrapText="1"/>
    </xf>
    <xf numFmtId="0" fontId="102" fillId="97" borderId="1" xfId="686" applyNumberFormat="1" applyFont="1" applyFill="1" applyBorder="1" applyAlignment="1">
      <alignment horizontal="center" vertical="center" wrapText="1"/>
    </xf>
    <xf numFmtId="0" fontId="102" fillId="96" borderId="1" xfId="686" applyNumberFormat="1" applyFont="1" applyFill="1" applyBorder="1" applyAlignment="1">
      <alignment horizontal="center" vertical="center" wrapText="1"/>
    </xf>
    <xf numFmtId="0" fontId="103" fillId="2" borderId="1" xfId="686" quotePrefix="1" applyNumberFormat="1" applyFont="1" applyFill="1" applyBorder="1" applyAlignment="1">
      <alignment horizontal="left" vertical="center" wrapText="1"/>
    </xf>
    <xf numFmtId="14" fontId="103" fillId="2" borderId="1" xfId="686" applyNumberFormat="1" applyFont="1" applyFill="1" applyBorder="1" applyAlignment="1">
      <alignment horizontal="center" vertical="center" wrapText="1"/>
    </xf>
    <xf numFmtId="0" fontId="103" fillId="2" borderId="1" xfId="686" applyNumberFormat="1" applyFont="1" applyFill="1" applyBorder="1" applyAlignment="1">
      <alignment horizontal="center" vertical="center" wrapText="1"/>
    </xf>
    <xf numFmtId="15" fontId="103" fillId="2" borderId="1" xfId="686" applyNumberFormat="1" applyFont="1" applyFill="1" applyBorder="1" applyAlignment="1">
      <alignment horizontal="center" vertical="center" wrapText="1"/>
    </xf>
    <xf numFmtId="170" fontId="103" fillId="0" borderId="1" xfId="686" applyFont="1" applyBorder="1" applyAlignment="1">
      <alignment vertical="center"/>
    </xf>
    <xf numFmtId="181" fontId="103" fillId="2" borderId="1" xfId="686" applyNumberFormat="1" applyFont="1" applyFill="1" applyBorder="1" applyAlignment="1">
      <alignment horizontal="center" vertical="center" wrapText="1"/>
    </xf>
    <xf numFmtId="0" fontId="104" fillId="0" borderId="1" xfId="0" applyFont="1" applyBorder="1" applyAlignment="1">
      <alignment horizontal="center"/>
    </xf>
    <xf numFmtId="9" fontId="104" fillId="0" borderId="1" xfId="652" applyFont="1" applyBorder="1" applyAlignment="1">
      <alignment horizontal="center"/>
    </xf>
    <xf numFmtId="0" fontId="105" fillId="94" borderId="1" xfId="0" applyFont="1" applyFill="1" applyBorder="1" applyAlignment="1">
      <alignment horizontal="center"/>
    </xf>
    <xf numFmtId="0" fontId="104" fillId="0" borderId="1" xfId="0" applyFont="1" applyBorder="1" applyAlignment="1">
      <alignment horizontal="left"/>
    </xf>
    <xf numFmtId="9" fontId="106" fillId="4" borderId="1" xfId="652" applyFont="1" applyFill="1" applyBorder="1" applyAlignment="1">
      <alignment horizontal="center"/>
    </xf>
    <xf numFmtId="9" fontId="104" fillId="84" borderId="1" xfId="652" applyFont="1" applyFill="1" applyBorder="1" applyAlignment="1">
      <alignment horizontal="center"/>
    </xf>
    <xf numFmtId="9" fontId="104" fillId="3" borderId="1" xfId="652" applyFont="1" applyFill="1" applyBorder="1" applyAlignment="1">
      <alignment horizontal="center"/>
    </xf>
    <xf numFmtId="170" fontId="50" fillId="0" borderId="74" xfId="686" applyFont="1" applyBorder="1" applyAlignment="1">
      <alignment vertical="center"/>
    </xf>
    <xf numFmtId="169" fontId="34" fillId="0" borderId="74" xfId="686" applyNumberFormat="1" applyFont="1" applyBorder="1" applyAlignment="1">
      <alignment horizontal="left" vertical="top" wrapText="1"/>
    </xf>
    <xf numFmtId="169" fontId="34" fillId="0" borderId="75" xfId="686" applyNumberFormat="1" applyFont="1" applyBorder="1" applyAlignment="1">
      <alignment horizontal="left" vertical="top" wrapText="1"/>
    </xf>
    <xf numFmtId="169" fontId="34" fillId="0" borderId="73" xfId="686" quotePrefix="1" applyNumberFormat="1" applyFont="1" applyBorder="1" applyAlignment="1">
      <alignment horizontal="left" vertical="top" wrapText="1"/>
    </xf>
    <xf numFmtId="0" fontId="52" fillId="0" borderId="1" xfId="686" applyNumberFormat="1" applyFont="1" applyBorder="1" applyAlignment="1">
      <alignment horizontal="center" vertical="center" wrapText="1"/>
    </xf>
    <xf numFmtId="0" fontId="0" fillId="0" borderId="0" xfId="0" applyAlignment="1">
      <alignment wrapText="1"/>
    </xf>
    <xf numFmtId="0" fontId="108" fillId="96" borderId="1" xfId="686" applyNumberFormat="1" applyFont="1" applyFill="1" applyBorder="1" applyAlignment="1">
      <alignment horizontal="left" vertical="center" wrapText="1"/>
    </xf>
    <xf numFmtId="0" fontId="108" fillId="97" borderId="1" xfId="686" applyNumberFormat="1" applyFont="1" applyFill="1" applyBorder="1" applyAlignment="1">
      <alignment horizontal="center" vertical="center" wrapText="1"/>
    </xf>
    <xf numFmtId="184" fontId="108" fillId="96" borderId="1" xfId="686" applyNumberFormat="1" applyFont="1" applyFill="1" applyBorder="1" applyAlignment="1">
      <alignment horizontal="center" vertical="center" wrapText="1"/>
    </xf>
    <xf numFmtId="0" fontId="108" fillId="96" borderId="1" xfId="686" applyNumberFormat="1" applyFont="1" applyFill="1" applyBorder="1" applyAlignment="1">
      <alignment horizontal="center" vertical="center" wrapText="1"/>
    </xf>
    <xf numFmtId="184" fontId="103" fillId="2" borderId="1" xfId="686" quotePrefix="1" applyNumberFormat="1" applyFont="1" applyFill="1" applyBorder="1" applyAlignment="1">
      <alignment horizontal="center" vertical="center" wrapText="1"/>
    </xf>
    <xf numFmtId="0" fontId="103" fillId="2" borderId="1" xfId="686" applyNumberFormat="1" applyFont="1" applyFill="1" applyBorder="1" applyAlignment="1">
      <alignment horizontal="left" vertical="center" wrapText="1"/>
    </xf>
    <xf numFmtId="184" fontId="103" fillId="2" borderId="1" xfId="686" applyNumberFormat="1" applyFont="1" applyFill="1" applyBorder="1" applyAlignment="1">
      <alignment horizontal="center" vertical="center" wrapText="1"/>
    </xf>
    <xf numFmtId="0" fontId="103" fillId="3" borderId="1" xfId="686" quotePrefix="1" applyNumberFormat="1" applyFont="1" applyFill="1" applyBorder="1" applyAlignment="1">
      <alignment horizontal="left" vertical="center" wrapText="1"/>
    </xf>
    <xf numFmtId="0" fontId="56" fillId="0" borderId="39" xfId="686" quotePrefix="1" applyNumberFormat="1" applyFont="1" applyBorder="1" applyAlignment="1">
      <alignment horizontal="center" vertical="center" wrapText="1"/>
    </xf>
    <xf numFmtId="0" fontId="56" fillId="0" borderId="39" xfId="686" quotePrefix="1" applyNumberFormat="1" applyFont="1" applyBorder="1" applyAlignment="1">
      <alignment horizontal="center" vertical="top" wrapText="1"/>
    </xf>
    <xf numFmtId="0" fontId="57" fillId="2" borderId="74" xfId="686" quotePrefix="1" applyNumberFormat="1" applyFont="1" applyFill="1" applyBorder="1" applyAlignment="1">
      <alignment horizontal="left" vertical="top" wrapText="1"/>
    </xf>
    <xf numFmtId="169" fontId="1" fillId="98" borderId="1" xfId="688" applyNumberFormat="1" applyFill="1" applyBorder="1" applyAlignment="1">
      <alignment horizontal="center"/>
    </xf>
    <xf numFmtId="0" fontId="109" fillId="0" borderId="0" xfId="0" applyFont="1"/>
    <xf numFmtId="0" fontId="57" fillId="2" borderId="120" xfId="686" applyNumberFormat="1" applyFont="1" applyFill="1" applyBorder="1" applyAlignment="1">
      <alignment horizontal="center" vertical="center" wrapText="1"/>
    </xf>
    <xf numFmtId="0" fontId="56" fillId="0" borderId="56" xfId="686" quotePrefix="1" applyNumberFormat="1" applyFont="1" applyBorder="1" applyAlignment="1">
      <alignment horizontal="center" vertical="top" wrapText="1"/>
    </xf>
    <xf numFmtId="0" fontId="52" fillId="0" borderId="36" xfId="686" applyNumberFormat="1" applyFont="1" applyBorder="1" applyAlignment="1">
      <alignment horizontal="center" vertical="top" wrapText="1"/>
    </xf>
    <xf numFmtId="42" fontId="52" fillId="0" borderId="36" xfId="686" applyNumberFormat="1" applyFont="1" applyBorder="1" applyAlignment="1">
      <alignment horizontal="center" vertical="center" wrapText="1"/>
    </xf>
    <xf numFmtId="0" fontId="52" fillId="0" borderId="74" xfId="686" applyNumberFormat="1" applyFont="1" applyBorder="1" applyAlignment="1">
      <alignment horizontal="center" vertical="top" wrapText="1"/>
    </xf>
    <xf numFmtId="42" fontId="52" fillId="0" borderId="74" xfId="686" applyNumberFormat="1" applyFont="1" applyBorder="1" applyAlignment="1">
      <alignment horizontal="center" vertical="center" wrapText="1"/>
    </xf>
    <xf numFmtId="0" fontId="56" fillId="0" borderId="135" xfId="686" quotePrefix="1" applyNumberFormat="1" applyFont="1" applyBorder="1" applyAlignment="1">
      <alignment horizontal="center" vertical="top" wrapText="1"/>
    </xf>
    <xf numFmtId="170" fontId="56" fillId="0" borderId="71" xfId="686" applyFont="1" applyBorder="1" applyAlignment="1">
      <alignment vertical="center"/>
    </xf>
    <xf numFmtId="0" fontId="57" fillId="2" borderId="120" xfId="686" quotePrefix="1" applyNumberFormat="1" applyFont="1" applyFill="1" applyBorder="1" applyAlignment="1">
      <alignment horizontal="left" vertical="center" wrapText="1"/>
    </xf>
    <xf numFmtId="0" fontId="57" fillId="2" borderId="120" xfId="686" quotePrefix="1" applyNumberFormat="1" applyFont="1" applyFill="1" applyBorder="1" applyAlignment="1">
      <alignment horizontal="center" vertical="center" wrapText="1"/>
    </xf>
    <xf numFmtId="0" fontId="52" fillId="96" borderId="56" xfId="686" applyNumberFormat="1" applyFont="1" applyFill="1" applyBorder="1" applyAlignment="1">
      <alignment horizontal="center" vertical="center" wrapText="1"/>
    </xf>
    <xf numFmtId="0" fontId="56" fillId="0" borderId="136" xfId="686" quotePrefix="1" applyNumberFormat="1" applyFont="1" applyBorder="1" applyAlignment="1">
      <alignment horizontal="center" vertical="top" wrapText="1"/>
    </xf>
    <xf numFmtId="0" fontId="52" fillId="0" borderId="83" xfId="686" applyNumberFormat="1" applyFont="1" applyBorder="1" applyAlignment="1">
      <alignment horizontal="center" vertical="top" wrapText="1"/>
    </xf>
    <xf numFmtId="42" fontId="52" fillId="0" borderId="83" xfId="686" applyNumberFormat="1" applyFont="1" applyBorder="1" applyAlignment="1">
      <alignment horizontal="center" vertical="center" wrapText="1"/>
    </xf>
    <xf numFmtId="170" fontId="52" fillId="96" borderId="39" xfId="686" applyFont="1" applyFill="1" applyBorder="1" applyAlignment="1">
      <alignment vertical="center"/>
    </xf>
    <xf numFmtId="170" fontId="52" fillId="96" borderId="39" xfId="686" applyFont="1" applyFill="1" applyBorder="1" applyAlignment="1">
      <alignment horizontal="center" vertical="center" wrapText="1"/>
    </xf>
    <xf numFmtId="0" fontId="56" fillId="0" borderId="57" xfId="686" quotePrefix="1" applyNumberFormat="1" applyFont="1" applyBorder="1" applyAlignment="1">
      <alignment horizontal="center" vertical="top" wrapText="1"/>
    </xf>
    <xf numFmtId="0" fontId="56" fillId="113" borderId="39" xfId="686" quotePrefix="1" applyNumberFormat="1" applyFont="1" applyFill="1" applyBorder="1" applyAlignment="1">
      <alignment horizontal="center" vertical="top" wrapText="1"/>
    </xf>
    <xf numFmtId="0" fontId="56" fillId="2" borderId="39" xfId="686" quotePrefix="1" applyNumberFormat="1" applyFont="1" applyFill="1" applyBorder="1" applyAlignment="1">
      <alignment horizontal="center" vertical="top" wrapText="1"/>
    </xf>
    <xf numFmtId="0" fontId="52" fillId="96" borderId="110" xfId="686" applyNumberFormat="1" applyFont="1" applyFill="1" applyBorder="1" applyAlignment="1">
      <alignment horizontal="center" vertical="center" wrapText="1"/>
    </xf>
    <xf numFmtId="0" fontId="52" fillId="96" borderId="110" xfId="686" applyNumberFormat="1" applyFont="1" applyFill="1" applyBorder="1" applyAlignment="1">
      <alignment vertical="center" wrapText="1"/>
    </xf>
    <xf numFmtId="0" fontId="52" fillId="96" borderId="109" xfId="686" applyNumberFormat="1" applyFont="1" applyFill="1" applyBorder="1" applyAlignment="1">
      <alignment vertical="center" wrapText="1"/>
    </xf>
    <xf numFmtId="0" fontId="52" fillId="96" borderId="111" xfId="686" applyNumberFormat="1" applyFont="1" applyFill="1" applyBorder="1" applyAlignment="1">
      <alignment vertical="center" wrapText="1"/>
    </xf>
    <xf numFmtId="0" fontId="52" fillId="96" borderId="142" xfId="686" applyNumberFormat="1" applyFont="1" applyFill="1" applyBorder="1" applyAlignment="1">
      <alignment horizontal="center" vertical="center" wrapText="1"/>
    </xf>
    <xf numFmtId="0" fontId="52" fillId="96" borderId="95" xfId="686" applyNumberFormat="1" applyFont="1" applyFill="1" applyBorder="1" applyAlignment="1">
      <alignment horizontal="center" vertical="center" wrapText="1"/>
    </xf>
    <xf numFmtId="0" fontId="52" fillId="96" borderId="143" xfId="686" applyNumberFormat="1" applyFont="1" applyFill="1" applyBorder="1" applyAlignment="1">
      <alignment horizontal="center" vertical="center" wrapText="1"/>
    </xf>
    <xf numFmtId="0" fontId="53" fillId="0" borderId="0" xfId="686" applyNumberFormat="1" applyFont="1" applyAlignment="1">
      <alignment horizontal="center" vertical="center"/>
    </xf>
    <xf numFmtId="0" fontId="30" fillId="0" borderId="1" xfId="0" applyFont="1" applyBorder="1" applyAlignment="1">
      <alignment horizontal="center" vertical="center"/>
    </xf>
    <xf numFmtId="0" fontId="109" fillId="0" borderId="0" xfId="0" applyFont="1" applyAlignment="1">
      <alignment horizontal="center" vertical="center"/>
    </xf>
    <xf numFmtId="0" fontId="30" fillId="0" borderId="0" xfId="0" applyFont="1" applyAlignment="1">
      <alignment horizontal="left" vertical="top"/>
    </xf>
    <xf numFmtId="169" fontId="50" fillId="0" borderId="2" xfId="686" applyNumberFormat="1" applyFont="1" applyBorder="1" applyAlignment="1">
      <alignment horizontal="center" vertical="center"/>
    </xf>
    <xf numFmtId="169" fontId="50" fillId="0" borderId="0" xfId="686" applyNumberFormat="1" applyFont="1" applyAlignment="1">
      <alignment horizontal="center" vertical="center"/>
    </xf>
    <xf numFmtId="169" fontId="53" fillId="0" borderId="0" xfId="686" applyNumberFormat="1" applyFont="1" applyAlignment="1">
      <alignment horizontal="center"/>
    </xf>
    <xf numFmtId="169" fontId="52" fillId="96" borderId="110" xfId="686" applyNumberFormat="1" applyFont="1" applyFill="1" applyBorder="1" applyAlignment="1">
      <alignment vertical="center" wrapText="1"/>
    </xf>
    <xf numFmtId="169" fontId="52" fillId="96" borderId="52" xfId="686" applyNumberFormat="1" applyFont="1" applyFill="1" applyBorder="1" applyAlignment="1">
      <alignment horizontal="center" vertical="center" wrapText="1"/>
    </xf>
    <xf numFmtId="169" fontId="34" fillId="2" borderId="0" xfId="686" quotePrefix="1" applyNumberFormat="1" applyFont="1" applyFill="1" applyAlignment="1">
      <alignment horizontal="center" vertical="center" wrapText="1"/>
    </xf>
    <xf numFmtId="169" fontId="69" fillId="0" borderId="0" xfId="0" applyNumberFormat="1" applyFont="1" applyAlignment="1">
      <alignment horizontal="center" vertical="center" wrapText="1"/>
    </xf>
    <xf numFmtId="0" fontId="0" fillId="3" borderId="1" xfId="0" applyFill="1" applyBorder="1" applyAlignment="1">
      <alignment horizontal="center" vertical="center"/>
    </xf>
    <xf numFmtId="0" fontId="30" fillId="0" borderId="0" xfId="0" applyFont="1" applyAlignment="1">
      <alignment vertical="center"/>
    </xf>
    <xf numFmtId="0" fontId="30" fillId="0" borderId="0" xfId="0" applyFont="1" applyAlignment="1">
      <alignment horizontal="left"/>
    </xf>
    <xf numFmtId="0" fontId="57" fillId="2" borderId="62" xfId="686" applyNumberFormat="1" applyFont="1" applyFill="1" applyBorder="1" applyAlignment="1" applyProtection="1">
      <alignment horizontal="left" vertical="top" wrapText="1"/>
      <protection hidden="1"/>
    </xf>
    <xf numFmtId="0" fontId="57" fillId="2" borderId="74" xfId="686" applyNumberFormat="1" applyFont="1" applyFill="1" applyBorder="1" applyAlignment="1" applyProtection="1">
      <alignment horizontal="left" vertical="top" wrapText="1"/>
      <protection hidden="1"/>
    </xf>
    <xf numFmtId="0" fontId="110" fillId="3" borderId="0" xfId="0" applyFont="1" applyFill="1" applyAlignment="1">
      <alignment horizontal="center"/>
    </xf>
    <xf numFmtId="0" fontId="111" fillId="0" borderId="104" xfId="0" applyFont="1" applyBorder="1" applyAlignment="1">
      <alignment horizontal="left" vertical="center" wrapText="1" readingOrder="1"/>
    </xf>
    <xf numFmtId="0" fontId="111" fillId="0" borderId="1" xfId="0" applyFont="1" applyBorder="1" applyAlignment="1">
      <alignment horizontal="left" vertical="center" readingOrder="1"/>
    </xf>
    <xf numFmtId="0" fontId="112" fillId="0" borderId="1" xfId="0" applyFont="1" applyBorder="1" applyAlignment="1">
      <alignment vertical="center"/>
    </xf>
    <xf numFmtId="0" fontId="111" fillId="0" borderId="104" xfId="0" applyFont="1" applyBorder="1" applyAlignment="1">
      <alignment horizontal="center" vertical="center" wrapText="1" readingOrder="1"/>
    </xf>
    <xf numFmtId="0" fontId="92" fillId="0" borderId="0" xfId="0" applyFont="1"/>
    <xf numFmtId="0" fontId="113" fillId="108" borderId="103" xfId="0" applyFont="1" applyFill="1" applyBorder="1" applyAlignment="1">
      <alignment horizontal="center" vertical="center" wrapText="1" readingOrder="1"/>
    </xf>
    <xf numFmtId="0" fontId="111" fillId="0" borderId="101" xfId="0" applyFont="1" applyBorder="1" applyAlignment="1">
      <alignment wrapText="1" readingOrder="1"/>
    </xf>
    <xf numFmtId="0" fontId="111" fillId="0" borderId="107" xfId="0" applyFont="1" applyBorder="1" applyAlignment="1">
      <alignment wrapText="1" readingOrder="1"/>
    </xf>
    <xf numFmtId="0" fontId="111" fillId="0" borderId="106" xfId="0" applyFont="1" applyBorder="1" applyAlignment="1">
      <alignment wrapText="1" readingOrder="1"/>
    </xf>
    <xf numFmtId="0" fontId="111" fillId="0" borderId="104" xfId="0" quotePrefix="1" applyFont="1" applyBorder="1" applyAlignment="1">
      <alignment horizontal="center" vertical="center" wrapText="1" readingOrder="1"/>
    </xf>
    <xf numFmtId="0" fontId="111" fillId="0" borderId="105" xfId="0" applyFont="1" applyBorder="1" applyAlignment="1">
      <alignment horizontal="center" vertical="center" wrapText="1" readingOrder="1"/>
    </xf>
    <xf numFmtId="0" fontId="38" fillId="0" borderId="0" xfId="0" applyFont="1" applyAlignment="1">
      <alignment horizontal="center"/>
    </xf>
    <xf numFmtId="0" fontId="0" fillId="0" borderId="57" xfId="0" applyBorder="1"/>
    <xf numFmtId="0" fontId="0" fillId="0" borderId="35" xfId="0" applyBorder="1"/>
    <xf numFmtId="9" fontId="0" fillId="0" borderId="35" xfId="652" applyFont="1" applyBorder="1" applyAlignment="1">
      <alignment horizontal="center"/>
    </xf>
    <xf numFmtId="0" fontId="0" fillId="0" borderId="93" xfId="0" applyBorder="1" applyAlignment="1">
      <alignment horizontal="center"/>
    </xf>
    <xf numFmtId="0" fontId="0" fillId="0" borderId="52" xfId="0" applyBorder="1" applyAlignment="1">
      <alignment horizontal="center"/>
    </xf>
    <xf numFmtId="0" fontId="38" fillId="86" borderId="1" xfId="0" applyFont="1" applyFill="1" applyBorder="1" applyAlignment="1">
      <alignment horizontal="center"/>
    </xf>
    <xf numFmtId="0" fontId="0" fillId="0" borderId="57" xfId="0" applyBorder="1" applyAlignment="1">
      <alignment horizontal="center"/>
    </xf>
    <xf numFmtId="0" fontId="0" fillId="0" borderId="35" xfId="0" applyBorder="1" applyAlignment="1">
      <alignment horizontal="center"/>
    </xf>
    <xf numFmtId="0" fontId="0" fillId="0" borderId="56" xfId="0" applyBorder="1" applyAlignment="1">
      <alignment horizontal="center"/>
    </xf>
    <xf numFmtId="0" fontId="0" fillId="0" borderId="36" xfId="0" applyBorder="1" applyAlignment="1">
      <alignment horizontal="center"/>
    </xf>
    <xf numFmtId="9" fontId="0" fillId="0" borderId="57" xfId="652" applyFont="1" applyBorder="1" applyAlignment="1">
      <alignment horizontal="center"/>
    </xf>
    <xf numFmtId="0" fontId="38" fillId="86" borderId="39" xfId="0" applyFont="1" applyFill="1" applyBorder="1" applyAlignment="1">
      <alignment horizontal="center"/>
    </xf>
    <xf numFmtId="0" fontId="78" fillId="0" borderId="0" xfId="0" applyFont="1" applyAlignment="1">
      <alignment horizontal="center" vertical="center" wrapText="1" readingOrder="1"/>
    </xf>
    <xf numFmtId="0" fontId="78" fillId="0" borderId="0" xfId="0" applyFont="1" applyAlignment="1">
      <alignment horizontal="left" vertical="center" wrapText="1" readingOrder="1"/>
    </xf>
    <xf numFmtId="9" fontId="0" fillId="0" borderId="1" xfId="652" applyFont="1" applyBorder="1" applyAlignment="1">
      <alignment horizontal="center"/>
    </xf>
    <xf numFmtId="0" fontId="38" fillId="0" borderId="0" xfId="652" applyNumberFormat="1" applyFont="1" applyBorder="1" applyAlignment="1">
      <alignment horizontal="center"/>
    </xf>
    <xf numFmtId="0" fontId="65" fillId="0" borderId="1" xfId="0" applyFont="1" applyBorder="1" applyAlignment="1">
      <alignment horizontal="center"/>
    </xf>
    <xf numFmtId="0" fontId="65" fillId="0" borderId="1" xfId="652" applyNumberFormat="1" applyFont="1" applyBorder="1" applyAlignment="1">
      <alignment horizontal="center"/>
    </xf>
    <xf numFmtId="0" fontId="109" fillId="83" borderId="1" xfId="0" applyFont="1" applyFill="1" applyBorder="1" applyAlignment="1">
      <alignment horizontal="center" vertical="center"/>
    </xf>
    <xf numFmtId="0" fontId="109" fillId="0" borderId="1" xfId="0" applyFont="1" applyBorder="1" applyAlignment="1">
      <alignment horizontal="center" vertical="center"/>
    </xf>
    <xf numFmtId="0" fontId="109" fillId="0" borderId="38" xfId="0" applyFont="1" applyBorder="1" applyAlignment="1">
      <alignment horizontal="center" vertical="center"/>
    </xf>
    <xf numFmtId="9" fontId="0" fillId="0" borderId="52" xfId="652" applyFont="1" applyFill="1" applyBorder="1" applyAlignment="1">
      <alignment horizontal="center"/>
    </xf>
    <xf numFmtId="0" fontId="35" fillId="0" borderId="104" xfId="0" applyFont="1" applyBorder="1" applyAlignment="1">
      <alignment horizontal="center" vertical="center" wrapText="1" readingOrder="1"/>
    </xf>
    <xf numFmtId="0" fontId="35" fillId="0" borderId="104" xfId="0" quotePrefix="1" applyFont="1" applyBorder="1" applyAlignment="1">
      <alignment horizontal="center" vertical="center" wrapText="1" readingOrder="1"/>
    </xf>
    <xf numFmtId="0" fontId="35" fillId="0" borderId="105" xfId="0" applyFont="1" applyBorder="1" applyAlignment="1">
      <alignment horizontal="center" vertical="center" wrapText="1" readingOrder="1"/>
    </xf>
    <xf numFmtId="0" fontId="37" fillId="0" borderId="0" xfId="0" applyFont="1"/>
    <xf numFmtId="164" fontId="34" fillId="0" borderId="1" xfId="1" quotePrefix="1" applyNumberFormat="1" applyFont="1" applyBorder="1" applyAlignment="1">
      <alignment horizontal="left" vertical="center" wrapText="1"/>
    </xf>
    <xf numFmtId="1" fontId="73" fillId="107" borderId="116" xfId="1" applyNumberFormat="1" applyFont="1" applyFill="1" applyBorder="1" applyAlignment="1">
      <alignment horizontal="center" vertical="center" wrapText="1"/>
    </xf>
    <xf numFmtId="1" fontId="73" fillId="107" borderId="117" xfId="1" applyNumberFormat="1" applyFont="1" applyFill="1" applyBorder="1" applyAlignment="1">
      <alignment horizontal="center" vertical="center" wrapText="1"/>
    </xf>
    <xf numFmtId="0" fontId="73" fillId="107" borderId="117" xfId="1" applyFont="1" applyFill="1" applyBorder="1" applyAlignment="1">
      <alignment horizontal="center" vertical="center" wrapText="1"/>
    </xf>
    <xf numFmtId="169" fontId="73" fillId="107" borderId="117" xfId="1" applyNumberFormat="1" applyFont="1" applyFill="1" applyBorder="1" applyAlignment="1">
      <alignment horizontal="center" vertical="center" wrapText="1"/>
    </xf>
    <xf numFmtId="0" fontId="114" fillId="0" borderId="35" xfId="0" applyFont="1" applyBorder="1" applyAlignment="1">
      <alignment horizontal="center" vertical="center"/>
    </xf>
    <xf numFmtId="0" fontId="1" fillId="2" borderId="35" xfId="689" applyFill="1" applyBorder="1" applyAlignment="1">
      <alignment horizontal="center" vertical="center"/>
    </xf>
    <xf numFmtId="17" fontId="114" fillId="0" borderId="35" xfId="0" applyNumberFormat="1" applyFont="1" applyBorder="1" applyAlignment="1">
      <alignment horizontal="center" vertical="center"/>
    </xf>
    <xf numFmtId="169" fontId="114" fillId="0" borderId="35" xfId="0" applyNumberFormat="1" applyFont="1" applyBorder="1" applyAlignment="1">
      <alignment horizontal="center" vertical="center"/>
    </xf>
    <xf numFmtId="0" fontId="1" fillId="0" borderId="35" xfId="689" applyBorder="1" applyAlignment="1">
      <alignment horizontal="center" vertical="center"/>
    </xf>
    <xf numFmtId="0" fontId="114" fillId="0" borderId="35" xfId="0" applyFont="1" applyBorder="1" applyAlignment="1">
      <alignment horizontal="left" vertical="center"/>
    </xf>
    <xf numFmtId="0" fontId="114" fillId="0" borderId="35" xfId="0" applyFont="1" applyBorder="1" applyAlignment="1">
      <alignment vertical="center"/>
    </xf>
    <xf numFmtId="0" fontId="114" fillId="0" borderId="35" xfId="0" quotePrefix="1" applyFont="1" applyBorder="1" applyAlignment="1">
      <alignment horizontal="left" vertical="center" wrapText="1"/>
    </xf>
    <xf numFmtId="0" fontId="114" fillId="0" borderId="1" xfId="0" applyFont="1" applyBorder="1" applyAlignment="1">
      <alignment horizontal="center" vertical="center"/>
    </xf>
    <xf numFmtId="0" fontId="1" fillId="2" borderId="1" xfId="689" applyFill="1" applyBorder="1" applyAlignment="1">
      <alignment horizontal="center" vertical="center"/>
    </xf>
    <xf numFmtId="17" fontId="114" fillId="0" borderId="1" xfId="0" applyNumberFormat="1" applyFont="1" applyBorder="1" applyAlignment="1">
      <alignment horizontal="center" vertical="center"/>
    </xf>
    <xf numFmtId="169" fontId="114" fillId="0" borderId="1" xfId="0" applyNumberFormat="1" applyFont="1" applyBorder="1" applyAlignment="1">
      <alignment horizontal="center" vertical="center"/>
    </xf>
    <xf numFmtId="0" fontId="114" fillId="0" borderId="1" xfId="0" applyFont="1" applyBorder="1" applyAlignment="1">
      <alignment horizontal="left" vertical="center"/>
    </xf>
    <xf numFmtId="0" fontId="114" fillId="0" borderId="1" xfId="0" applyFont="1" applyBorder="1" applyAlignment="1">
      <alignment vertical="center"/>
    </xf>
    <xf numFmtId="0" fontId="114" fillId="0" borderId="1" xfId="0" quotePrefix="1" applyFont="1" applyBorder="1" applyAlignment="1">
      <alignment horizontal="left" vertical="center" wrapText="1"/>
    </xf>
    <xf numFmtId="0" fontId="114" fillId="0" borderId="1" xfId="0" applyFont="1" applyBorder="1" applyAlignment="1">
      <alignment horizontal="left" vertical="center" wrapText="1"/>
    </xf>
    <xf numFmtId="15" fontId="114" fillId="0" borderId="1" xfId="0" applyNumberFormat="1" applyFont="1" applyBorder="1" applyAlignment="1">
      <alignment horizontal="center" vertical="center"/>
    </xf>
    <xf numFmtId="0" fontId="114" fillId="0" borderId="36" xfId="0" applyFont="1" applyBorder="1" applyAlignment="1">
      <alignment horizontal="center" vertical="center"/>
    </xf>
    <xf numFmtId="0" fontId="114" fillId="0" borderId="36" xfId="0" applyFont="1" applyBorder="1" applyAlignment="1">
      <alignment vertical="center"/>
    </xf>
    <xf numFmtId="0" fontId="1" fillId="0" borderId="1" xfId="689" applyBorder="1" applyAlignment="1">
      <alignment horizontal="center" vertical="center"/>
    </xf>
    <xf numFmtId="15" fontId="114" fillId="0" borderId="1" xfId="0" applyNumberFormat="1" applyFont="1" applyBorder="1" applyAlignment="1">
      <alignment horizontal="left" vertical="center"/>
    </xf>
    <xf numFmtId="0" fontId="114" fillId="0" borderId="0" xfId="0" applyFont="1" applyAlignment="1">
      <alignment horizontal="left" vertical="center"/>
    </xf>
    <xf numFmtId="0" fontId="114" fillId="0" borderId="1" xfId="0" quotePrefix="1" applyFont="1" applyBorder="1" applyAlignment="1">
      <alignment horizontal="left" vertical="center"/>
    </xf>
    <xf numFmtId="0" fontId="114" fillId="2" borderId="1" xfId="0" applyFont="1" applyFill="1" applyBorder="1" applyAlignment="1">
      <alignment horizontal="left" vertical="center"/>
    </xf>
    <xf numFmtId="0" fontId="114" fillId="2" borderId="1" xfId="0" applyFont="1" applyFill="1" applyBorder="1" applyAlignment="1">
      <alignment horizontal="left" vertical="center" wrapText="1"/>
    </xf>
    <xf numFmtId="15" fontId="114" fillId="2" borderId="1" xfId="0" applyNumberFormat="1" applyFont="1" applyFill="1" applyBorder="1" applyAlignment="1">
      <alignment horizontal="center" vertical="center"/>
    </xf>
    <xf numFmtId="0" fontId="73" fillId="107" borderId="1" xfId="1" applyFont="1" applyFill="1" applyBorder="1" applyAlignment="1">
      <alignment horizontal="center" vertical="center" wrapText="1"/>
    </xf>
    <xf numFmtId="0" fontId="73" fillId="107" borderId="52" xfId="1" applyFont="1" applyFill="1" applyBorder="1" applyAlignment="1">
      <alignment horizontal="center" vertical="center" wrapText="1"/>
    </xf>
    <xf numFmtId="0" fontId="38" fillId="0" borderId="1" xfId="0" applyFont="1" applyBorder="1" applyAlignment="1">
      <alignment horizontal="center"/>
    </xf>
    <xf numFmtId="15" fontId="57" fillId="2" borderId="62" xfId="686" applyNumberFormat="1" applyFont="1" applyFill="1" applyBorder="1" applyAlignment="1" applyProtection="1">
      <alignment horizontal="left" vertical="top" wrapText="1"/>
      <protection hidden="1"/>
    </xf>
    <xf numFmtId="15" fontId="57" fillId="2" borderId="74" xfId="686" applyNumberFormat="1" applyFont="1" applyFill="1" applyBorder="1" applyAlignment="1" applyProtection="1">
      <alignment horizontal="left" vertical="top" wrapText="1"/>
      <protection hidden="1"/>
    </xf>
    <xf numFmtId="15" fontId="57" fillId="2" borderId="66" xfId="686" applyNumberFormat="1" applyFont="1" applyFill="1" applyBorder="1" applyAlignment="1" applyProtection="1">
      <alignment horizontal="left" vertical="top" wrapText="1"/>
      <protection hidden="1"/>
    </xf>
    <xf numFmtId="185" fontId="34" fillId="2" borderId="1" xfId="693" applyNumberFormat="1" applyFont="1" applyFill="1" applyBorder="1" applyAlignment="1">
      <alignment horizontal="center" vertical="center" wrapText="1"/>
    </xf>
    <xf numFmtId="0" fontId="85" fillId="82" borderId="1" xfId="0" applyFont="1" applyFill="1" applyBorder="1" applyAlignment="1">
      <alignment horizontal="center" vertical="center"/>
    </xf>
    <xf numFmtId="0" fontId="99" fillId="2" borderId="1" xfId="686" quotePrefix="1" applyNumberFormat="1" applyFont="1" applyFill="1" applyBorder="1" applyAlignment="1">
      <alignment horizontal="left" vertical="center" wrapText="1"/>
    </xf>
    <xf numFmtId="0" fontId="99" fillId="2" borderId="1" xfId="686" quotePrefix="1" applyNumberFormat="1" applyFont="1" applyFill="1" applyBorder="1" applyAlignment="1">
      <alignment horizontal="center" vertical="center" wrapText="1"/>
    </xf>
    <xf numFmtId="169" fontId="99" fillId="2" borderId="1" xfId="686" applyNumberFormat="1" applyFont="1" applyFill="1" applyBorder="1" applyAlignment="1">
      <alignment horizontal="center" vertical="center" wrapText="1"/>
    </xf>
    <xf numFmtId="0" fontId="99" fillId="2" borderId="1" xfId="686" applyNumberFormat="1" applyFont="1" applyFill="1" applyBorder="1" applyAlignment="1">
      <alignment horizontal="center" vertical="center" wrapText="1"/>
    </xf>
    <xf numFmtId="0" fontId="99" fillId="2" borderId="38" xfId="686" applyNumberFormat="1" applyFont="1" applyFill="1" applyBorder="1" applyAlignment="1">
      <alignment horizontal="center" vertical="center" wrapText="1"/>
    </xf>
    <xf numFmtId="0" fontId="99" fillId="2" borderId="38" xfId="686" quotePrefix="1" applyNumberFormat="1" applyFont="1" applyFill="1" applyBorder="1" applyAlignment="1">
      <alignment horizontal="center" vertical="center" wrapText="1"/>
    </xf>
    <xf numFmtId="0" fontId="89" fillId="82" borderId="1" xfId="0" applyFont="1" applyFill="1" applyBorder="1" applyAlignment="1">
      <alignment horizontal="center" vertical="center"/>
    </xf>
    <xf numFmtId="0" fontId="116" fillId="82" borderId="1" xfId="686" applyNumberFormat="1" applyFont="1" applyFill="1" applyBorder="1" applyAlignment="1">
      <alignment horizontal="center" vertical="center" wrapText="1"/>
    </xf>
    <xf numFmtId="169" fontId="116" fillId="82" borderId="1" xfId="686" applyNumberFormat="1" applyFont="1" applyFill="1" applyBorder="1" applyAlignment="1">
      <alignment horizontal="center" vertical="center" wrapText="1"/>
    </xf>
    <xf numFmtId="0" fontId="116" fillId="82" borderId="38" xfId="686" applyNumberFormat="1" applyFont="1" applyFill="1" applyBorder="1" applyAlignment="1">
      <alignment horizontal="center" vertical="center" wrapText="1"/>
    </xf>
    <xf numFmtId="0" fontId="88" fillId="0" borderId="1" xfId="0" applyFont="1" applyBorder="1" applyAlignment="1">
      <alignment horizontal="center" vertical="center"/>
    </xf>
    <xf numFmtId="0" fontId="99" fillId="0" borderId="1" xfId="686" quotePrefix="1" applyNumberFormat="1" applyFont="1" applyBorder="1" applyAlignment="1">
      <alignment horizontal="left" vertical="center" wrapText="1"/>
    </xf>
    <xf numFmtId="0" fontId="84" fillId="82" borderId="1" xfId="686" applyNumberFormat="1" applyFont="1" applyFill="1" applyBorder="1" applyAlignment="1">
      <alignment horizontal="center" vertical="center" wrapText="1"/>
    </xf>
    <xf numFmtId="0" fontId="97" fillId="0" borderId="1" xfId="0" applyFont="1" applyBorder="1" applyAlignment="1">
      <alignment horizontal="center" vertical="center"/>
    </xf>
    <xf numFmtId="0" fontId="97" fillId="0" borderId="1" xfId="0" applyFont="1" applyBorder="1" applyAlignment="1">
      <alignment horizontal="left" vertical="center"/>
    </xf>
    <xf numFmtId="0" fontId="85" fillId="83" borderId="1" xfId="0" applyFont="1" applyFill="1" applyBorder="1" applyAlignment="1">
      <alignment horizontal="center" vertical="center"/>
    </xf>
    <xf numFmtId="0" fontId="0" fillId="0" borderId="0" xfId="0" applyAlignment="1">
      <alignment horizontal="left" indent="1"/>
    </xf>
    <xf numFmtId="9" fontId="0" fillId="0" borderId="0" xfId="652" applyFont="1" applyAlignment="1">
      <alignment horizontal="center"/>
    </xf>
    <xf numFmtId="0" fontId="39" fillId="0" borderId="35" xfId="0" applyFont="1" applyBorder="1" applyAlignment="1">
      <alignment horizontal="center" vertical="center"/>
    </xf>
    <xf numFmtId="0" fontId="34" fillId="2" borderId="35" xfId="689" applyFont="1" applyFill="1" applyBorder="1" applyAlignment="1">
      <alignment horizontal="center" vertical="center"/>
    </xf>
    <xf numFmtId="17" fontId="39" fillId="0" borderId="35" xfId="0" applyNumberFormat="1" applyFont="1" applyBorder="1" applyAlignment="1">
      <alignment horizontal="center" vertical="center"/>
    </xf>
    <xf numFmtId="169" fontId="39" fillId="0" borderId="35" xfId="0" applyNumberFormat="1" applyFont="1" applyBorder="1" applyAlignment="1">
      <alignment horizontal="center" vertical="center"/>
    </xf>
    <xf numFmtId="0" fontId="34" fillId="0" borderId="35" xfId="689" applyFont="1" applyBorder="1" applyAlignment="1">
      <alignment horizontal="center" vertical="center"/>
    </xf>
    <xf numFmtId="0" fontId="39" fillId="0" borderId="35" xfId="0" applyFont="1" applyBorder="1" applyAlignment="1">
      <alignment horizontal="left" vertical="center"/>
    </xf>
    <xf numFmtId="0" fontId="39" fillId="0" borderId="35" xfId="0" applyFont="1" applyBorder="1" applyAlignment="1">
      <alignment vertical="center"/>
    </xf>
    <xf numFmtId="0" fontId="34" fillId="2" borderId="1" xfId="689" applyFont="1" applyFill="1" applyBorder="1" applyAlignment="1">
      <alignment horizontal="center" vertical="center"/>
    </xf>
    <xf numFmtId="17" fontId="39" fillId="0" borderId="1" xfId="0" applyNumberFormat="1" applyFont="1" applyBorder="1" applyAlignment="1">
      <alignment horizontal="center" vertical="center"/>
    </xf>
    <xf numFmtId="169" fontId="39" fillId="0" borderId="1" xfId="0" applyNumberFormat="1" applyFont="1" applyBorder="1" applyAlignment="1">
      <alignment horizontal="center" vertical="center"/>
    </xf>
    <xf numFmtId="0" fontId="39" fillId="0" borderId="1" xfId="0" applyFont="1" applyBorder="1" applyAlignment="1">
      <alignment horizontal="left" vertical="center"/>
    </xf>
    <xf numFmtId="0" fontId="39" fillId="0" borderId="1" xfId="0" applyFont="1" applyBorder="1" applyAlignment="1">
      <alignment vertical="center"/>
    </xf>
    <xf numFmtId="0" fontId="39" fillId="0" borderId="1" xfId="0" applyFont="1" applyBorder="1" applyAlignment="1">
      <alignment horizontal="center" vertical="center" wrapText="1"/>
    </xf>
    <xf numFmtId="15" fontId="39" fillId="0" borderId="1" xfId="0" applyNumberFormat="1" applyFont="1" applyBorder="1" applyAlignment="1">
      <alignment horizontal="center" vertical="center"/>
    </xf>
    <xf numFmtId="0" fontId="39" fillId="0" borderId="36" xfId="0" applyFont="1" applyBorder="1" applyAlignment="1">
      <alignment horizontal="center" vertical="center"/>
    </xf>
    <xf numFmtId="0" fontId="39" fillId="0" borderId="36" xfId="0" applyFont="1" applyBorder="1" applyAlignment="1">
      <alignment vertical="center"/>
    </xf>
    <xf numFmtId="0" fontId="34" fillId="0" borderId="1" xfId="689" applyFont="1" applyBorder="1" applyAlignment="1">
      <alignment horizontal="center" vertical="center"/>
    </xf>
    <xf numFmtId="17" fontId="39" fillId="0" borderId="1" xfId="0" applyNumberFormat="1" applyFont="1" applyBorder="1" applyAlignment="1">
      <alignment horizontal="left" vertical="center"/>
    </xf>
    <xf numFmtId="169" fontId="39" fillId="0" borderId="1" xfId="0" applyNumberFormat="1" applyFont="1" applyBorder="1" applyAlignment="1">
      <alignment vertical="center"/>
    </xf>
    <xf numFmtId="15" fontId="39" fillId="0" borderId="1" xfId="0" applyNumberFormat="1" applyFont="1" applyBorder="1" applyAlignment="1">
      <alignment vertical="center"/>
    </xf>
    <xf numFmtId="0" fontId="39" fillId="0" borderId="1" xfId="0" quotePrefix="1" applyFont="1" applyBorder="1" applyAlignment="1">
      <alignment horizontal="left" vertical="center"/>
    </xf>
    <xf numFmtId="0" fontId="39" fillId="2" borderId="1" xfId="0" applyFont="1" applyFill="1" applyBorder="1" applyAlignment="1">
      <alignment vertical="center"/>
    </xf>
    <xf numFmtId="14" fontId="39" fillId="0" borderId="1" xfId="0" applyNumberFormat="1" applyFont="1" applyBorder="1" applyAlignment="1">
      <alignment vertical="center"/>
    </xf>
    <xf numFmtId="15" fontId="39" fillId="0" borderId="1" xfId="0" applyNumberFormat="1" applyFont="1" applyBorder="1" applyAlignment="1">
      <alignment horizontal="left" vertical="center"/>
    </xf>
    <xf numFmtId="15" fontId="39" fillId="2" borderId="1" xfId="0" applyNumberFormat="1" applyFont="1" applyFill="1" applyBorder="1" applyAlignment="1">
      <alignment horizontal="center" vertical="center"/>
    </xf>
    <xf numFmtId="0" fontId="39" fillId="0" borderId="1" xfId="0" applyFont="1" applyBorder="1" applyAlignment="1">
      <alignment vertical="center" wrapText="1"/>
    </xf>
    <xf numFmtId="0" fontId="39" fillId="2" borderId="1" xfId="0" applyFont="1" applyFill="1" applyBorder="1" applyAlignment="1">
      <alignment horizontal="left" vertical="center"/>
    </xf>
    <xf numFmtId="15" fontId="39" fillId="2" borderId="1" xfId="0" applyNumberFormat="1" applyFont="1" applyFill="1" applyBorder="1" applyAlignment="1">
      <alignment horizontal="left" vertical="center"/>
    </xf>
    <xf numFmtId="14" fontId="39" fillId="2" borderId="1" xfId="0" applyNumberFormat="1" applyFont="1" applyFill="1" applyBorder="1" applyAlignment="1">
      <alignment vertical="center"/>
    </xf>
    <xf numFmtId="0" fontId="39" fillId="0" borderId="1" xfId="0" quotePrefix="1" applyFont="1" applyBorder="1" applyAlignment="1">
      <alignment horizontal="center" vertical="center"/>
    </xf>
    <xf numFmtId="0" fontId="39" fillId="0" borderId="1" xfId="0" applyFont="1" applyBorder="1"/>
    <xf numFmtId="0" fontId="57" fillId="2" borderId="62" xfId="686" applyNumberFormat="1" applyFont="1" applyFill="1" applyBorder="1" applyAlignment="1">
      <alignment horizontal="left" vertical="top" wrapText="1"/>
    </xf>
    <xf numFmtId="0" fontId="57" fillId="2" borderId="64" xfId="686" applyNumberFormat="1" applyFont="1" applyFill="1" applyBorder="1" applyAlignment="1">
      <alignment horizontal="left" vertical="top" wrapText="1"/>
    </xf>
    <xf numFmtId="0" fontId="57" fillId="2" borderId="66" xfId="686" applyNumberFormat="1" applyFont="1" applyFill="1" applyBorder="1" applyAlignment="1">
      <alignment horizontal="left" vertical="top" wrapText="1"/>
    </xf>
    <xf numFmtId="0" fontId="57" fillId="2" borderId="73" xfId="686" applyNumberFormat="1" applyFont="1" applyFill="1" applyBorder="1" applyAlignment="1">
      <alignment horizontal="left" vertical="top" wrapText="1"/>
    </xf>
    <xf numFmtId="0" fontId="57" fillId="2" borderId="74" xfId="686" applyNumberFormat="1" applyFont="1" applyFill="1" applyBorder="1" applyAlignment="1">
      <alignment horizontal="left" vertical="top" wrapText="1"/>
    </xf>
    <xf numFmtId="0" fontId="57" fillId="2" borderId="75" xfId="686" applyNumberFormat="1" applyFont="1" applyFill="1" applyBorder="1" applyAlignment="1">
      <alignment horizontal="left" vertical="top" wrapText="1"/>
    </xf>
    <xf numFmtId="0" fontId="57" fillId="2" borderId="120" xfId="686" applyNumberFormat="1" applyFont="1" applyFill="1" applyBorder="1" applyAlignment="1">
      <alignment horizontal="left" vertical="top" wrapText="1"/>
    </xf>
    <xf numFmtId="0" fontId="57" fillId="0" borderId="62" xfId="686" applyNumberFormat="1" applyFont="1" applyBorder="1" applyAlignment="1">
      <alignment horizontal="left" vertical="top" wrapText="1"/>
    </xf>
    <xf numFmtId="0" fontId="57" fillId="0" borderId="133" xfId="686" applyNumberFormat="1" applyFont="1" applyBorder="1" applyAlignment="1">
      <alignment horizontal="left" vertical="top" wrapText="1"/>
    </xf>
    <xf numFmtId="0" fontId="57" fillId="2" borderId="64" xfId="686" applyNumberFormat="1" applyFont="1" applyFill="1" applyBorder="1" applyAlignment="1" applyProtection="1">
      <alignment horizontal="left" vertical="top" wrapText="1"/>
      <protection locked="0" hidden="1"/>
    </xf>
    <xf numFmtId="169" fontId="57" fillId="2" borderId="62" xfId="686" quotePrefix="1" applyNumberFormat="1" applyFont="1" applyFill="1" applyBorder="1" applyAlignment="1">
      <alignment horizontal="left" vertical="top" wrapText="1"/>
    </xf>
    <xf numFmtId="169" fontId="57" fillId="2" borderId="64" xfId="686" applyNumberFormat="1" applyFont="1" applyFill="1" applyBorder="1" applyAlignment="1">
      <alignment horizontal="left" vertical="top" wrapText="1"/>
    </xf>
    <xf numFmtId="0" fontId="57" fillId="0" borderId="73" xfId="686" applyNumberFormat="1" applyFont="1" applyBorder="1" applyAlignment="1">
      <alignment horizontal="left" vertical="top" wrapText="1"/>
    </xf>
    <xf numFmtId="0" fontId="57" fillId="0" borderId="74" xfId="686" applyNumberFormat="1" applyFont="1" applyBorder="1" applyAlignment="1">
      <alignment horizontal="left" vertical="top" wrapText="1"/>
    </xf>
    <xf numFmtId="0" fontId="57" fillId="0" borderId="83" xfId="686" applyNumberFormat="1" applyFont="1" applyBorder="1" applyAlignment="1">
      <alignment horizontal="left" vertical="top" wrapText="1"/>
    </xf>
    <xf numFmtId="169" fontId="57" fillId="0" borderId="73" xfId="686" quotePrefix="1" applyNumberFormat="1" applyFont="1" applyBorder="1" applyAlignment="1">
      <alignment horizontal="left" vertical="top" wrapText="1"/>
    </xf>
    <xf numFmtId="169" fontId="57" fillId="2" borderId="66" xfId="686" applyNumberFormat="1" applyFont="1" applyFill="1" applyBorder="1" applyAlignment="1">
      <alignment horizontal="left" vertical="top" wrapText="1"/>
    </xf>
    <xf numFmtId="0" fontId="57" fillId="0" borderId="75" xfId="686" applyNumberFormat="1" applyFont="1" applyBorder="1" applyAlignment="1">
      <alignment horizontal="left" vertical="top" wrapText="1"/>
    </xf>
    <xf numFmtId="169" fontId="57" fillId="2" borderId="64" xfId="686" quotePrefix="1" applyNumberFormat="1" applyFont="1" applyFill="1" applyBorder="1" applyAlignment="1">
      <alignment horizontal="left" vertical="top" wrapText="1"/>
    </xf>
    <xf numFmtId="0" fontId="57" fillId="2" borderId="66" xfId="686" applyNumberFormat="1" applyFont="1" applyFill="1" applyBorder="1" applyAlignment="1" applyProtection="1">
      <alignment horizontal="left" vertical="top" wrapText="1"/>
      <protection locked="0" hidden="1"/>
    </xf>
    <xf numFmtId="0" fontId="57" fillId="2" borderId="64" xfId="686" quotePrefix="1" applyNumberFormat="1" applyFont="1" applyFill="1" applyBorder="1" applyAlignment="1">
      <alignment horizontal="left" vertical="top" wrapText="1"/>
    </xf>
    <xf numFmtId="0" fontId="57" fillId="2" borderId="120" xfId="686" quotePrefix="1" applyNumberFormat="1" applyFont="1" applyFill="1" applyBorder="1" applyAlignment="1">
      <alignment horizontal="left" vertical="top" wrapText="1"/>
    </xf>
    <xf numFmtId="0" fontId="57" fillId="2" borderId="83" xfId="686" quotePrefix="1" applyNumberFormat="1" applyFont="1" applyFill="1" applyBorder="1" applyAlignment="1">
      <alignment horizontal="left" vertical="top" wrapText="1"/>
    </xf>
    <xf numFmtId="0" fontId="52" fillId="0" borderId="67" xfId="686" quotePrefix="1" applyNumberFormat="1" applyFont="1" applyBorder="1" applyAlignment="1">
      <alignment horizontal="left" vertical="top" wrapText="1"/>
    </xf>
    <xf numFmtId="0" fontId="58" fillId="2" borderId="62" xfId="686" applyNumberFormat="1" applyFont="1" applyFill="1" applyBorder="1" applyAlignment="1">
      <alignment horizontal="left" vertical="top" wrapText="1"/>
    </xf>
    <xf numFmtId="0" fontId="52" fillId="0" borderId="68" xfId="686" quotePrefix="1" applyNumberFormat="1" applyFont="1" applyBorder="1" applyAlignment="1">
      <alignment horizontal="left" vertical="top" wrapText="1"/>
    </xf>
    <xf numFmtId="0" fontId="58" fillId="2" borderId="64" xfId="686" applyNumberFormat="1" applyFont="1" applyFill="1" applyBorder="1" applyAlignment="1">
      <alignment horizontal="left" vertical="top" wrapText="1"/>
    </xf>
    <xf numFmtId="0" fontId="52" fillId="0" borderId="69" xfId="686" quotePrefix="1" applyNumberFormat="1" applyFont="1" applyBorder="1" applyAlignment="1">
      <alignment horizontal="left" vertical="top" wrapText="1"/>
    </xf>
    <xf numFmtId="0" fontId="58" fillId="2" borderId="66" xfId="686" applyNumberFormat="1" applyFont="1" applyFill="1" applyBorder="1" applyAlignment="1">
      <alignment horizontal="left" vertical="top" wrapText="1"/>
    </xf>
    <xf numFmtId="0" fontId="52" fillId="0" borderId="64" xfId="686" quotePrefix="1" applyNumberFormat="1" applyFont="1" applyBorder="1" applyAlignment="1">
      <alignment horizontal="left" vertical="top" wrapText="1"/>
    </xf>
    <xf numFmtId="0" fontId="52" fillId="0" borderId="66" xfId="686" quotePrefix="1" applyNumberFormat="1" applyFont="1" applyBorder="1" applyAlignment="1">
      <alignment horizontal="left" vertical="top" wrapText="1"/>
    </xf>
    <xf numFmtId="0" fontId="52" fillId="0" borderId="62" xfId="686" quotePrefix="1" applyNumberFormat="1" applyFont="1" applyBorder="1" applyAlignment="1">
      <alignment horizontal="left" vertical="top" wrapText="1"/>
    </xf>
    <xf numFmtId="170" fontId="63" fillId="0" borderId="62" xfId="686" applyFont="1" applyBorder="1" applyAlignment="1">
      <alignment horizontal="left" vertical="top"/>
    </xf>
    <xf numFmtId="170" fontId="63" fillId="0" borderId="64" xfId="686" applyFont="1" applyBorder="1" applyAlignment="1">
      <alignment horizontal="left" vertical="top"/>
    </xf>
    <xf numFmtId="0" fontId="57" fillId="2" borderId="83" xfId="686" applyNumberFormat="1" applyFont="1" applyFill="1" applyBorder="1" applyAlignment="1">
      <alignment horizontal="left" vertical="top" wrapText="1"/>
    </xf>
    <xf numFmtId="170" fontId="56" fillId="0" borderId="62" xfId="686" quotePrefix="1" applyFont="1" applyBorder="1" applyAlignment="1">
      <alignment horizontal="left" vertical="top" wrapText="1"/>
    </xf>
    <xf numFmtId="170" fontId="56" fillId="0" borderId="64" xfId="686" quotePrefix="1" applyFont="1" applyBorder="1" applyAlignment="1">
      <alignment horizontal="left" vertical="top" wrapText="1"/>
    </xf>
    <xf numFmtId="0" fontId="59" fillId="0" borderId="73" xfId="686" quotePrefix="1" applyNumberFormat="1" applyFont="1" applyBorder="1" applyAlignment="1">
      <alignment horizontal="left" vertical="top" wrapText="1"/>
    </xf>
    <xf numFmtId="0" fontId="34" fillId="0" borderId="73" xfId="686" applyNumberFormat="1" applyFont="1" applyBorder="1" applyAlignment="1">
      <alignment horizontal="left" vertical="top" wrapText="1"/>
    </xf>
    <xf numFmtId="0" fontId="34" fillId="0" borderId="73" xfId="686" applyNumberFormat="1" applyFont="1" applyBorder="1" applyAlignment="1" applyProtection="1">
      <alignment horizontal="left" vertical="top" wrapText="1"/>
      <protection locked="0" hidden="1"/>
    </xf>
    <xf numFmtId="0" fontId="57" fillId="0" borderId="73" xfId="686" applyNumberFormat="1" applyFont="1" applyBorder="1" applyAlignment="1" applyProtection="1">
      <alignment horizontal="left" vertical="top" wrapText="1"/>
      <protection hidden="1"/>
    </xf>
    <xf numFmtId="0" fontId="34" fillId="0" borderId="73" xfId="686" quotePrefix="1" applyNumberFormat="1" applyFont="1" applyBorder="1" applyAlignment="1">
      <alignment horizontal="left" vertical="top" wrapText="1"/>
    </xf>
    <xf numFmtId="0" fontId="59" fillId="0" borderId="74" xfId="686" quotePrefix="1" applyNumberFormat="1" applyFont="1" applyBorder="1" applyAlignment="1">
      <alignment horizontal="left" vertical="top" wrapText="1"/>
    </xf>
    <xf numFmtId="0" fontId="34" fillId="0" borderId="74" xfId="686" applyNumberFormat="1" applyFont="1" applyBorder="1" applyAlignment="1">
      <alignment horizontal="left" vertical="top" wrapText="1"/>
    </xf>
    <xf numFmtId="0" fontId="34" fillId="0" borderId="74" xfId="686" applyNumberFormat="1" applyFont="1" applyBorder="1" applyAlignment="1" applyProtection="1">
      <alignment horizontal="left" vertical="top" wrapText="1"/>
      <protection locked="0" hidden="1"/>
    </xf>
    <xf numFmtId="0" fontId="34" fillId="0" borderId="74" xfId="686" applyNumberFormat="1" applyFont="1" applyBorder="1" applyAlignment="1" applyProtection="1">
      <alignment horizontal="left" vertical="top" wrapText="1"/>
      <protection hidden="1"/>
    </xf>
    <xf numFmtId="0" fontId="34" fillId="0" borderId="74" xfId="686" quotePrefix="1" applyNumberFormat="1" applyFont="1" applyBorder="1" applyAlignment="1">
      <alignment horizontal="left" vertical="top" wrapText="1"/>
    </xf>
    <xf numFmtId="0" fontId="59" fillId="0" borderId="75" xfId="686" quotePrefix="1" applyNumberFormat="1" applyFont="1" applyBorder="1" applyAlignment="1">
      <alignment horizontal="left" vertical="top" wrapText="1"/>
    </xf>
    <xf numFmtId="0" fontId="34" fillId="0" borderId="75" xfId="686" applyNumberFormat="1" applyFont="1" applyBorder="1" applyAlignment="1">
      <alignment horizontal="left" vertical="top" wrapText="1"/>
    </xf>
    <xf numFmtId="0" fontId="34" fillId="0" borderId="75" xfId="686" applyNumberFormat="1" applyFont="1" applyBorder="1" applyAlignment="1" applyProtection="1">
      <alignment horizontal="left" vertical="top" wrapText="1"/>
      <protection locked="0" hidden="1"/>
    </xf>
    <xf numFmtId="0" fontId="34" fillId="0" borderId="75" xfId="686" applyNumberFormat="1" applyFont="1" applyBorder="1" applyAlignment="1" applyProtection="1">
      <alignment horizontal="left" vertical="top" wrapText="1"/>
      <protection hidden="1"/>
    </xf>
    <xf numFmtId="0" fontId="34" fillId="0" borderId="75" xfId="686" quotePrefix="1" applyNumberFormat="1" applyFont="1" applyBorder="1" applyAlignment="1">
      <alignment horizontal="left" vertical="top" wrapText="1"/>
    </xf>
    <xf numFmtId="0" fontId="57" fillId="2" borderId="66" xfId="686" quotePrefix="1" applyNumberFormat="1" applyFont="1" applyFill="1" applyBorder="1" applyAlignment="1">
      <alignment horizontal="left" vertical="top" wrapText="1"/>
    </xf>
    <xf numFmtId="0" fontId="57" fillId="2" borderId="62" xfId="686" quotePrefix="1" applyNumberFormat="1" applyFont="1" applyFill="1" applyBorder="1" applyAlignment="1">
      <alignment horizontal="left" vertical="top" wrapText="1"/>
    </xf>
    <xf numFmtId="0" fontId="52" fillId="0" borderId="128" xfId="686" quotePrefix="1" applyNumberFormat="1" applyFont="1" applyBorder="1" applyAlignment="1">
      <alignment horizontal="left" vertical="top" wrapText="1"/>
    </xf>
    <xf numFmtId="0" fontId="52" fillId="0" borderId="133" xfId="686" quotePrefix="1" applyNumberFormat="1" applyFont="1" applyBorder="1" applyAlignment="1">
      <alignment horizontal="left" vertical="top" wrapText="1"/>
    </xf>
    <xf numFmtId="0" fontId="52" fillId="0" borderId="73" xfId="686" quotePrefix="1" applyNumberFormat="1" applyFont="1" applyBorder="1" applyAlignment="1">
      <alignment horizontal="left" vertical="top" wrapText="1"/>
    </xf>
    <xf numFmtId="0" fontId="57" fillId="0" borderId="73" xfId="686" applyNumberFormat="1" applyFont="1" applyBorder="1" applyAlignment="1" applyProtection="1">
      <alignment horizontal="left" vertical="top" wrapText="1"/>
      <protection locked="0" hidden="1"/>
    </xf>
    <xf numFmtId="0" fontId="57" fillId="0" borderId="73" xfId="686" quotePrefix="1" applyNumberFormat="1" applyFont="1" applyBorder="1" applyAlignment="1">
      <alignment horizontal="left" vertical="top" wrapText="1"/>
    </xf>
    <xf numFmtId="0" fontId="52" fillId="0" borderId="74" xfId="686" quotePrefix="1" applyNumberFormat="1" applyFont="1" applyBorder="1" applyAlignment="1">
      <alignment horizontal="left" vertical="top" wrapText="1"/>
    </xf>
    <xf numFmtId="169" fontId="57" fillId="0" borderId="74" xfId="686" applyNumberFormat="1" applyFont="1" applyBorder="1" applyAlignment="1">
      <alignment horizontal="left" vertical="top" wrapText="1"/>
    </xf>
    <xf numFmtId="0" fontId="57" fillId="0" borderId="74" xfId="686" applyNumberFormat="1" applyFont="1" applyBorder="1" applyAlignment="1" applyProtection="1">
      <alignment horizontal="left" vertical="top" wrapText="1"/>
      <protection locked="0" hidden="1"/>
    </xf>
    <xf numFmtId="0" fontId="57" fillId="0" borderId="74" xfId="686" applyNumberFormat="1" applyFont="1" applyBorder="1" applyAlignment="1" applyProtection="1">
      <alignment horizontal="left" vertical="top" wrapText="1"/>
      <protection hidden="1"/>
    </xf>
    <xf numFmtId="0" fontId="57" fillId="0" borderId="74" xfId="686" quotePrefix="1" applyNumberFormat="1" applyFont="1" applyBorder="1" applyAlignment="1">
      <alignment horizontal="left" vertical="top" wrapText="1"/>
    </xf>
    <xf numFmtId="0" fontId="52" fillId="0" borderId="83" xfId="686" quotePrefix="1" applyNumberFormat="1" applyFont="1" applyBorder="1" applyAlignment="1">
      <alignment horizontal="left" vertical="top" wrapText="1"/>
    </xf>
    <xf numFmtId="169" fontId="57" fillId="0" borderId="83" xfId="686" applyNumberFormat="1" applyFont="1" applyBorder="1" applyAlignment="1">
      <alignment horizontal="left" vertical="top" wrapText="1"/>
    </xf>
    <xf numFmtId="0" fontId="57" fillId="0" borderId="83" xfId="686" applyNumberFormat="1" applyFont="1" applyBorder="1" applyAlignment="1" applyProtection="1">
      <alignment horizontal="left" vertical="top" wrapText="1"/>
      <protection locked="0" hidden="1"/>
    </xf>
    <xf numFmtId="0" fontId="57" fillId="0" borderId="83" xfId="686" applyNumberFormat="1" applyFont="1" applyBorder="1" applyAlignment="1" applyProtection="1">
      <alignment horizontal="left" vertical="top" wrapText="1"/>
      <protection hidden="1"/>
    </xf>
    <xf numFmtId="0" fontId="57" fillId="0" borderId="83" xfId="686" quotePrefix="1" applyNumberFormat="1" applyFont="1" applyBorder="1" applyAlignment="1">
      <alignment horizontal="left" vertical="top" wrapText="1"/>
    </xf>
    <xf numFmtId="0" fontId="52" fillId="0" borderId="75" xfId="686" quotePrefix="1" applyNumberFormat="1" applyFont="1" applyBorder="1" applyAlignment="1">
      <alignment horizontal="left" vertical="top" wrapText="1"/>
    </xf>
    <xf numFmtId="169" fontId="57" fillId="0" borderId="75" xfId="686" applyNumberFormat="1" applyFont="1" applyBorder="1" applyAlignment="1">
      <alignment horizontal="left" vertical="top" wrapText="1"/>
    </xf>
    <xf numFmtId="0" fontId="57" fillId="0" borderId="75" xfId="686" applyNumberFormat="1" applyFont="1" applyBorder="1" applyAlignment="1" applyProtection="1">
      <alignment horizontal="left" vertical="top" wrapText="1"/>
      <protection locked="0" hidden="1"/>
    </xf>
    <xf numFmtId="0" fontId="57" fillId="0" borderId="75" xfId="686" applyNumberFormat="1" applyFont="1" applyBorder="1" applyAlignment="1" applyProtection="1">
      <alignment horizontal="left" vertical="top" wrapText="1"/>
      <protection hidden="1"/>
    </xf>
    <xf numFmtId="0" fontId="57" fillId="0" borderId="75" xfId="686" quotePrefix="1" applyNumberFormat="1" applyFont="1" applyBorder="1" applyAlignment="1">
      <alignment horizontal="left" vertical="top" wrapText="1"/>
    </xf>
    <xf numFmtId="0" fontId="92" fillId="0" borderId="73" xfId="0" applyFont="1" applyBorder="1" applyAlignment="1">
      <alignment horizontal="left" vertical="top"/>
    </xf>
    <xf numFmtId="0" fontId="0" fillId="0" borderId="74" xfId="0" applyBorder="1" applyAlignment="1">
      <alignment horizontal="left" vertical="top"/>
    </xf>
    <xf numFmtId="0" fontId="0" fillId="0" borderId="75" xfId="0" applyBorder="1" applyAlignment="1">
      <alignment horizontal="left" vertical="top"/>
    </xf>
    <xf numFmtId="0" fontId="93" fillId="0" borderId="73" xfId="686" quotePrefix="1" applyNumberFormat="1" applyFont="1" applyBorder="1" applyAlignment="1">
      <alignment horizontal="left" vertical="top" wrapText="1"/>
    </xf>
    <xf numFmtId="0" fontId="94" fillId="0" borderId="73" xfId="686" applyNumberFormat="1" applyFont="1" applyBorder="1" applyAlignment="1">
      <alignment horizontal="left" vertical="top" wrapText="1"/>
    </xf>
    <xf numFmtId="169" fontId="94" fillId="0" borderId="73" xfId="686" quotePrefix="1" applyNumberFormat="1" applyFont="1" applyBorder="1" applyAlignment="1">
      <alignment horizontal="left" vertical="top" wrapText="1"/>
    </xf>
    <xf numFmtId="0" fontId="94" fillId="0" borderId="73" xfId="686" applyNumberFormat="1" applyFont="1" applyBorder="1" applyAlignment="1" applyProtection="1">
      <alignment horizontal="left" vertical="top" wrapText="1"/>
      <protection locked="0" hidden="1"/>
    </xf>
    <xf numFmtId="0" fontId="94" fillId="0" borderId="73" xfId="686" quotePrefix="1" applyNumberFormat="1" applyFont="1" applyBorder="1" applyAlignment="1">
      <alignment horizontal="left" vertical="top" wrapText="1"/>
    </xf>
    <xf numFmtId="0" fontId="93" fillId="0" borderId="74" xfId="686" quotePrefix="1" applyNumberFormat="1" applyFont="1" applyBorder="1" applyAlignment="1">
      <alignment horizontal="left" vertical="top" wrapText="1"/>
    </xf>
    <xf numFmtId="0" fontId="94" fillId="0" borderId="74" xfId="686" applyNumberFormat="1" applyFont="1" applyBorder="1" applyAlignment="1">
      <alignment horizontal="left" vertical="top" wrapText="1"/>
    </xf>
    <xf numFmtId="169" fontId="94" fillId="0" borderId="74" xfId="686" applyNumberFormat="1" applyFont="1" applyBorder="1" applyAlignment="1">
      <alignment horizontal="left" vertical="top" wrapText="1"/>
    </xf>
    <xf numFmtId="0" fontId="94" fillId="0" borderId="74" xfId="686" applyNumberFormat="1" applyFont="1" applyBorder="1" applyAlignment="1" applyProtection="1">
      <alignment horizontal="left" vertical="top" wrapText="1"/>
      <protection locked="0" hidden="1"/>
    </xf>
    <xf numFmtId="0" fontId="92" fillId="0" borderId="74" xfId="0" applyFont="1" applyBorder="1" applyAlignment="1">
      <alignment horizontal="left" vertical="top"/>
    </xf>
    <xf numFmtId="0" fontId="94" fillId="0" borderId="74" xfId="686" quotePrefix="1" applyNumberFormat="1" applyFont="1" applyBorder="1" applyAlignment="1">
      <alignment horizontal="left" vertical="top" wrapText="1"/>
    </xf>
    <xf numFmtId="0" fontId="93" fillId="0" borderId="75" xfId="686" quotePrefix="1" applyNumberFormat="1" applyFont="1" applyBorder="1" applyAlignment="1">
      <alignment horizontal="left" vertical="top" wrapText="1"/>
    </xf>
    <xf numFmtId="0" fontId="94" fillId="0" borderId="75" xfId="686" applyNumberFormat="1" applyFont="1" applyBorder="1" applyAlignment="1">
      <alignment horizontal="left" vertical="top" wrapText="1"/>
    </xf>
    <xf numFmtId="169" fontId="94" fillId="0" borderId="75" xfId="686" applyNumberFormat="1" applyFont="1" applyBorder="1" applyAlignment="1">
      <alignment horizontal="left" vertical="top" wrapText="1"/>
    </xf>
    <xf numFmtId="0" fontId="94" fillId="0" borderId="75" xfId="686" applyNumberFormat="1" applyFont="1" applyBorder="1" applyAlignment="1" applyProtection="1">
      <alignment horizontal="left" vertical="top" wrapText="1"/>
      <protection locked="0" hidden="1"/>
    </xf>
    <xf numFmtId="0" fontId="92" fillId="0" borderId="75" xfId="0" applyFont="1" applyBorder="1" applyAlignment="1">
      <alignment horizontal="left" vertical="top"/>
    </xf>
    <xf numFmtId="0" fontId="94" fillId="0" borderId="75" xfId="686" quotePrefix="1" applyNumberFormat="1" applyFont="1" applyBorder="1" applyAlignment="1">
      <alignment horizontal="left" vertical="top" wrapText="1"/>
    </xf>
    <xf numFmtId="0" fontId="92" fillId="0" borderId="73" xfId="0" applyFont="1" applyBorder="1" applyAlignment="1">
      <alignment horizontal="left" vertical="top" wrapText="1"/>
    </xf>
    <xf numFmtId="0" fontId="93" fillId="2" borderId="73" xfId="686" quotePrefix="1" applyNumberFormat="1" applyFont="1" applyFill="1" applyBorder="1" applyAlignment="1">
      <alignment horizontal="left" vertical="top" wrapText="1"/>
    </xf>
    <xf numFmtId="0" fontId="94" fillId="2" borderId="73" xfId="686" applyNumberFormat="1" applyFont="1" applyFill="1" applyBorder="1" applyAlignment="1">
      <alignment horizontal="left" vertical="top" wrapText="1"/>
    </xf>
    <xf numFmtId="169" fontId="94" fillId="2" borderId="73" xfId="686" quotePrefix="1" applyNumberFormat="1" applyFont="1" applyFill="1" applyBorder="1" applyAlignment="1">
      <alignment horizontal="left" vertical="top" wrapText="1"/>
    </xf>
    <xf numFmtId="0" fontId="94" fillId="2" borderId="73" xfId="686" applyNumberFormat="1" applyFont="1" applyFill="1" applyBorder="1" applyAlignment="1" applyProtection="1">
      <alignment horizontal="left" vertical="top" wrapText="1"/>
      <protection locked="0" hidden="1"/>
    </xf>
    <xf numFmtId="0" fontId="92" fillId="2" borderId="73" xfId="0" applyFont="1" applyFill="1" applyBorder="1" applyAlignment="1">
      <alignment horizontal="left" vertical="top"/>
    </xf>
    <xf numFmtId="0" fontId="94" fillId="2" borderId="73" xfId="686" quotePrefix="1" applyNumberFormat="1" applyFont="1" applyFill="1" applyBorder="1" applyAlignment="1">
      <alignment horizontal="left" vertical="top" wrapText="1"/>
    </xf>
    <xf numFmtId="0" fontId="93" fillId="2" borderId="74" xfId="686" quotePrefix="1" applyNumberFormat="1" applyFont="1" applyFill="1" applyBorder="1" applyAlignment="1">
      <alignment horizontal="left" vertical="top" wrapText="1"/>
    </xf>
    <xf numFmtId="0" fontId="94" fillId="2" borderId="74" xfId="686" applyNumberFormat="1" applyFont="1" applyFill="1" applyBorder="1" applyAlignment="1">
      <alignment horizontal="left" vertical="top" wrapText="1"/>
    </xf>
    <xf numFmtId="169" fontId="94" fillId="2" borderId="74" xfId="686" applyNumberFormat="1" applyFont="1" applyFill="1" applyBorder="1" applyAlignment="1">
      <alignment horizontal="left" vertical="top" wrapText="1"/>
    </xf>
    <xf numFmtId="0" fontId="94" fillId="2" borderId="74" xfId="686" applyNumberFormat="1" applyFont="1" applyFill="1" applyBorder="1" applyAlignment="1" applyProtection="1">
      <alignment horizontal="left" vertical="top" wrapText="1"/>
      <protection locked="0" hidden="1"/>
    </xf>
    <xf numFmtId="0" fontId="92" fillId="2" borderId="74" xfId="0" applyFont="1" applyFill="1" applyBorder="1" applyAlignment="1">
      <alignment horizontal="left" vertical="top"/>
    </xf>
    <xf numFmtId="0" fontId="94" fillId="2" borderId="74" xfId="686" quotePrefix="1" applyNumberFormat="1" applyFont="1" applyFill="1" applyBorder="1" applyAlignment="1">
      <alignment horizontal="left" vertical="top" wrapText="1"/>
    </xf>
    <xf numFmtId="0" fontId="93" fillId="2" borderId="66" xfId="686" quotePrefix="1" applyNumberFormat="1" applyFont="1" applyFill="1" applyBorder="1" applyAlignment="1">
      <alignment horizontal="left" vertical="top" wrapText="1"/>
    </xf>
    <xf numFmtId="0" fontId="94" fillId="2" borderId="66" xfId="686" applyNumberFormat="1" applyFont="1" applyFill="1" applyBorder="1" applyAlignment="1">
      <alignment horizontal="left" vertical="top" wrapText="1"/>
    </xf>
    <xf numFmtId="169" fontId="94" fillId="2" borderId="66" xfId="686" applyNumberFormat="1" applyFont="1" applyFill="1" applyBorder="1" applyAlignment="1">
      <alignment horizontal="left" vertical="top" wrapText="1"/>
    </xf>
    <xf numFmtId="0" fontId="94" fillId="2" borderId="66" xfId="686" applyNumberFormat="1" applyFont="1" applyFill="1" applyBorder="1" applyAlignment="1" applyProtection="1">
      <alignment horizontal="left" vertical="top" wrapText="1"/>
      <protection locked="0" hidden="1"/>
    </xf>
    <xf numFmtId="0" fontId="92" fillId="2" borderId="66" xfId="0" applyFont="1" applyFill="1" applyBorder="1" applyAlignment="1">
      <alignment horizontal="left" vertical="top"/>
    </xf>
    <xf numFmtId="0" fontId="94" fillId="2" borderId="66" xfId="686" quotePrefix="1" applyNumberFormat="1" applyFont="1" applyFill="1" applyBorder="1" applyAlignment="1">
      <alignment horizontal="left" vertical="top" wrapText="1"/>
    </xf>
    <xf numFmtId="0" fontId="93" fillId="2" borderId="120" xfId="686" quotePrefix="1" applyNumberFormat="1" applyFont="1" applyFill="1" applyBorder="1" applyAlignment="1">
      <alignment horizontal="left" vertical="top" wrapText="1"/>
    </xf>
    <xf numFmtId="0" fontId="94" fillId="2" borderId="120" xfId="686" applyNumberFormat="1" applyFont="1" applyFill="1" applyBorder="1" applyAlignment="1">
      <alignment horizontal="left" vertical="top" wrapText="1"/>
    </xf>
    <xf numFmtId="169" fontId="94" fillId="2" borderId="120" xfId="686" quotePrefix="1" applyNumberFormat="1" applyFont="1" applyFill="1" applyBorder="1" applyAlignment="1">
      <alignment horizontal="left" vertical="top" wrapText="1"/>
    </xf>
    <xf numFmtId="0" fontId="94" fillId="2" borderId="120" xfId="686" applyNumberFormat="1" applyFont="1" applyFill="1" applyBorder="1" applyAlignment="1" applyProtection="1">
      <alignment horizontal="left" vertical="top" wrapText="1"/>
      <protection locked="0" hidden="1"/>
    </xf>
    <xf numFmtId="0" fontId="92" fillId="2" borderId="120" xfId="0" applyFont="1" applyFill="1" applyBorder="1" applyAlignment="1">
      <alignment horizontal="left" vertical="top"/>
    </xf>
    <xf numFmtId="0" fontId="94" fillId="2" borderId="120" xfId="686" quotePrefix="1" applyNumberFormat="1" applyFont="1" applyFill="1" applyBorder="1" applyAlignment="1">
      <alignment horizontal="left" vertical="top" wrapText="1"/>
    </xf>
    <xf numFmtId="0" fontId="93" fillId="2" borderId="83" xfId="686" quotePrefix="1" applyNumberFormat="1" applyFont="1" applyFill="1" applyBorder="1" applyAlignment="1">
      <alignment horizontal="left" vertical="top" wrapText="1"/>
    </xf>
    <xf numFmtId="0" fontId="94" fillId="2" borderId="83" xfId="686" applyNumberFormat="1" applyFont="1" applyFill="1" applyBorder="1" applyAlignment="1">
      <alignment horizontal="left" vertical="top" wrapText="1"/>
    </xf>
    <xf numFmtId="169" fontId="94" fillId="2" borderId="83" xfId="686" applyNumberFormat="1" applyFont="1" applyFill="1" applyBorder="1" applyAlignment="1">
      <alignment horizontal="left" vertical="top" wrapText="1"/>
    </xf>
    <xf numFmtId="0" fontId="94" fillId="2" borderId="83" xfId="686" applyNumberFormat="1" applyFont="1" applyFill="1" applyBorder="1" applyAlignment="1" applyProtection="1">
      <alignment horizontal="left" vertical="top" wrapText="1"/>
      <protection locked="0" hidden="1"/>
    </xf>
    <xf numFmtId="0" fontId="92" fillId="2" borderId="83" xfId="0" applyFont="1" applyFill="1" applyBorder="1" applyAlignment="1">
      <alignment horizontal="left" vertical="top"/>
    </xf>
    <xf numFmtId="0" fontId="94" fillId="2" borderId="83" xfId="686" quotePrefix="1" applyNumberFormat="1" applyFont="1" applyFill="1" applyBorder="1" applyAlignment="1">
      <alignment horizontal="left" vertical="top" wrapText="1"/>
    </xf>
    <xf numFmtId="169" fontId="57" fillId="2" borderId="73" xfId="686" quotePrefix="1" applyNumberFormat="1" applyFont="1" applyFill="1" applyBorder="1" applyAlignment="1">
      <alignment horizontal="left" vertical="top" wrapText="1"/>
    </xf>
    <xf numFmtId="0" fontId="57" fillId="2" borderId="73" xfId="686" applyNumberFormat="1" applyFont="1" applyFill="1" applyBorder="1" applyAlignment="1" applyProtection="1">
      <alignment horizontal="left" vertical="top" wrapText="1"/>
      <protection locked="0" hidden="1"/>
    </xf>
    <xf numFmtId="0" fontId="57" fillId="2" borderId="73" xfId="686" applyNumberFormat="1" applyFont="1" applyFill="1" applyBorder="1" applyAlignment="1" applyProtection="1">
      <alignment horizontal="left" vertical="top" wrapText="1"/>
      <protection hidden="1"/>
    </xf>
    <xf numFmtId="0" fontId="57" fillId="2" borderId="73" xfId="686" quotePrefix="1" applyNumberFormat="1" applyFont="1" applyFill="1" applyBorder="1" applyAlignment="1">
      <alignment horizontal="left" vertical="top" wrapText="1"/>
    </xf>
    <xf numFmtId="169" fontId="57" fillId="2" borderId="74" xfId="686" quotePrefix="1" applyNumberFormat="1" applyFont="1" applyFill="1" applyBorder="1" applyAlignment="1">
      <alignment horizontal="left" vertical="top" wrapText="1"/>
    </xf>
    <xf numFmtId="0" fontId="57" fillId="2" borderId="74" xfId="686" applyNumberFormat="1" applyFont="1" applyFill="1" applyBorder="1" applyAlignment="1" applyProtection="1">
      <alignment horizontal="left" vertical="top" wrapText="1"/>
      <protection locked="0" hidden="1"/>
    </xf>
    <xf numFmtId="169" fontId="57" fillId="2" borderId="75" xfId="686" quotePrefix="1" applyNumberFormat="1" applyFont="1" applyFill="1" applyBorder="1" applyAlignment="1">
      <alignment horizontal="left" vertical="top" wrapText="1"/>
    </xf>
    <xf numFmtId="0" fontId="57" fillId="2" borderId="75" xfId="686" applyNumberFormat="1" applyFont="1" applyFill="1" applyBorder="1" applyAlignment="1" applyProtection="1">
      <alignment horizontal="left" vertical="top" wrapText="1"/>
      <protection locked="0" hidden="1"/>
    </xf>
    <xf numFmtId="0" fontId="57" fillId="2" borderId="75" xfId="686" applyNumberFormat="1" applyFont="1" applyFill="1" applyBorder="1" applyAlignment="1" applyProtection="1">
      <alignment horizontal="left" vertical="top" wrapText="1"/>
      <protection hidden="1"/>
    </xf>
    <xf numFmtId="0" fontId="57" fillId="2" borderId="75" xfId="686" quotePrefix="1" applyNumberFormat="1" applyFont="1" applyFill="1" applyBorder="1" applyAlignment="1">
      <alignment horizontal="left" vertical="top" wrapText="1"/>
    </xf>
    <xf numFmtId="169" fontId="57" fillId="2" borderId="120" xfId="686" quotePrefix="1" applyNumberFormat="1" applyFont="1" applyFill="1" applyBorder="1" applyAlignment="1">
      <alignment horizontal="left" vertical="top" wrapText="1"/>
    </xf>
    <xf numFmtId="0" fontId="57" fillId="2" borderId="120" xfId="686" applyNumberFormat="1" applyFont="1" applyFill="1" applyBorder="1" applyAlignment="1" applyProtection="1">
      <alignment horizontal="left" vertical="top" wrapText="1"/>
      <protection locked="0" hidden="1"/>
    </xf>
    <xf numFmtId="0" fontId="57" fillId="2" borderId="120" xfId="686" applyNumberFormat="1" applyFont="1" applyFill="1" applyBorder="1" applyAlignment="1" applyProtection="1">
      <alignment horizontal="left" vertical="top" wrapText="1"/>
      <protection hidden="1"/>
    </xf>
    <xf numFmtId="169" fontId="57" fillId="2" borderId="83" xfId="686" quotePrefix="1" applyNumberFormat="1" applyFont="1" applyFill="1" applyBorder="1" applyAlignment="1">
      <alignment horizontal="left" vertical="top" wrapText="1"/>
    </xf>
    <xf numFmtId="0" fontId="57" fillId="2" borderId="83" xfId="686" applyNumberFormat="1" applyFont="1" applyFill="1" applyBorder="1" applyAlignment="1" applyProtection="1">
      <alignment horizontal="left" vertical="top" wrapText="1"/>
      <protection locked="0" hidden="1"/>
    </xf>
    <xf numFmtId="0" fontId="57" fillId="2" borderId="83" xfId="686" applyNumberFormat="1" applyFont="1" applyFill="1" applyBorder="1" applyAlignment="1" applyProtection="1">
      <alignment horizontal="left" vertical="top" wrapText="1"/>
      <protection hidden="1"/>
    </xf>
    <xf numFmtId="14" fontId="57" fillId="2" borderId="74" xfId="686" applyNumberFormat="1" applyFont="1" applyFill="1" applyBorder="1" applyAlignment="1">
      <alignment horizontal="left" vertical="top" wrapText="1"/>
    </xf>
    <xf numFmtId="14" fontId="57" fillId="2" borderId="83" xfId="686" applyNumberFormat="1" applyFont="1" applyFill="1" applyBorder="1" applyAlignment="1">
      <alignment horizontal="left" vertical="top" wrapText="1"/>
    </xf>
    <xf numFmtId="169" fontId="57" fillId="2" borderId="66" xfId="686" quotePrefix="1" applyNumberFormat="1" applyFont="1" applyFill="1" applyBorder="1" applyAlignment="1">
      <alignment horizontal="left" vertical="top" wrapText="1"/>
    </xf>
    <xf numFmtId="0" fontId="57" fillId="2" borderId="58" xfId="686" quotePrefix="1" applyNumberFormat="1" applyFont="1" applyFill="1" applyBorder="1" applyAlignment="1">
      <alignment horizontal="left" vertical="top" wrapText="1"/>
    </xf>
    <xf numFmtId="0" fontId="57" fillId="2" borderId="70" xfId="686" quotePrefix="1" applyNumberFormat="1" applyFont="1" applyFill="1" applyBorder="1" applyAlignment="1">
      <alignment horizontal="left" vertical="top" wrapText="1"/>
    </xf>
    <xf numFmtId="0" fontId="57" fillId="0" borderId="58" xfId="686" quotePrefix="1" applyNumberFormat="1" applyFont="1" applyBorder="1" applyAlignment="1">
      <alignment horizontal="left" vertical="top" wrapText="1"/>
    </xf>
    <xf numFmtId="0" fontId="57" fillId="98" borderId="79" xfId="686" quotePrefix="1" applyNumberFormat="1" applyFont="1" applyFill="1" applyBorder="1" applyAlignment="1">
      <alignment horizontal="left" vertical="top" wrapText="1"/>
    </xf>
    <xf numFmtId="0" fontId="57" fillId="0" borderId="43" xfId="686" quotePrefix="1" applyNumberFormat="1" applyFont="1" applyBorder="1" applyAlignment="1">
      <alignment horizontal="left" vertical="top" wrapText="1"/>
    </xf>
    <xf numFmtId="0" fontId="57" fillId="2" borderId="59" xfId="686" quotePrefix="1" applyNumberFormat="1" applyFont="1" applyFill="1" applyBorder="1" applyAlignment="1">
      <alignment horizontal="left" vertical="top" wrapText="1"/>
    </xf>
    <xf numFmtId="0" fontId="57" fillId="2" borderId="71" xfId="686" quotePrefix="1" applyNumberFormat="1" applyFont="1" applyFill="1" applyBorder="1" applyAlignment="1">
      <alignment horizontal="left" vertical="top" wrapText="1"/>
    </xf>
    <xf numFmtId="169" fontId="57" fillId="0" borderId="74" xfId="686" quotePrefix="1" applyNumberFormat="1" applyFont="1" applyBorder="1" applyAlignment="1">
      <alignment horizontal="left" vertical="top" wrapText="1"/>
    </xf>
    <xf numFmtId="0" fontId="57" fillId="0" borderId="59" xfId="686" quotePrefix="1" applyNumberFormat="1" applyFont="1" applyBorder="1" applyAlignment="1">
      <alignment horizontal="left" vertical="top" wrapText="1"/>
    </xf>
    <xf numFmtId="0" fontId="57" fillId="98" borderId="81" xfId="686" quotePrefix="1" applyNumberFormat="1" applyFont="1" applyFill="1" applyBorder="1" applyAlignment="1">
      <alignment horizontal="left" vertical="top" wrapText="1"/>
    </xf>
    <xf numFmtId="0" fontId="57" fillId="0" borderId="44" xfId="686" quotePrefix="1" applyNumberFormat="1" applyFont="1" applyBorder="1" applyAlignment="1">
      <alignment horizontal="left" vertical="top" wrapText="1"/>
    </xf>
    <xf numFmtId="0" fontId="57" fillId="2" borderId="60" xfId="686" quotePrefix="1" applyNumberFormat="1" applyFont="1" applyFill="1" applyBorder="1" applyAlignment="1">
      <alignment horizontal="left" vertical="top" wrapText="1"/>
    </xf>
    <xf numFmtId="0" fontId="57" fillId="2" borderId="72" xfId="686" quotePrefix="1" applyNumberFormat="1" applyFont="1" applyFill="1" applyBorder="1" applyAlignment="1">
      <alignment horizontal="left" vertical="top" wrapText="1"/>
    </xf>
    <xf numFmtId="169" fontId="57" fillId="0" borderId="75" xfId="686" quotePrefix="1" applyNumberFormat="1" applyFont="1" applyBorder="1" applyAlignment="1">
      <alignment horizontal="left" vertical="top" wrapText="1"/>
    </xf>
    <xf numFmtId="0" fontId="57" fillId="0" borderId="60" xfId="686" quotePrefix="1" applyNumberFormat="1" applyFont="1" applyBorder="1" applyAlignment="1">
      <alignment horizontal="left" vertical="top" wrapText="1"/>
    </xf>
    <xf numFmtId="0" fontId="57" fillId="98" borderId="82" xfId="686" quotePrefix="1" applyNumberFormat="1" applyFont="1" applyFill="1" applyBorder="1" applyAlignment="1">
      <alignment horizontal="left" vertical="top" wrapText="1"/>
    </xf>
    <xf numFmtId="0" fontId="57" fillId="0" borderId="48" xfId="686" quotePrefix="1" applyNumberFormat="1" applyFont="1" applyBorder="1" applyAlignment="1">
      <alignment horizontal="left" vertical="top" wrapText="1"/>
    </xf>
    <xf numFmtId="0" fontId="58" fillId="2" borderId="120" xfId="686" applyNumberFormat="1" applyFont="1" applyFill="1" applyBorder="1" applyAlignment="1">
      <alignment horizontal="left" vertical="top" wrapText="1"/>
    </xf>
    <xf numFmtId="0" fontId="57" fillId="0" borderId="122" xfId="686" quotePrefix="1" applyNumberFormat="1" applyFont="1" applyBorder="1" applyAlignment="1">
      <alignment horizontal="left" vertical="top" wrapText="1"/>
    </xf>
    <xf numFmtId="0" fontId="57" fillId="0" borderId="120" xfId="686" quotePrefix="1" applyNumberFormat="1" applyFont="1" applyBorder="1" applyAlignment="1">
      <alignment horizontal="left" vertical="top" wrapText="1"/>
    </xf>
    <xf numFmtId="0" fontId="57" fillId="98" borderId="77" xfId="686" quotePrefix="1" applyNumberFormat="1" applyFont="1" applyFill="1" applyBorder="1" applyAlignment="1">
      <alignment horizontal="left" vertical="top" wrapText="1"/>
    </xf>
    <xf numFmtId="0" fontId="58" fillId="2" borderId="74" xfId="686" applyNumberFormat="1" applyFont="1" applyFill="1" applyBorder="1" applyAlignment="1">
      <alignment horizontal="left" vertical="top" wrapText="1"/>
    </xf>
    <xf numFmtId="0" fontId="57" fillId="0" borderId="71" xfId="686" quotePrefix="1" applyNumberFormat="1" applyFont="1" applyBorder="1" applyAlignment="1">
      <alignment horizontal="left" vertical="top" wrapText="1"/>
    </xf>
    <xf numFmtId="0" fontId="57" fillId="88" borderId="77" xfId="686" quotePrefix="1" applyNumberFormat="1" applyFont="1" applyFill="1" applyBorder="1" applyAlignment="1">
      <alignment horizontal="left" vertical="top" wrapText="1"/>
    </xf>
    <xf numFmtId="0" fontId="58" fillId="2" borderId="75" xfId="686" applyNumberFormat="1" applyFont="1" applyFill="1" applyBorder="1" applyAlignment="1">
      <alignment horizontal="left" vertical="top" wrapText="1"/>
    </xf>
    <xf numFmtId="0" fontId="57" fillId="0" borderId="72" xfId="686" quotePrefix="1" applyNumberFormat="1" applyFont="1" applyBorder="1" applyAlignment="1">
      <alignment horizontal="left" vertical="top" wrapText="1"/>
    </xf>
    <xf numFmtId="0" fontId="57" fillId="88" borderId="78" xfId="686" quotePrefix="1" applyNumberFormat="1" applyFont="1" applyFill="1" applyBorder="1" applyAlignment="1">
      <alignment horizontal="left" vertical="top" wrapText="1"/>
    </xf>
    <xf numFmtId="0" fontId="58" fillId="2" borderId="73" xfId="686" applyNumberFormat="1" applyFont="1" applyFill="1" applyBorder="1" applyAlignment="1">
      <alignment horizontal="left" vertical="top" wrapText="1"/>
    </xf>
    <xf numFmtId="0" fontId="57" fillId="0" borderId="70" xfId="686" quotePrefix="1" applyNumberFormat="1" applyFont="1" applyBorder="1" applyAlignment="1">
      <alignment horizontal="left" vertical="top" wrapText="1"/>
    </xf>
    <xf numFmtId="0" fontId="57" fillId="98" borderId="124" xfId="686" quotePrefix="1" applyNumberFormat="1" applyFont="1" applyFill="1" applyBorder="1" applyAlignment="1">
      <alignment horizontal="left" vertical="top" wrapText="1"/>
    </xf>
    <xf numFmtId="0" fontId="57" fillId="98" borderId="125" xfId="686" quotePrefix="1" applyNumberFormat="1" applyFont="1" applyFill="1" applyBorder="1" applyAlignment="1">
      <alignment horizontal="left" vertical="top" wrapText="1"/>
    </xf>
    <xf numFmtId="0" fontId="57" fillId="88" borderId="125" xfId="686" quotePrefix="1" applyNumberFormat="1" applyFont="1" applyFill="1" applyBorder="1" applyAlignment="1">
      <alignment horizontal="left" vertical="top" wrapText="1"/>
    </xf>
    <xf numFmtId="0" fontId="58" fillId="2" borderId="83" xfId="686" applyNumberFormat="1" applyFont="1" applyFill="1" applyBorder="1" applyAlignment="1">
      <alignment horizontal="left" vertical="top" wrapText="1"/>
    </xf>
    <xf numFmtId="0" fontId="57" fillId="0" borderId="123" xfId="686" quotePrefix="1" applyNumberFormat="1" applyFont="1" applyBorder="1" applyAlignment="1">
      <alignment horizontal="left" vertical="top" wrapText="1"/>
    </xf>
    <xf numFmtId="0" fontId="57" fillId="88" borderId="126" xfId="686" quotePrefix="1" applyNumberFormat="1" applyFont="1" applyFill="1" applyBorder="1" applyAlignment="1">
      <alignment horizontal="left" vertical="top" wrapText="1"/>
    </xf>
    <xf numFmtId="0" fontId="57" fillId="88" borderId="81" xfId="686" quotePrefix="1" applyNumberFormat="1" applyFont="1" applyFill="1" applyBorder="1" applyAlignment="1">
      <alignment horizontal="left" vertical="top" wrapText="1"/>
    </xf>
    <xf numFmtId="0" fontId="57" fillId="88" borderId="127" xfId="686" quotePrefix="1" applyNumberFormat="1" applyFont="1" applyFill="1" applyBorder="1" applyAlignment="1">
      <alignment horizontal="left" vertical="top" wrapText="1"/>
    </xf>
    <xf numFmtId="0" fontId="57" fillId="88" borderId="82" xfId="686" quotePrefix="1" applyNumberFormat="1" applyFont="1" applyFill="1" applyBorder="1" applyAlignment="1">
      <alignment horizontal="left" vertical="top" wrapText="1"/>
    </xf>
    <xf numFmtId="0" fontId="57" fillId="88" borderId="79" xfId="686" quotePrefix="1" applyNumberFormat="1" applyFont="1" applyFill="1" applyBorder="1" applyAlignment="1">
      <alignment horizontal="left" vertical="top" wrapText="1"/>
    </xf>
    <xf numFmtId="0" fontId="57" fillId="2" borderId="81" xfId="686" applyNumberFormat="1" applyFont="1" applyFill="1" applyBorder="1" applyAlignment="1">
      <alignment horizontal="left" vertical="top" wrapText="1"/>
    </xf>
    <xf numFmtId="169" fontId="57" fillId="0" borderId="83" xfId="686" quotePrefix="1" applyNumberFormat="1" applyFont="1" applyBorder="1" applyAlignment="1">
      <alignment horizontal="left" vertical="top" wrapText="1"/>
    </xf>
    <xf numFmtId="0" fontId="57" fillId="98" borderId="127" xfId="686" quotePrefix="1" applyNumberFormat="1" applyFont="1" applyFill="1" applyBorder="1" applyAlignment="1">
      <alignment horizontal="left" vertical="top" wrapText="1"/>
    </xf>
    <xf numFmtId="170" fontId="57" fillId="0" borderId="73" xfId="686" applyFont="1" applyBorder="1" applyAlignment="1">
      <alignment horizontal="left" vertical="top" wrapText="1"/>
    </xf>
    <xf numFmtId="0" fontId="34" fillId="0" borderId="79" xfId="686" applyNumberFormat="1" applyFont="1" applyBorder="1" applyAlignment="1">
      <alignment horizontal="left" vertical="top" wrapText="1"/>
    </xf>
    <xf numFmtId="0" fontId="34" fillId="0" borderId="44" xfId="686" applyNumberFormat="1" applyFont="1" applyBorder="1" applyAlignment="1">
      <alignment horizontal="left" vertical="top" wrapText="1"/>
    </xf>
    <xf numFmtId="170" fontId="57" fillId="0" borderId="74" xfId="686" applyFont="1" applyBorder="1" applyAlignment="1">
      <alignment horizontal="left" vertical="top" wrapText="1"/>
    </xf>
    <xf numFmtId="0" fontId="34" fillId="0" borderId="81" xfId="686" applyNumberFormat="1" applyFont="1" applyBorder="1" applyAlignment="1">
      <alignment horizontal="left" vertical="top" wrapText="1"/>
    </xf>
    <xf numFmtId="170" fontId="57" fillId="0" borderId="75" xfId="686" applyFont="1" applyBorder="1" applyAlignment="1">
      <alignment horizontal="left" vertical="top" wrapText="1"/>
    </xf>
    <xf numFmtId="0" fontId="34" fillId="0" borderId="82" xfId="686" applyNumberFormat="1" applyFont="1" applyBorder="1" applyAlignment="1">
      <alignment horizontal="left" vertical="top" wrapText="1"/>
    </xf>
    <xf numFmtId="0" fontId="57" fillId="0" borderId="120" xfId="686" applyNumberFormat="1" applyFont="1" applyBorder="1" applyAlignment="1">
      <alignment horizontal="left" vertical="top" wrapText="1"/>
    </xf>
    <xf numFmtId="0" fontId="57" fillId="2" borderId="121" xfId="686" applyNumberFormat="1" applyFont="1" applyFill="1" applyBorder="1" applyAlignment="1">
      <alignment horizontal="left" vertical="top" wrapText="1"/>
    </xf>
    <xf numFmtId="0" fontId="57" fillId="0" borderId="43" xfId="686" applyNumberFormat="1" applyFont="1" applyBorder="1" applyAlignment="1">
      <alignment horizontal="left" vertical="top" wrapText="1"/>
    </xf>
    <xf numFmtId="0" fontId="57" fillId="0" borderId="44" xfId="686" applyNumberFormat="1" applyFont="1" applyBorder="1" applyAlignment="1">
      <alignment horizontal="left" vertical="top" wrapText="1"/>
    </xf>
    <xf numFmtId="0" fontId="57" fillId="0" borderId="48" xfId="686" applyNumberFormat="1" applyFont="1" applyBorder="1" applyAlignment="1">
      <alignment horizontal="left" vertical="top" wrapText="1"/>
    </xf>
    <xf numFmtId="0" fontId="57" fillId="0" borderId="62" xfId="686" quotePrefix="1" applyNumberFormat="1" applyFont="1" applyBorder="1" applyAlignment="1">
      <alignment horizontal="left" vertical="top" wrapText="1"/>
    </xf>
    <xf numFmtId="0" fontId="57" fillId="2" borderId="122" xfId="686" quotePrefix="1" applyNumberFormat="1" applyFont="1" applyFill="1" applyBorder="1" applyAlignment="1">
      <alignment horizontal="left" vertical="top" wrapText="1"/>
    </xf>
    <xf numFmtId="0" fontId="57" fillId="98" borderId="121" xfId="686" quotePrefix="1" applyNumberFormat="1" applyFont="1" applyFill="1" applyBorder="1" applyAlignment="1">
      <alignment horizontal="left" vertical="top" wrapText="1"/>
    </xf>
    <xf numFmtId="0" fontId="58" fillId="0" borderId="73" xfId="686" applyNumberFormat="1" applyFont="1" applyBorder="1" applyAlignment="1">
      <alignment horizontal="left" vertical="top" wrapText="1"/>
    </xf>
    <xf numFmtId="0" fontId="58" fillId="0" borderId="74" xfId="686" applyNumberFormat="1" applyFont="1" applyBorder="1" applyAlignment="1">
      <alignment horizontal="left" vertical="top" wrapText="1"/>
    </xf>
    <xf numFmtId="0" fontId="58" fillId="0" borderId="83" xfId="686" applyNumberFormat="1" applyFont="1" applyBorder="1" applyAlignment="1">
      <alignment horizontal="left" vertical="top" wrapText="1"/>
    </xf>
    <xf numFmtId="0" fontId="57" fillId="0" borderId="79" xfId="686" applyNumberFormat="1" applyFont="1" applyBorder="1" applyAlignment="1">
      <alignment horizontal="left" vertical="top" wrapText="1"/>
    </xf>
    <xf numFmtId="0" fontId="57" fillId="0" borderId="81" xfId="686" applyNumberFormat="1" applyFont="1" applyBorder="1" applyAlignment="1">
      <alignment horizontal="left" vertical="top" wrapText="1"/>
    </xf>
    <xf numFmtId="170" fontId="57" fillId="0" borderId="83" xfId="686" applyFont="1" applyBorder="1" applyAlignment="1">
      <alignment horizontal="left" vertical="top" wrapText="1"/>
    </xf>
    <xf numFmtId="0" fontId="57" fillId="0" borderId="127" xfId="686" applyNumberFormat="1" applyFont="1" applyBorder="1" applyAlignment="1">
      <alignment horizontal="left" vertical="top" wrapText="1"/>
    </xf>
    <xf numFmtId="170" fontId="57" fillId="2" borderId="73" xfId="686" applyFont="1" applyFill="1" applyBorder="1" applyAlignment="1">
      <alignment horizontal="left" vertical="top" wrapText="1"/>
    </xf>
    <xf numFmtId="0" fontId="57" fillId="2" borderId="79" xfId="686" applyNumberFormat="1" applyFont="1" applyFill="1" applyBorder="1" applyAlignment="1">
      <alignment horizontal="left" vertical="top" wrapText="1"/>
    </xf>
    <xf numFmtId="0" fontId="57" fillId="0" borderId="146" xfId="686" applyNumberFormat="1" applyFont="1" applyBorder="1" applyAlignment="1">
      <alignment horizontal="left" vertical="top" wrapText="1"/>
    </xf>
    <xf numFmtId="170" fontId="57" fillId="2" borderId="74" xfId="686" applyFont="1" applyFill="1" applyBorder="1" applyAlignment="1">
      <alignment horizontal="left" vertical="top" wrapText="1"/>
    </xf>
    <xf numFmtId="0" fontId="57" fillId="0" borderId="144" xfId="686" applyNumberFormat="1" applyFont="1" applyBorder="1" applyAlignment="1">
      <alignment horizontal="left" vertical="top" wrapText="1"/>
    </xf>
    <xf numFmtId="0" fontId="57" fillId="2" borderId="82" xfId="686" applyNumberFormat="1" applyFont="1" applyFill="1" applyBorder="1" applyAlignment="1">
      <alignment horizontal="left" vertical="top" wrapText="1"/>
    </xf>
    <xf numFmtId="0" fontId="57" fillId="0" borderId="147" xfId="686" applyNumberFormat="1" applyFont="1" applyBorder="1" applyAlignment="1">
      <alignment horizontal="left" vertical="top" wrapText="1"/>
    </xf>
    <xf numFmtId="14" fontId="57" fillId="2" borderId="73" xfId="686" applyNumberFormat="1" applyFont="1" applyFill="1" applyBorder="1" applyAlignment="1">
      <alignment horizontal="left" vertical="top" wrapText="1"/>
    </xf>
    <xf numFmtId="0" fontId="57" fillId="0" borderId="145" xfId="686" applyNumberFormat="1" applyFont="1" applyBorder="1" applyAlignment="1">
      <alignment horizontal="left" vertical="top" wrapText="1"/>
    </xf>
    <xf numFmtId="14" fontId="57" fillId="2" borderId="75" xfId="686" applyNumberFormat="1" applyFont="1" applyFill="1" applyBorder="1" applyAlignment="1">
      <alignment horizontal="left" vertical="top" wrapText="1"/>
    </xf>
    <xf numFmtId="0" fontId="57" fillId="0" borderId="82" xfId="686" applyNumberFormat="1" applyFont="1" applyBorder="1" applyAlignment="1">
      <alignment horizontal="left" vertical="top" wrapText="1"/>
    </xf>
    <xf numFmtId="0" fontId="58" fillId="0" borderId="75" xfId="686" applyNumberFormat="1" applyFont="1" applyBorder="1" applyAlignment="1">
      <alignment horizontal="left" vertical="top" wrapText="1"/>
    </xf>
    <xf numFmtId="0" fontId="57" fillId="113" borderId="146" xfId="686" applyNumberFormat="1" applyFont="1" applyFill="1" applyBorder="1" applyAlignment="1">
      <alignment horizontal="left" vertical="top" wrapText="1"/>
    </xf>
    <xf numFmtId="0" fontId="57" fillId="113" borderId="144" xfId="686" applyNumberFormat="1" applyFont="1" applyFill="1" applyBorder="1" applyAlignment="1">
      <alignment horizontal="left" vertical="top" wrapText="1"/>
    </xf>
    <xf numFmtId="0" fontId="57" fillId="113" borderId="147" xfId="686" applyNumberFormat="1" applyFont="1" applyFill="1" applyBorder="1" applyAlignment="1">
      <alignment horizontal="left" vertical="top" wrapText="1"/>
    </xf>
    <xf numFmtId="0" fontId="57" fillId="2" borderId="146" xfId="686" applyNumberFormat="1" applyFont="1" applyFill="1" applyBorder="1" applyAlignment="1">
      <alignment horizontal="left" vertical="top" wrapText="1"/>
    </xf>
    <xf numFmtId="0" fontId="57" fillId="2" borderId="78" xfId="686" applyNumberFormat="1" applyFont="1" applyFill="1" applyBorder="1" applyAlignment="1">
      <alignment horizontal="left" vertical="top" wrapText="1"/>
    </xf>
    <xf numFmtId="0" fontId="57" fillId="113" borderId="145" xfId="686" applyNumberFormat="1" applyFont="1" applyFill="1" applyBorder="1" applyAlignment="1">
      <alignment horizontal="left" vertical="top" wrapText="1"/>
    </xf>
    <xf numFmtId="169" fontId="57" fillId="2" borderId="74" xfId="686" applyNumberFormat="1" applyFont="1" applyFill="1" applyBorder="1" applyAlignment="1">
      <alignment horizontal="left" vertical="top" wrapText="1"/>
    </xf>
    <xf numFmtId="0" fontId="57" fillId="2" borderId="71" xfId="686" applyNumberFormat="1" applyFont="1" applyFill="1" applyBorder="1" applyAlignment="1">
      <alignment horizontal="left" vertical="top" wrapText="1"/>
    </xf>
    <xf numFmtId="0" fontId="57" fillId="2" borderId="142" xfId="686" applyNumberFormat="1" applyFont="1" applyFill="1" applyBorder="1" applyAlignment="1">
      <alignment horizontal="left" vertical="top" wrapText="1"/>
    </xf>
    <xf numFmtId="170" fontId="57" fillId="0" borderId="0" xfId="686" applyFont="1" applyAlignment="1">
      <alignment horizontal="left" vertical="top"/>
    </xf>
    <xf numFmtId="0" fontId="57" fillId="2" borderId="123" xfId="686" applyNumberFormat="1" applyFont="1" applyFill="1" applyBorder="1" applyAlignment="1">
      <alignment horizontal="left" vertical="top" wrapText="1"/>
    </xf>
    <xf numFmtId="0" fontId="57" fillId="2" borderId="143" xfId="686" applyNumberFormat="1" applyFont="1" applyFill="1" applyBorder="1" applyAlignment="1">
      <alignment horizontal="left" vertical="top" wrapText="1"/>
    </xf>
    <xf numFmtId="0" fontId="57" fillId="0" borderId="70" xfId="686" applyNumberFormat="1" applyFont="1" applyBorder="1" applyAlignment="1">
      <alignment horizontal="left" vertical="top" wrapText="1"/>
    </xf>
    <xf numFmtId="0" fontId="57" fillId="113" borderId="79" xfId="686" applyNumberFormat="1" applyFont="1" applyFill="1" applyBorder="1" applyAlignment="1">
      <alignment horizontal="left" vertical="top" wrapText="1"/>
    </xf>
    <xf numFmtId="169" fontId="94" fillId="0" borderId="74" xfId="686" quotePrefix="1" applyNumberFormat="1" applyFont="1" applyBorder="1" applyAlignment="1">
      <alignment horizontal="left" vertical="top" wrapText="1"/>
    </xf>
    <xf numFmtId="0" fontId="57" fillId="0" borderId="122" xfId="686" applyNumberFormat="1" applyFont="1" applyBorder="1" applyAlignment="1">
      <alignment horizontal="left" vertical="top" wrapText="1"/>
    </xf>
    <xf numFmtId="0" fontId="57" fillId="113" borderId="81" xfId="686" applyNumberFormat="1" applyFont="1" applyFill="1" applyBorder="1" applyAlignment="1">
      <alignment horizontal="left" vertical="top" wrapText="1"/>
    </xf>
    <xf numFmtId="169" fontId="94" fillId="0" borderId="75" xfId="686" quotePrefix="1" applyNumberFormat="1" applyFont="1" applyBorder="1" applyAlignment="1">
      <alignment horizontal="left" vertical="top" wrapText="1"/>
    </xf>
    <xf numFmtId="0" fontId="57" fillId="113" borderId="82" xfId="686" applyNumberFormat="1" applyFont="1" applyFill="1" applyBorder="1" applyAlignment="1">
      <alignment horizontal="left" vertical="top" wrapText="1"/>
    </xf>
    <xf numFmtId="0" fontId="93" fillId="0" borderId="64" xfId="686" quotePrefix="1" applyNumberFormat="1" applyFont="1" applyBorder="1" applyAlignment="1">
      <alignment horizontal="left" vertical="top" wrapText="1"/>
    </xf>
    <xf numFmtId="0" fontId="94" fillId="0" borderId="64" xfId="686" applyNumberFormat="1" applyFont="1" applyBorder="1" applyAlignment="1">
      <alignment horizontal="left" vertical="top" wrapText="1"/>
    </xf>
    <xf numFmtId="169" fontId="94" fillId="0" borderId="64" xfId="686" quotePrefix="1" applyNumberFormat="1" applyFont="1" applyBorder="1" applyAlignment="1">
      <alignment horizontal="left" vertical="top" wrapText="1"/>
    </xf>
    <xf numFmtId="0" fontId="94" fillId="0" borderId="64" xfId="686" applyNumberFormat="1" applyFont="1" applyBorder="1" applyAlignment="1" applyProtection="1">
      <alignment horizontal="left" vertical="top" wrapText="1"/>
      <protection locked="0" hidden="1"/>
    </xf>
    <xf numFmtId="0" fontId="92" fillId="0" borderId="64" xfId="0" applyFont="1" applyBorder="1" applyAlignment="1">
      <alignment horizontal="left" vertical="top"/>
    </xf>
    <xf numFmtId="0" fontId="94" fillId="0" borderId="64" xfId="686" quotePrefix="1" applyNumberFormat="1" applyFont="1" applyBorder="1" applyAlignment="1">
      <alignment horizontal="left" vertical="top" wrapText="1"/>
    </xf>
    <xf numFmtId="0" fontId="57" fillId="0" borderId="64" xfId="686" quotePrefix="1" applyNumberFormat="1" applyFont="1" applyBorder="1" applyAlignment="1">
      <alignment horizontal="left" vertical="top" wrapText="1"/>
    </xf>
    <xf numFmtId="169" fontId="57" fillId="0" borderId="64" xfId="686" quotePrefix="1" applyNumberFormat="1" applyFont="1" applyBorder="1" applyAlignment="1">
      <alignment horizontal="left" vertical="top" wrapText="1"/>
    </xf>
    <xf numFmtId="0" fontId="57" fillId="113" borderId="148" xfId="686" applyNumberFormat="1" applyFont="1" applyFill="1" applyBorder="1" applyAlignment="1">
      <alignment horizontal="left" vertical="top" wrapText="1"/>
    </xf>
    <xf numFmtId="170" fontId="50" fillId="0" borderId="74" xfId="686" applyFont="1" applyBorder="1" applyAlignment="1">
      <alignment horizontal="left" vertical="top"/>
    </xf>
    <xf numFmtId="0" fontId="94" fillId="0" borderId="74" xfId="686" quotePrefix="1" applyNumberFormat="1" applyFont="1" applyBorder="1" applyAlignment="1" applyProtection="1">
      <alignment horizontal="left" vertical="top" wrapText="1"/>
      <protection locked="0" hidden="1"/>
    </xf>
    <xf numFmtId="0" fontId="57" fillId="0" borderId="71" xfId="686" applyNumberFormat="1" applyFont="1" applyBorder="1" applyAlignment="1">
      <alignment horizontal="left" vertical="top" wrapText="1"/>
    </xf>
    <xf numFmtId="0" fontId="57" fillId="113" borderId="142" xfId="686" applyNumberFormat="1" applyFont="1" applyFill="1" applyBorder="1" applyAlignment="1">
      <alignment horizontal="left" vertical="top" wrapText="1"/>
    </xf>
    <xf numFmtId="0" fontId="93" fillId="0" borderId="83" xfId="686" quotePrefix="1" applyNumberFormat="1" applyFont="1" applyBorder="1" applyAlignment="1">
      <alignment horizontal="left" vertical="top" wrapText="1"/>
    </xf>
    <xf numFmtId="0" fontId="94" fillId="0" borderId="83" xfId="686" applyNumberFormat="1" applyFont="1" applyBorder="1" applyAlignment="1">
      <alignment horizontal="left" vertical="top" wrapText="1"/>
    </xf>
    <xf numFmtId="169" fontId="94" fillId="0" borderId="83" xfId="686" applyNumberFormat="1" applyFont="1" applyBorder="1" applyAlignment="1">
      <alignment horizontal="left" vertical="top" wrapText="1"/>
    </xf>
    <xf numFmtId="0" fontId="94" fillId="0" borderId="83" xfId="686" applyNumberFormat="1" applyFont="1" applyBorder="1" applyAlignment="1" applyProtection="1">
      <alignment horizontal="left" vertical="top" wrapText="1"/>
      <protection locked="0" hidden="1"/>
    </xf>
    <xf numFmtId="0" fontId="92" fillId="0" borderId="83" xfId="0" applyFont="1" applyBorder="1" applyAlignment="1">
      <alignment horizontal="left" vertical="top"/>
    </xf>
    <xf numFmtId="0" fontId="94" fillId="0" borderId="83" xfId="686" quotePrefix="1" applyNumberFormat="1" applyFont="1" applyBorder="1" applyAlignment="1">
      <alignment horizontal="left" vertical="top" wrapText="1"/>
    </xf>
    <xf numFmtId="0" fontId="57" fillId="0" borderId="72" xfId="686" applyNumberFormat="1" applyFont="1" applyBorder="1" applyAlignment="1">
      <alignment horizontal="left" vertical="top" wrapText="1"/>
    </xf>
    <xf numFmtId="0" fontId="57" fillId="113" borderId="115" xfId="686" applyNumberFormat="1" applyFont="1" applyFill="1" applyBorder="1" applyAlignment="1">
      <alignment horizontal="left" vertical="top" wrapText="1"/>
    </xf>
    <xf numFmtId="0" fontId="93" fillId="0" borderId="62" xfId="686" quotePrefix="1" applyNumberFormat="1" applyFont="1" applyBorder="1" applyAlignment="1">
      <alignment horizontal="left" vertical="top" wrapText="1"/>
    </xf>
    <xf numFmtId="0" fontId="94" fillId="0" borderId="62" xfId="686" applyNumberFormat="1" applyFont="1" applyBorder="1" applyAlignment="1">
      <alignment horizontal="left" vertical="top" wrapText="1"/>
    </xf>
    <xf numFmtId="14" fontId="94" fillId="0" borderId="62" xfId="686" quotePrefix="1" applyNumberFormat="1" applyFont="1" applyBorder="1" applyAlignment="1">
      <alignment horizontal="left" vertical="top" wrapText="1"/>
    </xf>
    <xf numFmtId="0" fontId="94" fillId="0" borderId="62" xfId="686" applyNumberFormat="1" applyFont="1" applyBorder="1" applyAlignment="1" applyProtection="1">
      <alignment horizontal="left" vertical="top" wrapText="1"/>
      <protection locked="0" hidden="1"/>
    </xf>
    <xf numFmtId="0" fontId="92" fillId="0" borderId="62" xfId="0" applyFont="1" applyBorder="1" applyAlignment="1">
      <alignment horizontal="left" vertical="top"/>
    </xf>
    <xf numFmtId="0" fontId="94" fillId="0" borderId="62" xfId="686" quotePrefix="1" applyNumberFormat="1" applyFont="1" applyBorder="1" applyAlignment="1">
      <alignment horizontal="left" vertical="top" wrapText="1"/>
    </xf>
    <xf numFmtId="0" fontId="58" fillId="0" borderId="62" xfId="686" applyNumberFormat="1" applyFont="1" applyBorder="1" applyAlignment="1">
      <alignment horizontal="left" vertical="top" wrapText="1"/>
    </xf>
    <xf numFmtId="169" fontId="57" fillId="0" borderId="62" xfId="686" quotePrefix="1" applyNumberFormat="1" applyFont="1" applyBorder="1" applyAlignment="1">
      <alignment horizontal="left" vertical="top" wrapText="1"/>
    </xf>
    <xf numFmtId="0" fontId="57" fillId="0" borderId="134" xfId="686" applyNumberFormat="1" applyFont="1" applyBorder="1" applyAlignment="1">
      <alignment horizontal="left" vertical="top" wrapText="1"/>
    </xf>
    <xf numFmtId="0" fontId="57" fillId="113" borderId="111" xfId="686" applyNumberFormat="1" applyFont="1" applyFill="1" applyBorder="1" applyAlignment="1">
      <alignment horizontal="left" vertical="top" wrapText="1"/>
    </xf>
    <xf numFmtId="183" fontId="94" fillId="0" borderId="74" xfId="686" applyNumberFormat="1" applyFont="1" applyBorder="1" applyAlignment="1">
      <alignment horizontal="left" vertical="top" wrapText="1"/>
    </xf>
    <xf numFmtId="0" fontId="57" fillId="0" borderId="123" xfId="686" applyNumberFormat="1" applyFont="1" applyBorder="1" applyAlignment="1">
      <alignment horizontal="left" vertical="top" wrapText="1"/>
    </xf>
    <xf numFmtId="0" fontId="57" fillId="113" borderId="143" xfId="686" applyNumberFormat="1" applyFont="1" applyFill="1" applyBorder="1" applyAlignment="1">
      <alignment horizontal="left" vertical="top" wrapText="1"/>
    </xf>
    <xf numFmtId="169" fontId="57" fillId="2" borderId="73" xfId="686" applyNumberFormat="1" applyFont="1" applyFill="1" applyBorder="1" applyAlignment="1">
      <alignment horizontal="left" vertical="top" wrapText="1"/>
    </xf>
    <xf numFmtId="169" fontId="57" fillId="2" borderId="75" xfId="686" applyNumberFormat="1" applyFont="1" applyFill="1" applyBorder="1" applyAlignment="1">
      <alignment horizontal="left" vertical="top" wrapText="1"/>
    </xf>
    <xf numFmtId="0" fontId="93" fillId="0" borderId="120" xfId="686" quotePrefix="1" applyNumberFormat="1" applyFont="1" applyBorder="1" applyAlignment="1">
      <alignment horizontal="left" vertical="top" wrapText="1"/>
    </xf>
    <xf numFmtId="0" fontId="57" fillId="113" borderId="44" xfId="686" applyNumberFormat="1" applyFont="1" applyFill="1" applyBorder="1" applyAlignment="1">
      <alignment horizontal="left" vertical="top" wrapText="1"/>
    </xf>
    <xf numFmtId="0" fontId="57" fillId="113" borderId="48" xfId="686" applyNumberFormat="1" applyFont="1" applyFill="1" applyBorder="1" applyAlignment="1">
      <alignment horizontal="left" vertical="top" wrapText="1"/>
    </xf>
    <xf numFmtId="0" fontId="57" fillId="113" borderId="121" xfId="686" applyNumberFormat="1" applyFont="1" applyFill="1" applyBorder="1" applyAlignment="1">
      <alignment horizontal="left" vertical="top" wrapText="1"/>
    </xf>
    <xf numFmtId="0" fontId="57" fillId="113" borderId="127" xfId="686" applyNumberFormat="1" applyFont="1" applyFill="1" applyBorder="1" applyAlignment="1">
      <alignment horizontal="left" vertical="top" wrapText="1"/>
    </xf>
    <xf numFmtId="169" fontId="57" fillId="2" borderId="83" xfId="686" applyNumberFormat="1" applyFont="1" applyFill="1" applyBorder="1" applyAlignment="1">
      <alignment horizontal="left" vertical="top" wrapText="1"/>
    </xf>
    <xf numFmtId="0" fontId="30" fillId="2" borderId="74" xfId="682" applyFill="1" applyBorder="1" applyAlignment="1">
      <alignment horizontal="left" vertical="top" wrapText="1"/>
    </xf>
    <xf numFmtId="0" fontId="63" fillId="2" borderId="74" xfId="682" applyFont="1" applyFill="1" applyBorder="1" applyAlignment="1">
      <alignment horizontal="left" vertical="top" wrapText="1"/>
    </xf>
    <xf numFmtId="0" fontId="57" fillId="3" borderId="74" xfId="686" applyNumberFormat="1" applyFont="1" applyFill="1" applyBorder="1" applyAlignment="1">
      <alignment horizontal="left" vertical="top" wrapText="1"/>
    </xf>
    <xf numFmtId="169" fontId="57" fillId="2" borderId="120" xfId="686" applyNumberFormat="1" applyFont="1" applyFill="1" applyBorder="1" applyAlignment="1">
      <alignment horizontal="left" vertical="top" wrapText="1"/>
    </xf>
    <xf numFmtId="184" fontId="57" fillId="2" borderId="120" xfId="686" applyNumberFormat="1" applyFont="1" applyFill="1" applyBorder="1" applyAlignment="1">
      <alignment horizontal="left" vertical="top" wrapText="1"/>
    </xf>
    <xf numFmtId="184" fontId="57" fillId="2" borderId="74" xfId="686" applyNumberFormat="1" applyFont="1" applyFill="1" applyBorder="1" applyAlignment="1">
      <alignment horizontal="left" vertical="top" wrapText="1"/>
    </xf>
    <xf numFmtId="184" fontId="57" fillId="2" borderId="83" xfId="686" applyNumberFormat="1" applyFont="1" applyFill="1" applyBorder="1" applyAlignment="1">
      <alignment horizontal="left" vertical="top" wrapText="1"/>
    </xf>
    <xf numFmtId="169" fontId="57" fillId="2" borderId="62" xfId="686" applyNumberFormat="1" applyFont="1" applyFill="1" applyBorder="1" applyAlignment="1">
      <alignment horizontal="left" vertical="top" wrapText="1"/>
    </xf>
    <xf numFmtId="0" fontId="57" fillId="113" borderId="76" xfId="686" applyNumberFormat="1" applyFont="1" applyFill="1" applyBorder="1" applyAlignment="1">
      <alignment horizontal="left" vertical="top" wrapText="1"/>
    </xf>
    <xf numFmtId="0" fontId="57" fillId="3" borderId="74" xfId="686" quotePrefix="1" applyNumberFormat="1" applyFont="1" applyFill="1" applyBorder="1" applyAlignment="1">
      <alignment horizontal="left" vertical="top" wrapText="1"/>
    </xf>
    <xf numFmtId="0" fontId="93" fillId="0" borderId="66" xfId="686" quotePrefix="1" applyNumberFormat="1" applyFont="1" applyBorder="1" applyAlignment="1">
      <alignment horizontal="left" vertical="top" wrapText="1"/>
    </xf>
    <xf numFmtId="0" fontId="57" fillId="113" borderId="78" xfId="686" applyNumberFormat="1" applyFont="1" applyFill="1" applyBorder="1" applyAlignment="1">
      <alignment horizontal="left" vertical="top" wrapText="1"/>
    </xf>
    <xf numFmtId="0" fontId="57" fillId="113" borderId="77" xfId="686" applyNumberFormat="1" applyFont="1" applyFill="1" applyBorder="1" applyAlignment="1">
      <alignment horizontal="left" vertical="top" wrapText="1"/>
    </xf>
    <xf numFmtId="0" fontId="57" fillId="113" borderId="43" xfId="686" applyNumberFormat="1" applyFont="1" applyFill="1" applyBorder="1" applyAlignment="1">
      <alignment horizontal="left" vertical="top" wrapText="1"/>
    </xf>
    <xf numFmtId="0" fontId="58" fillId="2" borderId="71" xfId="686" applyNumberFormat="1" applyFont="1" applyFill="1" applyBorder="1" applyAlignment="1">
      <alignment horizontal="left" vertical="top" wrapText="1"/>
    </xf>
    <xf numFmtId="0" fontId="57" fillId="2" borderId="135" xfId="686" quotePrefix="1" applyNumberFormat="1" applyFont="1" applyFill="1" applyBorder="1" applyAlignment="1">
      <alignment horizontal="left" vertical="top" wrapText="1"/>
    </xf>
    <xf numFmtId="0" fontId="0" fillId="2" borderId="74" xfId="0" quotePrefix="1" applyFill="1" applyBorder="1" applyAlignment="1">
      <alignment horizontal="left" vertical="top" wrapText="1"/>
    </xf>
    <xf numFmtId="0" fontId="39" fillId="0" borderId="36" xfId="0" applyFont="1" applyBorder="1" applyAlignment="1">
      <alignment horizontal="left" vertical="center"/>
    </xf>
    <xf numFmtId="15" fontId="39" fillId="0" borderId="35" xfId="0" applyNumberFormat="1" applyFont="1" applyBorder="1" applyAlignment="1">
      <alignment horizontal="left" vertical="center"/>
    </xf>
    <xf numFmtId="15" fontId="57" fillId="2" borderId="120" xfId="686" applyNumberFormat="1" applyFont="1" applyFill="1" applyBorder="1" applyAlignment="1" applyProtection="1">
      <alignment horizontal="left" vertical="top" wrapText="1"/>
      <protection hidden="1"/>
    </xf>
    <xf numFmtId="15" fontId="57" fillId="2" borderId="73" xfId="686" applyNumberFormat="1" applyFont="1" applyFill="1" applyBorder="1" applyAlignment="1" applyProtection="1">
      <alignment horizontal="left" vertical="top" wrapText="1"/>
      <protection hidden="1"/>
    </xf>
    <xf numFmtId="15" fontId="57" fillId="2" borderId="75" xfId="686" applyNumberFormat="1" applyFont="1" applyFill="1" applyBorder="1" applyAlignment="1" applyProtection="1">
      <alignment horizontal="left" vertical="top" wrapText="1"/>
      <protection hidden="1"/>
    </xf>
    <xf numFmtId="15" fontId="57" fillId="2" borderId="83" xfId="686" applyNumberFormat="1" applyFont="1" applyFill="1" applyBorder="1" applyAlignment="1" applyProtection="1">
      <alignment horizontal="left" vertical="top" wrapText="1"/>
      <protection hidden="1"/>
    </xf>
    <xf numFmtId="0" fontId="57" fillId="2" borderId="151" xfId="686" applyNumberFormat="1" applyFont="1" applyFill="1" applyBorder="1" applyAlignment="1">
      <alignment horizontal="left" vertical="top" wrapText="1"/>
    </xf>
    <xf numFmtId="0" fontId="57" fillId="2" borderId="151" xfId="686" quotePrefix="1" applyNumberFormat="1" applyFont="1" applyFill="1" applyBorder="1" applyAlignment="1">
      <alignment horizontal="left" vertical="top" wrapText="1"/>
    </xf>
    <xf numFmtId="0" fontId="57" fillId="2" borderId="151" xfId="686" applyNumberFormat="1" applyFont="1" applyFill="1" applyBorder="1" applyAlignment="1">
      <alignment vertical="top" wrapText="1"/>
    </xf>
    <xf numFmtId="0" fontId="58" fillId="2" borderId="151" xfId="686" applyNumberFormat="1" applyFont="1" applyFill="1" applyBorder="1" applyAlignment="1">
      <alignment horizontal="left" vertical="top" wrapText="1"/>
    </xf>
    <xf numFmtId="169" fontId="57" fillId="2" borderId="151" xfId="686" applyNumberFormat="1" applyFont="1" applyFill="1" applyBorder="1" applyAlignment="1">
      <alignment horizontal="left" vertical="top" wrapText="1"/>
    </xf>
    <xf numFmtId="0" fontId="57" fillId="113" borderId="152" xfId="686" applyNumberFormat="1" applyFont="1" applyFill="1" applyBorder="1" applyAlignment="1">
      <alignment horizontal="left" vertical="top" wrapText="1"/>
    </xf>
    <xf numFmtId="15" fontId="57" fillId="2" borderId="64" xfId="686" applyNumberFormat="1" applyFont="1" applyFill="1" applyBorder="1" applyAlignment="1" applyProtection="1">
      <alignment horizontal="left" vertical="top" wrapText="1"/>
      <protection hidden="1"/>
    </xf>
    <xf numFmtId="0" fontId="57" fillId="3" borderId="73" xfId="686" quotePrefix="1" applyNumberFormat="1" applyFont="1" applyFill="1" applyBorder="1" applyAlignment="1">
      <alignment horizontal="left" vertical="top" wrapText="1"/>
    </xf>
    <xf numFmtId="0" fontId="30" fillId="0" borderId="0" xfId="0" applyFont="1" applyAlignment="1">
      <alignment horizontal="center" vertical="center"/>
    </xf>
    <xf numFmtId="0" fontId="39" fillId="115" borderId="1" xfId="0" applyFont="1" applyFill="1" applyBorder="1" applyAlignment="1">
      <alignment horizontal="center" vertical="center"/>
    </xf>
    <xf numFmtId="0" fontId="39" fillId="115" borderId="1" xfId="0" applyFont="1" applyFill="1" applyBorder="1" applyAlignment="1">
      <alignment horizontal="left" vertical="center"/>
    </xf>
    <xf numFmtId="15" fontId="39" fillId="115" borderId="1" xfId="0" applyNumberFormat="1" applyFont="1" applyFill="1" applyBorder="1" applyAlignment="1">
      <alignment horizontal="center" vertical="center"/>
    </xf>
    <xf numFmtId="15" fontId="39" fillId="115" borderId="1" xfId="0" applyNumberFormat="1" applyFont="1" applyFill="1" applyBorder="1" applyAlignment="1">
      <alignment horizontal="left" vertical="center"/>
    </xf>
    <xf numFmtId="0" fontId="39" fillId="115" borderId="1" xfId="0" applyFont="1" applyFill="1" applyBorder="1" applyAlignment="1">
      <alignment horizontal="center" vertical="center" wrapText="1"/>
    </xf>
    <xf numFmtId="0" fontId="39" fillId="115" borderId="1" xfId="0" applyFont="1" applyFill="1" applyBorder="1" applyAlignment="1">
      <alignment horizontal="left" vertical="center" wrapText="1"/>
    </xf>
    <xf numFmtId="0" fontId="34" fillId="3" borderId="73" xfId="686" applyNumberFormat="1" applyFont="1" applyFill="1" applyBorder="1" applyAlignment="1">
      <alignment horizontal="left" vertical="top" wrapText="1"/>
    </xf>
    <xf numFmtId="0" fontId="57" fillId="3" borderId="73" xfId="686" applyNumberFormat="1" applyFont="1" applyFill="1" applyBorder="1" applyAlignment="1">
      <alignment horizontal="left" vertical="top" wrapText="1"/>
    </xf>
    <xf numFmtId="0" fontId="57" fillId="2" borderId="66" xfId="686" applyNumberFormat="1" applyFont="1" applyFill="1" applyBorder="1" applyAlignment="1">
      <alignment vertical="top" wrapText="1"/>
    </xf>
    <xf numFmtId="0" fontId="39" fillId="0" borderId="1" xfId="0" quotePrefix="1" applyFont="1" applyBorder="1" applyAlignment="1">
      <alignment vertical="center"/>
    </xf>
    <xf numFmtId="170" fontId="66" fillId="0" borderId="91" xfId="688" applyFont="1" applyBorder="1" applyAlignment="1">
      <alignment horizontal="left" vertical="top"/>
    </xf>
    <xf numFmtId="170" fontId="66" fillId="0" borderId="92" xfId="688" applyFont="1" applyBorder="1" applyAlignment="1">
      <alignment horizontal="left" vertical="top"/>
    </xf>
    <xf numFmtId="170" fontId="66" fillId="0" borderId="84" xfId="688" applyFont="1" applyBorder="1" applyAlignment="1">
      <alignment horizontal="left" vertical="top"/>
    </xf>
    <xf numFmtId="170" fontId="66" fillId="0" borderId="88" xfId="688" applyFont="1" applyBorder="1" applyAlignment="1">
      <alignment horizontal="left" vertical="top"/>
    </xf>
    <xf numFmtId="170" fontId="66" fillId="0" borderId="89" xfId="688" applyFont="1" applyBorder="1" applyAlignment="1">
      <alignment horizontal="left" vertical="top"/>
    </xf>
    <xf numFmtId="9" fontId="76" fillId="0" borderId="89" xfId="217" applyFont="1" applyFill="1" applyBorder="1" applyAlignment="1">
      <alignment horizontal="center" vertical="center"/>
    </xf>
    <xf numFmtId="186" fontId="36" fillId="100" borderId="1" xfId="0" applyNumberFormat="1" applyFont="1" applyFill="1" applyBorder="1" applyAlignment="1">
      <alignment horizontal="center"/>
    </xf>
    <xf numFmtId="0" fontId="39" fillId="115" borderId="35" xfId="0" applyFont="1" applyFill="1" applyBorder="1" applyAlignment="1">
      <alignment horizontal="center" vertical="center"/>
    </xf>
    <xf numFmtId="0" fontId="39" fillId="115" borderId="36" xfId="0" applyFont="1" applyFill="1" applyBorder="1" applyAlignment="1">
      <alignment horizontal="center" vertical="center"/>
    </xf>
    <xf numFmtId="15" fontId="39" fillId="115" borderId="35" xfId="0" applyNumberFormat="1" applyFont="1" applyFill="1" applyBorder="1" applyAlignment="1">
      <alignment horizontal="center" vertical="center"/>
    </xf>
    <xf numFmtId="0" fontId="35" fillId="3" borderId="1" xfId="1" applyFont="1" applyFill="1" applyBorder="1" applyAlignment="1">
      <alignment horizontal="center" vertical="center" wrapText="1"/>
    </xf>
    <xf numFmtId="0" fontId="39" fillId="115" borderId="35" xfId="0" applyFont="1" applyFill="1" applyBorder="1" applyAlignment="1">
      <alignment horizontal="left" vertical="center"/>
    </xf>
    <xf numFmtId="1" fontId="35" fillId="107" borderId="1" xfId="1" applyNumberFormat="1" applyFont="1" applyFill="1" applyBorder="1" applyAlignment="1">
      <alignment horizontal="center" vertical="center" wrapText="1"/>
    </xf>
    <xf numFmtId="0" fontId="35" fillId="107" borderId="1" xfId="1" applyFont="1" applyFill="1" applyBorder="1" applyAlignment="1">
      <alignment horizontal="center" vertical="center" wrapText="1"/>
    </xf>
    <xf numFmtId="169" fontId="35" fillId="107" borderId="1" xfId="1" applyNumberFormat="1" applyFont="1" applyFill="1" applyBorder="1" applyAlignment="1">
      <alignment horizontal="center" vertical="center" wrapText="1"/>
    </xf>
    <xf numFmtId="169" fontId="35" fillId="107" borderId="1" xfId="1" applyNumberFormat="1" applyFont="1" applyFill="1" applyBorder="1" applyAlignment="1">
      <alignment horizontal="left" vertical="center" wrapText="1"/>
    </xf>
    <xf numFmtId="169" fontId="35" fillId="4" borderId="1" xfId="1" applyNumberFormat="1" applyFont="1" applyFill="1" applyBorder="1" applyAlignment="1">
      <alignment horizontal="center" vertical="center" wrapText="1"/>
    </xf>
    <xf numFmtId="0" fontId="39" fillId="0" borderId="1" xfId="0" quotePrefix="1" applyFont="1" applyBorder="1" applyAlignment="1">
      <alignment vertical="center" wrapText="1"/>
    </xf>
    <xf numFmtId="0" fontId="50" fillId="0" borderId="42" xfId="686" applyNumberFormat="1" applyFont="1" applyBorder="1" applyAlignment="1">
      <alignment horizontal="center" vertical="center"/>
    </xf>
    <xf numFmtId="0" fontId="50" fillId="0" borderId="37" xfId="686" applyNumberFormat="1" applyFont="1" applyBorder="1" applyAlignment="1">
      <alignment horizontal="center" vertical="center"/>
    </xf>
    <xf numFmtId="0" fontId="53" fillId="0" borderId="37" xfId="686" applyNumberFormat="1" applyFont="1" applyBorder="1" applyAlignment="1">
      <alignment horizontal="center" vertical="center"/>
    </xf>
    <xf numFmtId="0" fontId="59" fillId="0" borderId="129" xfId="686" quotePrefix="1" applyNumberFormat="1" applyFont="1" applyBorder="1" applyAlignment="1">
      <alignment horizontal="center" vertical="center" wrapText="1"/>
    </xf>
    <xf numFmtId="0" fontId="59" fillId="0" borderId="80" xfId="686" quotePrefix="1" applyNumberFormat="1" applyFont="1" applyBorder="1" applyAlignment="1">
      <alignment horizontal="center" vertical="center" wrapText="1"/>
    </xf>
    <xf numFmtId="0" fontId="59" fillId="0" borderId="130" xfId="686" quotePrefix="1" applyNumberFormat="1" applyFont="1" applyBorder="1" applyAlignment="1">
      <alignment horizontal="center" vertical="center" wrapText="1"/>
    </xf>
    <xf numFmtId="0" fontId="52" fillId="0" borderId="129" xfId="686" quotePrefix="1" applyNumberFormat="1" applyFont="1" applyBorder="1" applyAlignment="1">
      <alignment horizontal="center" vertical="center" wrapText="1"/>
    </xf>
    <xf numFmtId="0" fontId="52" fillId="0" borderId="80" xfId="686" quotePrefix="1" applyNumberFormat="1" applyFont="1" applyBorder="1" applyAlignment="1">
      <alignment horizontal="center" vertical="center" wrapText="1"/>
    </xf>
    <xf numFmtId="0" fontId="52" fillId="0" borderId="131" xfId="686" quotePrefix="1" applyNumberFormat="1" applyFont="1" applyBorder="1" applyAlignment="1">
      <alignment horizontal="center" vertical="center" wrapText="1"/>
    </xf>
    <xf numFmtId="0" fontId="52" fillId="0" borderId="130" xfId="686" quotePrefix="1" applyNumberFormat="1" applyFont="1" applyBorder="1" applyAlignment="1">
      <alignment horizontal="center" vertical="center" wrapText="1"/>
    </xf>
    <xf numFmtId="0" fontId="93" fillId="0" borderId="129" xfId="686" quotePrefix="1" applyNumberFormat="1" applyFont="1" applyBorder="1" applyAlignment="1">
      <alignment horizontal="center" vertical="center" wrapText="1"/>
    </xf>
    <xf numFmtId="0" fontId="93" fillId="0" borderId="80" xfId="686" quotePrefix="1" applyNumberFormat="1" applyFont="1" applyBorder="1" applyAlignment="1">
      <alignment horizontal="center" vertical="center" wrapText="1"/>
    </xf>
    <xf numFmtId="0" fontId="93" fillId="0" borderId="130" xfId="686" quotePrefix="1" applyNumberFormat="1" applyFont="1" applyBorder="1" applyAlignment="1">
      <alignment horizontal="center" vertical="center" wrapText="1"/>
    </xf>
    <xf numFmtId="0" fontId="93" fillId="2" borderId="129" xfId="686" quotePrefix="1" applyNumberFormat="1" applyFont="1" applyFill="1" applyBorder="1" applyAlignment="1">
      <alignment horizontal="center" vertical="center" wrapText="1"/>
    </xf>
    <xf numFmtId="0" fontId="93" fillId="2" borderId="80" xfId="686" quotePrefix="1" applyNumberFormat="1" applyFont="1" applyFill="1" applyBorder="1" applyAlignment="1">
      <alignment horizontal="center" vertical="center" wrapText="1"/>
    </xf>
    <xf numFmtId="0" fontId="93" fillId="2" borderId="65" xfId="686" quotePrefix="1" applyNumberFormat="1" applyFont="1" applyFill="1" applyBorder="1" applyAlignment="1">
      <alignment horizontal="center" vertical="center" wrapText="1"/>
    </xf>
    <xf numFmtId="0" fontId="93" fillId="2" borderId="132" xfId="686" quotePrefix="1" applyNumberFormat="1" applyFont="1" applyFill="1" applyBorder="1" applyAlignment="1">
      <alignment horizontal="center" vertical="center" wrapText="1"/>
    </xf>
    <xf numFmtId="0" fontId="93" fillId="2" borderId="131" xfId="686" quotePrefix="1" applyNumberFormat="1" applyFont="1" applyFill="1" applyBorder="1" applyAlignment="1">
      <alignment horizontal="center" vertical="center" wrapText="1"/>
    </xf>
    <xf numFmtId="0" fontId="93" fillId="0" borderId="63" xfId="686" quotePrefix="1" applyNumberFormat="1" applyFont="1" applyBorder="1" applyAlignment="1">
      <alignment horizontal="center" vertical="center" wrapText="1"/>
    </xf>
    <xf numFmtId="0" fontId="93" fillId="0" borderId="131" xfId="686" quotePrefix="1" applyNumberFormat="1" applyFont="1" applyBorder="1" applyAlignment="1">
      <alignment horizontal="center" vertical="center" wrapText="1"/>
    </xf>
    <xf numFmtId="0" fontId="93" fillId="0" borderId="61" xfId="686" quotePrefix="1" applyNumberFormat="1" applyFont="1" applyBorder="1" applyAlignment="1">
      <alignment horizontal="center" vertical="center" wrapText="1"/>
    </xf>
    <xf numFmtId="0" fontId="93" fillId="0" borderId="132" xfId="686" quotePrefix="1" applyNumberFormat="1" applyFont="1" applyBorder="1" applyAlignment="1">
      <alignment horizontal="center" vertical="center" wrapText="1"/>
    </xf>
    <xf numFmtId="0" fontId="93" fillId="0" borderId="42" xfId="686" quotePrefix="1" applyNumberFormat="1" applyFont="1" applyBorder="1" applyAlignment="1">
      <alignment horizontal="center" vertical="center" wrapText="1"/>
    </xf>
    <xf numFmtId="0" fontId="93" fillId="0" borderId="37" xfId="686" quotePrefix="1" applyNumberFormat="1" applyFont="1" applyBorder="1" applyAlignment="1">
      <alignment horizontal="center" vertical="center" wrapText="1"/>
    </xf>
    <xf numFmtId="0" fontId="93" fillId="0" borderId="46" xfId="686" quotePrefix="1" applyNumberFormat="1" applyFont="1" applyBorder="1" applyAlignment="1">
      <alignment horizontal="center" vertical="center" wrapText="1"/>
    </xf>
    <xf numFmtId="0" fontId="93" fillId="0" borderId="65" xfId="686" quotePrefix="1" applyNumberFormat="1" applyFont="1" applyBorder="1" applyAlignment="1">
      <alignment horizontal="center" vertical="center" wrapText="1"/>
    </xf>
    <xf numFmtId="0" fontId="52" fillId="0" borderId="61" xfId="686" quotePrefix="1" applyNumberFormat="1" applyFont="1" applyBorder="1" applyAlignment="1">
      <alignment horizontal="center" vertical="center" wrapText="1"/>
    </xf>
    <xf numFmtId="0" fontId="52" fillId="0" borderId="63" xfId="686" quotePrefix="1" applyNumberFormat="1" applyFont="1" applyBorder="1" applyAlignment="1">
      <alignment horizontal="center" vertical="center" wrapText="1"/>
    </xf>
    <xf numFmtId="0" fontId="52" fillId="0" borderId="65" xfId="686" quotePrefix="1" applyNumberFormat="1" applyFont="1" applyBorder="1" applyAlignment="1">
      <alignment horizontal="center" vertical="center" wrapText="1"/>
    </xf>
    <xf numFmtId="0" fontId="52" fillId="0" borderId="132" xfId="686" quotePrefix="1" applyNumberFormat="1" applyFont="1" applyBorder="1" applyAlignment="1">
      <alignment horizontal="center" vertical="center" wrapText="1"/>
    </xf>
    <xf numFmtId="0" fontId="52" fillId="0" borderId="150" xfId="686" quotePrefix="1" applyNumberFormat="1" applyFont="1" applyBorder="1" applyAlignment="1">
      <alignment horizontal="center" vertical="center" wrapText="1"/>
    </xf>
    <xf numFmtId="0" fontId="59" fillId="0" borderId="0" xfId="686" quotePrefix="1" applyNumberFormat="1" applyFont="1" applyAlignment="1">
      <alignment horizontal="center" vertical="center" wrapText="1"/>
    </xf>
    <xf numFmtId="0" fontId="58" fillId="2" borderId="62" xfId="686" applyNumberFormat="1" applyFont="1" applyFill="1" applyBorder="1" applyAlignment="1">
      <alignment horizontal="center" vertical="center" wrapText="1"/>
    </xf>
    <xf numFmtId="0" fontId="57" fillId="2" borderId="62" xfId="686" quotePrefix="1" applyNumberFormat="1" applyFont="1" applyFill="1" applyBorder="1" applyAlignment="1">
      <alignment horizontal="center" vertical="center" wrapText="1"/>
    </xf>
    <xf numFmtId="169" fontId="57" fillId="2" borderId="62" xfId="686" applyNumberFormat="1" applyFont="1" applyFill="1" applyBorder="1" applyAlignment="1">
      <alignment horizontal="center" vertical="center" wrapText="1"/>
    </xf>
    <xf numFmtId="0" fontId="57" fillId="2" borderId="62" xfId="686" applyNumberFormat="1" applyFont="1" applyFill="1" applyBorder="1" applyAlignment="1">
      <alignment horizontal="center" vertical="center" wrapText="1"/>
    </xf>
    <xf numFmtId="0" fontId="57" fillId="2" borderId="74" xfId="686" quotePrefix="1" applyNumberFormat="1" applyFont="1" applyFill="1" applyBorder="1" applyAlignment="1">
      <alignment horizontal="center" vertical="center" wrapText="1"/>
    </xf>
    <xf numFmtId="169" fontId="57" fillId="2" borderId="74" xfId="686" applyNumberFormat="1" applyFont="1" applyFill="1" applyBorder="1" applyAlignment="1">
      <alignment horizontal="center" vertical="center" wrapText="1"/>
    </xf>
    <xf numFmtId="0" fontId="57" fillId="2" borderId="74" xfId="686" applyNumberFormat="1" applyFont="1" applyFill="1" applyBorder="1" applyAlignment="1">
      <alignment horizontal="center" vertical="center" wrapText="1"/>
    </xf>
    <xf numFmtId="0" fontId="58" fillId="2" borderId="74" xfId="686" applyNumberFormat="1" applyFont="1" applyFill="1" applyBorder="1" applyAlignment="1">
      <alignment horizontal="center" vertical="center" wrapText="1"/>
    </xf>
    <xf numFmtId="0" fontId="58" fillId="2" borderId="66" xfId="686" applyNumberFormat="1" applyFont="1" applyFill="1" applyBorder="1" applyAlignment="1">
      <alignment horizontal="center" vertical="center" wrapText="1"/>
    </xf>
    <xf numFmtId="0" fontId="57" fillId="2" borderId="66" xfId="686" quotePrefix="1" applyNumberFormat="1" applyFont="1" applyFill="1" applyBorder="1" applyAlignment="1">
      <alignment horizontal="center" vertical="center" wrapText="1"/>
    </xf>
    <xf numFmtId="169" fontId="57" fillId="2" borderId="66" xfId="686" applyNumberFormat="1" applyFont="1" applyFill="1" applyBorder="1" applyAlignment="1">
      <alignment horizontal="center" vertical="center" wrapText="1"/>
    </xf>
    <xf numFmtId="0" fontId="57" fillId="2" borderId="66" xfId="686" applyNumberFormat="1" applyFont="1" applyFill="1" applyBorder="1" applyAlignment="1">
      <alignment horizontal="center" vertical="center" wrapText="1"/>
    </xf>
    <xf numFmtId="0" fontId="57" fillId="2" borderId="74" xfId="686" quotePrefix="1" applyNumberFormat="1" applyFont="1" applyFill="1" applyBorder="1" applyAlignment="1">
      <alignment horizontal="left" vertical="center" wrapText="1"/>
    </xf>
    <xf numFmtId="169" fontId="57" fillId="2" borderId="74" xfId="686" applyNumberFormat="1" applyFont="1" applyFill="1" applyBorder="1" applyAlignment="1">
      <alignment horizontal="left" vertical="center" wrapText="1"/>
    </xf>
    <xf numFmtId="0" fontId="57" fillId="2" borderId="74" xfId="686" applyNumberFormat="1" applyFont="1" applyFill="1" applyBorder="1" applyAlignment="1">
      <alignment horizontal="left" vertical="center" wrapText="1"/>
    </xf>
    <xf numFmtId="0" fontId="57" fillId="2" borderId="83" xfId="686" quotePrefix="1" applyNumberFormat="1" applyFont="1" applyFill="1" applyBorder="1" applyAlignment="1">
      <alignment horizontal="left" vertical="center" wrapText="1"/>
    </xf>
    <xf numFmtId="169" fontId="57" fillId="2" borderId="83" xfId="686" applyNumberFormat="1" applyFont="1" applyFill="1" applyBorder="1" applyAlignment="1">
      <alignment horizontal="left" vertical="center" wrapText="1"/>
    </xf>
    <xf numFmtId="0" fontId="57" fillId="2" borderId="83" xfId="686" applyNumberFormat="1" applyFont="1" applyFill="1" applyBorder="1" applyAlignment="1">
      <alignment horizontal="left" vertical="center" wrapText="1"/>
    </xf>
    <xf numFmtId="0" fontId="57" fillId="2" borderId="73" xfId="686" quotePrefix="1" applyNumberFormat="1" applyFont="1" applyFill="1" applyBorder="1" applyAlignment="1">
      <alignment horizontal="left" vertical="center" wrapText="1"/>
    </xf>
    <xf numFmtId="0" fontId="57" fillId="3" borderId="73" xfId="686" quotePrefix="1" applyNumberFormat="1" applyFont="1" applyFill="1" applyBorder="1" applyAlignment="1">
      <alignment horizontal="left" vertical="center" wrapText="1"/>
    </xf>
    <xf numFmtId="169" fontId="57" fillId="2" borderId="73" xfId="686" applyNumberFormat="1" applyFont="1" applyFill="1" applyBorder="1" applyAlignment="1">
      <alignment horizontal="left" vertical="center" wrapText="1"/>
    </xf>
    <xf numFmtId="0" fontId="57" fillId="2" borderId="73" xfId="686" applyNumberFormat="1" applyFont="1" applyFill="1" applyBorder="1" applyAlignment="1">
      <alignment horizontal="left" vertical="center" wrapText="1"/>
    </xf>
    <xf numFmtId="0" fontId="57" fillId="3" borderId="120" xfId="686" quotePrefix="1" applyNumberFormat="1" applyFont="1" applyFill="1" applyBorder="1" applyAlignment="1">
      <alignment horizontal="left" vertical="center" wrapText="1"/>
    </xf>
    <xf numFmtId="0" fontId="93" fillId="0" borderId="73" xfId="686" quotePrefix="1" applyNumberFormat="1" applyFont="1" applyBorder="1" applyAlignment="1">
      <alignment horizontal="center" vertical="center" wrapText="1"/>
    </xf>
    <xf numFmtId="0" fontId="57" fillId="2" borderId="73" xfId="686" applyNumberFormat="1" applyFont="1" applyFill="1" applyBorder="1" applyAlignment="1">
      <alignment horizontal="center" vertical="center" wrapText="1"/>
    </xf>
    <xf numFmtId="169" fontId="57" fillId="2" borderId="73" xfId="686" quotePrefix="1" applyNumberFormat="1" applyFont="1" applyFill="1" applyBorder="1" applyAlignment="1">
      <alignment horizontal="center" vertical="center" wrapText="1"/>
    </xf>
    <xf numFmtId="0" fontId="57" fillId="2" borderId="73" xfId="686" applyNumberFormat="1" applyFont="1" applyFill="1" applyBorder="1" applyAlignment="1" applyProtection="1">
      <alignment horizontal="center" vertical="center" wrapText="1"/>
      <protection locked="0" hidden="1"/>
    </xf>
    <xf numFmtId="15" fontId="57" fillId="2" borderId="73" xfId="686" applyNumberFormat="1" applyFont="1" applyFill="1" applyBorder="1" applyAlignment="1" applyProtection="1">
      <alignment horizontal="center" vertical="center" wrapText="1"/>
      <protection hidden="1"/>
    </xf>
    <xf numFmtId="0" fontId="57" fillId="2" borderId="73" xfId="686" quotePrefix="1" applyNumberFormat="1" applyFont="1" applyFill="1" applyBorder="1" applyAlignment="1">
      <alignment horizontal="center" vertical="center" wrapText="1"/>
    </xf>
    <xf numFmtId="0" fontId="93" fillId="0" borderId="120" xfId="686" quotePrefix="1" applyNumberFormat="1" applyFont="1" applyBorder="1" applyAlignment="1">
      <alignment horizontal="center" vertical="center" wrapText="1"/>
    </xf>
    <xf numFmtId="169" fontId="57" fillId="2" borderId="120" xfId="686" quotePrefix="1" applyNumberFormat="1" applyFont="1" applyFill="1" applyBorder="1" applyAlignment="1">
      <alignment horizontal="center" vertical="center" wrapText="1"/>
    </xf>
    <xf numFmtId="0" fontId="57" fillId="2" borderId="120" xfId="686" applyNumberFormat="1" applyFont="1" applyFill="1" applyBorder="1" applyAlignment="1" applyProtection="1">
      <alignment horizontal="center" vertical="center" wrapText="1"/>
      <protection locked="0" hidden="1"/>
    </xf>
    <xf numFmtId="15" fontId="57" fillId="2" borderId="120" xfId="686" applyNumberFormat="1" applyFont="1" applyFill="1" applyBorder="1" applyAlignment="1" applyProtection="1">
      <alignment horizontal="center" vertical="center" wrapText="1"/>
      <protection hidden="1"/>
    </xf>
    <xf numFmtId="0" fontId="93" fillId="0" borderId="74" xfId="686" quotePrefix="1" applyNumberFormat="1" applyFont="1" applyBorder="1" applyAlignment="1">
      <alignment horizontal="center" vertical="center" wrapText="1"/>
    </xf>
    <xf numFmtId="169" fontId="57" fillId="2" borderId="74" xfId="686" quotePrefix="1" applyNumberFormat="1" applyFont="1" applyFill="1" applyBorder="1" applyAlignment="1">
      <alignment horizontal="center" vertical="center" wrapText="1"/>
    </xf>
    <xf numFmtId="0" fontId="57" fillId="2" borderId="74" xfId="686" applyNumberFormat="1" applyFont="1" applyFill="1" applyBorder="1" applyAlignment="1" applyProtection="1">
      <alignment horizontal="center" vertical="center" wrapText="1"/>
      <protection locked="0" hidden="1"/>
    </xf>
    <xf numFmtId="15" fontId="57" fillId="2" borderId="74" xfId="686" applyNumberFormat="1" applyFont="1" applyFill="1" applyBorder="1" applyAlignment="1" applyProtection="1">
      <alignment horizontal="center" vertical="center" wrapText="1"/>
      <protection hidden="1"/>
    </xf>
    <xf numFmtId="0" fontId="93" fillId="0" borderId="83" xfId="686" quotePrefix="1" applyNumberFormat="1" applyFont="1" applyBorder="1" applyAlignment="1">
      <alignment horizontal="center" vertical="center" wrapText="1"/>
    </xf>
    <xf numFmtId="0" fontId="57" fillId="2" borderId="83" xfId="686" applyNumberFormat="1" applyFont="1" applyFill="1" applyBorder="1" applyAlignment="1">
      <alignment horizontal="center" vertical="center" wrapText="1"/>
    </xf>
    <xf numFmtId="169" fontId="57" fillId="2" borderId="83" xfId="686" quotePrefix="1" applyNumberFormat="1" applyFont="1" applyFill="1" applyBorder="1" applyAlignment="1">
      <alignment horizontal="center" vertical="center" wrapText="1"/>
    </xf>
    <xf numFmtId="0" fontId="57" fillId="2" borderId="83" xfId="686" applyNumberFormat="1" applyFont="1" applyFill="1" applyBorder="1" applyAlignment="1" applyProtection="1">
      <alignment horizontal="center" vertical="center" wrapText="1"/>
      <protection locked="0" hidden="1"/>
    </xf>
    <xf numFmtId="15" fontId="57" fillId="2" borderId="83" xfId="686" applyNumberFormat="1" applyFont="1" applyFill="1" applyBorder="1" applyAlignment="1" applyProtection="1">
      <alignment horizontal="center" vertical="center" wrapText="1"/>
      <protection hidden="1"/>
    </xf>
    <xf numFmtId="0" fontId="57" fillId="2" borderId="83" xfId="686" quotePrefix="1" applyNumberFormat="1" applyFont="1" applyFill="1" applyBorder="1" applyAlignment="1">
      <alignment horizontal="center" vertical="center" wrapText="1"/>
    </xf>
    <xf numFmtId="0" fontId="57" fillId="2" borderId="66" xfId="686" quotePrefix="1" applyNumberFormat="1" applyFont="1" applyFill="1" applyBorder="1" applyAlignment="1">
      <alignment horizontal="left" vertical="center" wrapText="1"/>
    </xf>
    <xf numFmtId="0" fontId="57" fillId="2" borderId="64" xfId="686" applyNumberFormat="1" applyFont="1" applyFill="1" applyBorder="1" applyAlignment="1">
      <alignment horizontal="center" vertical="top" wrapText="1"/>
    </xf>
    <xf numFmtId="177" fontId="34" fillId="2" borderId="1" xfId="1" quotePrefix="1" applyNumberFormat="1" applyFont="1" applyFill="1" applyBorder="1" applyAlignment="1">
      <alignment vertical="center" wrapText="1"/>
    </xf>
    <xf numFmtId="0" fontId="57" fillId="2" borderId="62" xfId="686" quotePrefix="1" applyNumberFormat="1" applyFont="1" applyFill="1" applyBorder="1" applyAlignment="1">
      <alignment horizontal="left" vertical="center" wrapText="1"/>
    </xf>
    <xf numFmtId="169" fontId="57" fillId="2" borderId="62" xfId="686" applyNumberFormat="1" applyFont="1" applyFill="1" applyBorder="1" applyAlignment="1">
      <alignment horizontal="left" vertical="center" wrapText="1"/>
    </xf>
    <xf numFmtId="0" fontId="57" fillId="2" borderId="62" xfId="686" applyNumberFormat="1" applyFont="1" applyFill="1" applyBorder="1" applyAlignment="1">
      <alignment horizontal="left" vertical="center" wrapText="1"/>
    </xf>
    <xf numFmtId="0" fontId="57" fillId="113" borderId="76" xfId="686" applyNumberFormat="1" applyFont="1" applyFill="1" applyBorder="1" applyAlignment="1">
      <alignment horizontal="center" vertical="center" wrapText="1"/>
    </xf>
    <xf numFmtId="0" fontId="57" fillId="0" borderId="75" xfId="686" quotePrefix="1" applyNumberFormat="1" applyFont="1" applyBorder="1" applyAlignment="1">
      <alignment horizontal="left" vertical="center" wrapText="1"/>
    </xf>
    <xf numFmtId="0" fontId="57" fillId="2" borderId="75" xfId="686" quotePrefix="1" applyNumberFormat="1" applyFont="1" applyFill="1" applyBorder="1" applyAlignment="1">
      <alignment horizontal="left" vertical="center" wrapText="1"/>
    </xf>
    <xf numFmtId="169" fontId="57" fillId="2" borderId="75" xfId="686" applyNumberFormat="1" applyFont="1" applyFill="1" applyBorder="1" applyAlignment="1">
      <alignment horizontal="left" vertical="center" wrapText="1"/>
    </xf>
    <xf numFmtId="0" fontId="57" fillId="2" borderId="75" xfId="686" applyNumberFormat="1" applyFont="1" applyFill="1" applyBorder="1" applyAlignment="1">
      <alignment horizontal="left" vertical="center" wrapText="1"/>
    </xf>
    <xf numFmtId="0" fontId="58" fillId="2" borderId="74" xfId="686" applyNumberFormat="1" applyFont="1" applyFill="1" applyBorder="1" applyAlignment="1">
      <alignment horizontal="left" vertical="center" wrapText="1"/>
    </xf>
    <xf numFmtId="167" fontId="39" fillId="0" borderId="1" xfId="0" applyNumberFormat="1" applyFont="1" applyBorder="1" applyAlignment="1">
      <alignment horizontal="center" vertical="center"/>
    </xf>
    <xf numFmtId="0" fontId="50" fillId="112" borderId="0" xfId="217" applyNumberFormat="1" applyFont="1" applyFill="1" applyBorder="1" applyAlignment="1">
      <alignment horizontal="center" vertical="center"/>
    </xf>
    <xf numFmtId="0" fontId="93" fillId="0" borderId="66" xfId="686" quotePrefix="1" applyNumberFormat="1" applyFont="1" applyBorder="1" applyAlignment="1">
      <alignment horizontal="left" vertical="center" wrapText="1"/>
    </xf>
    <xf numFmtId="0" fontId="57" fillId="2" borderId="66" xfId="686" applyNumberFormat="1" applyFont="1" applyFill="1" applyBorder="1" applyAlignment="1">
      <alignment horizontal="left" vertical="center" wrapText="1"/>
    </xf>
    <xf numFmtId="169" fontId="57" fillId="2" borderId="66" xfId="686" quotePrefix="1" applyNumberFormat="1" applyFont="1" applyFill="1" applyBorder="1" applyAlignment="1">
      <alignment horizontal="left" vertical="center" wrapText="1"/>
    </xf>
    <xf numFmtId="0" fontId="57" fillId="2" borderId="66" xfId="686" applyNumberFormat="1" applyFont="1" applyFill="1" applyBorder="1" applyAlignment="1" applyProtection="1">
      <alignment horizontal="left" vertical="center" wrapText="1"/>
      <protection locked="0" hidden="1"/>
    </xf>
    <xf numFmtId="15" fontId="57" fillId="2" borderId="66" xfId="686" applyNumberFormat="1" applyFont="1" applyFill="1" applyBorder="1" applyAlignment="1" applyProtection="1">
      <alignment horizontal="left" vertical="center" wrapText="1"/>
      <protection hidden="1"/>
    </xf>
    <xf numFmtId="0" fontId="93" fillId="0" borderId="151" xfId="686" quotePrefix="1" applyNumberFormat="1" applyFont="1" applyBorder="1" applyAlignment="1">
      <alignment horizontal="left" vertical="center" wrapText="1"/>
    </xf>
    <xf numFmtId="0" fontId="57" fillId="2" borderId="151" xfId="686" applyNumberFormat="1" applyFont="1" applyFill="1" applyBorder="1" applyAlignment="1">
      <alignment horizontal="left" vertical="center" wrapText="1"/>
    </xf>
    <xf numFmtId="169" fontId="57" fillId="2" borderId="151" xfId="686" quotePrefix="1" applyNumberFormat="1" applyFont="1" applyFill="1" applyBorder="1" applyAlignment="1">
      <alignment horizontal="left" vertical="center" wrapText="1"/>
    </xf>
    <xf numFmtId="0" fontId="57" fillId="2" borderId="151" xfId="686" applyNumberFormat="1" applyFont="1" applyFill="1" applyBorder="1" applyAlignment="1" applyProtection="1">
      <alignment horizontal="left" vertical="center" wrapText="1"/>
      <protection locked="0" hidden="1"/>
    </xf>
    <xf numFmtId="15" fontId="57" fillId="2" borderId="151" xfId="686" applyNumberFormat="1" applyFont="1" applyFill="1" applyBorder="1" applyAlignment="1" applyProtection="1">
      <alignment horizontal="left" vertical="center" wrapText="1"/>
      <protection hidden="1"/>
    </xf>
    <xf numFmtId="0" fontId="57" fillId="2" borderId="151" xfId="686" quotePrefix="1" applyNumberFormat="1" applyFont="1" applyFill="1" applyBorder="1" applyAlignment="1">
      <alignment horizontal="left" vertical="center" wrapText="1"/>
    </xf>
    <xf numFmtId="0" fontId="57" fillId="3" borderId="151" xfId="686" applyNumberFormat="1" applyFont="1" applyFill="1" applyBorder="1" applyAlignment="1">
      <alignment horizontal="center" vertical="center" wrapText="1"/>
    </xf>
    <xf numFmtId="15" fontId="39" fillId="0" borderId="38" xfId="0" applyNumberFormat="1" applyFont="1" applyBorder="1" applyAlignment="1">
      <alignment horizontal="center" vertical="center"/>
    </xf>
    <xf numFmtId="0" fontId="39" fillId="0" borderId="0" xfId="0" applyFont="1" applyAlignment="1">
      <alignment horizontal="center" vertical="center"/>
    </xf>
    <xf numFmtId="169" fontId="35" fillId="4" borderId="1" xfId="1" applyNumberFormat="1" applyFont="1" applyFill="1" applyBorder="1" applyAlignment="1">
      <alignment horizontal="left" vertical="center" wrapText="1"/>
    </xf>
    <xf numFmtId="0" fontId="30" fillId="0" borderId="0" xfId="0" applyFont="1" applyAlignment="1">
      <alignment horizontal="left" vertical="center"/>
    </xf>
    <xf numFmtId="0" fontId="118" fillId="2" borderId="1" xfId="0" applyFont="1" applyFill="1" applyBorder="1" applyAlignment="1">
      <alignment horizontal="left" vertical="center"/>
    </xf>
    <xf numFmtId="0" fontId="119" fillId="0" borderId="0" xfId="0" applyFont="1" applyAlignment="1">
      <alignment horizontal="left" vertical="center" wrapText="1" readingOrder="1"/>
    </xf>
    <xf numFmtId="0" fontId="56" fillId="0" borderId="0" xfId="686" quotePrefix="1" applyNumberFormat="1" applyFont="1" applyAlignment="1">
      <alignment horizontal="center" vertical="top" wrapText="1"/>
    </xf>
    <xf numFmtId="0" fontId="52" fillId="0" borderId="0" xfId="686" applyNumberFormat="1" applyFont="1" applyAlignment="1">
      <alignment horizontal="center" vertical="top" wrapText="1"/>
    </xf>
    <xf numFmtId="42" fontId="52" fillId="0" borderId="0" xfId="686" applyNumberFormat="1" applyFont="1" applyAlignment="1">
      <alignment horizontal="center" vertical="center" wrapText="1"/>
    </xf>
    <xf numFmtId="0" fontId="57" fillId="2" borderId="62" xfId="686" applyNumberFormat="1" applyFont="1" applyFill="1" applyBorder="1" applyAlignment="1">
      <alignment vertical="top" wrapText="1"/>
    </xf>
    <xf numFmtId="0" fontId="57" fillId="2" borderId="73" xfId="686" applyNumberFormat="1" applyFont="1" applyFill="1" applyBorder="1" applyAlignment="1" applyProtection="1">
      <alignment horizontal="left" vertical="center" wrapText="1"/>
      <protection locked="0" hidden="1"/>
    </xf>
    <xf numFmtId="0" fontId="57" fillId="2" borderId="62" xfId="686" applyNumberFormat="1" applyFont="1" applyFill="1" applyBorder="1" applyAlignment="1" applyProtection="1">
      <alignment horizontal="left" vertical="center" wrapText="1"/>
      <protection locked="0" hidden="1"/>
    </xf>
    <xf numFmtId="15" fontId="57" fillId="2" borderId="62" xfId="686" applyNumberFormat="1" applyFont="1" applyFill="1" applyBorder="1" applyAlignment="1" applyProtection="1">
      <alignment horizontal="left" vertical="center" wrapText="1"/>
      <protection hidden="1"/>
    </xf>
    <xf numFmtId="0" fontId="93" fillId="0" borderId="62" xfId="686" quotePrefix="1" applyNumberFormat="1" applyFont="1" applyBorder="1" applyAlignment="1">
      <alignment horizontal="left" vertical="center" wrapText="1"/>
    </xf>
    <xf numFmtId="169" fontId="57" fillId="2" borderId="62" xfId="686" quotePrefix="1" applyNumberFormat="1" applyFont="1" applyFill="1" applyBorder="1" applyAlignment="1">
      <alignment horizontal="left" vertical="center" wrapText="1"/>
    </xf>
    <xf numFmtId="0" fontId="93" fillId="2" borderId="73" xfId="686" quotePrefix="1" applyNumberFormat="1" applyFont="1" applyFill="1" applyBorder="1" applyAlignment="1">
      <alignment horizontal="left" vertical="center" wrapText="1"/>
    </xf>
    <xf numFmtId="0" fontId="57" fillId="2" borderId="62" xfId="686" applyNumberFormat="1" applyFont="1" applyFill="1" applyBorder="1" applyAlignment="1" applyProtection="1">
      <alignment horizontal="center" vertical="center" wrapText="1"/>
      <protection locked="0" hidden="1"/>
    </xf>
    <xf numFmtId="0" fontId="57" fillId="2" borderId="64" xfId="686" quotePrefix="1" applyNumberFormat="1" applyFont="1" applyFill="1" applyBorder="1" applyAlignment="1">
      <alignment horizontal="left" vertical="center" wrapText="1"/>
    </xf>
    <xf numFmtId="15" fontId="57" fillId="2" borderId="74" xfId="686" applyNumberFormat="1" applyFont="1" applyFill="1" applyBorder="1" applyAlignment="1" applyProtection="1">
      <alignment horizontal="left" vertical="center" wrapText="1"/>
      <protection hidden="1"/>
    </xf>
    <xf numFmtId="0" fontId="52" fillId="2" borderId="61" xfId="686" quotePrefix="1" applyNumberFormat="1" applyFont="1" applyFill="1" applyBorder="1" applyAlignment="1">
      <alignment horizontal="center" vertical="center" wrapText="1"/>
    </xf>
    <xf numFmtId="0" fontId="52" fillId="2" borderId="80" xfId="686" quotePrefix="1" applyNumberFormat="1" applyFont="1" applyFill="1" applyBorder="1" applyAlignment="1">
      <alignment horizontal="center" vertical="center" wrapText="1"/>
    </xf>
    <xf numFmtId="0" fontId="93" fillId="2" borderId="120" xfId="686" quotePrefix="1" applyNumberFormat="1" applyFont="1" applyFill="1" applyBorder="1" applyAlignment="1">
      <alignment horizontal="left" vertical="center" wrapText="1"/>
    </xf>
    <xf numFmtId="0" fontId="57" fillId="2" borderId="120" xfId="686" applyNumberFormat="1" applyFont="1" applyFill="1" applyBorder="1" applyAlignment="1">
      <alignment horizontal="left" vertical="center" wrapText="1"/>
    </xf>
    <xf numFmtId="169" fontId="57" fillId="2" borderId="73" xfId="686" quotePrefix="1" applyNumberFormat="1" applyFont="1" applyFill="1" applyBorder="1" applyAlignment="1">
      <alignment horizontal="left" vertical="center" wrapText="1"/>
    </xf>
    <xf numFmtId="0" fontId="57" fillId="2" borderId="74" xfId="686" applyNumberFormat="1" applyFont="1" applyFill="1" applyBorder="1" applyAlignment="1" applyProtection="1">
      <alignment horizontal="left" vertical="center" wrapText="1"/>
      <protection locked="0" hidden="1"/>
    </xf>
    <xf numFmtId="0" fontId="57" fillId="2" borderId="64" xfId="686" applyNumberFormat="1" applyFont="1" applyFill="1" applyBorder="1" applyAlignment="1">
      <alignment horizontal="left" vertical="center" wrapText="1"/>
    </xf>
    <xf numFmtId="0" fontId="57" fillId="2" borderId="75" xfId="686" applyNumberFormat="1" applyFont="1" applyFill="1" applyBorder="1" applyAlignment="1">
      <alignment horizontal="center" vertical="center" wrapText="1"/>
    </xf>
    <xf numFmtId="170" fontId="50" fillId="0" borderId="83" xfId="686" applyFont="1" applyBorder="1" applyAlignment="1">
      <alignment vertical="center" wrapText="1"/>
    </xf>
    <xf numFmtId="0" fontId="109" fillId="94" borderId="1" xfId="0" applyFont="1" applyFill="1" applyBorder="1" applyAlignment="1">
      <alignment horizontal="center" vertical="center"/>
    </xf>
    <xf numFmtId="0" fontId="52" fillId="2" borderId="132" xfId="686" quotePrefix="1" applyNumberFormat="1" applyFont="1" applyFill="1" applyBorder="1" applyAlignment="1">
      <alignment horizontal="center" vertical="center" wrapText="1"/>
    </xf>
    <xf numFmtId="0" fontId="93" fillId="2" borderId="66" xfId="686" quotePrefix="1" applyNumberFormat="1" applyFont="1" applyFill="1" applyBorder="1" applyAlignment="1">
      <alignment horizontal="left" vertical="center" wrapText="1"/>
    </xf>
    <xf numFmtId="0" fontId="57" fillId="2" borderId="64" xfId="686" applyNumberFormat="1" applyFont="1" applyFill="1" applyBorder="1" applyAlignment="1" applyProtection="1">
      <alignment horizontal="left" vertical="center" wrapText="1"/>
      <protection locked="0" hidden="1"/>
    </xf>
    <xf numFmtId="0" fontId="57" fillId="2" borderId="66" xfId="686" applyNumberFormat="1" applyFont="1" applyFill="1" applyBorder="1" applyAlignment="1" applyProtection="1">
      <alignment horizontal="center" vertical="center" wrapText="1"/>
      <protection locked="0" hidden="1"/>
    </xf>
    <xf numFmtId="0" fontId="57" fillId="2" borderId="64" xfId="686" applyNumberFormat="1" applyFont="1" applyFill="1" applyBorder="1" applyAlignment="1" applyProtection="1">
      <alignment horizontal="center" vertical="center" wrapText="1"/>
      <protection locked="0" hidden="1"/>
    </xf>
    <xf numFmtId="0" fontId="93" fillId="2" borderId="74" xfId="686" quotePrefix="1" applyNumberFormat="1" applyFont="1" applyFill="1" applyBorder="1" applyAlignment="1">
      <alignment horizontal="left" vertical="center" wrapText="1"/>
    </xf>
    <xf numFmtId="0" fontId="93" fillId="0" borderId="74" xfId="686" quotePrefix="1" applyNumberFormat="1" applyFont="1" applyBorder="1" applyAlignment="1">
      <alignment horizontal="left" vertical="center" wrapText="1"/>
    </xf>
    <xf numFmtId="169" fontId="57" fillId="2" borderId="74" xfId="686" quotePrefix="1" applyNumberFormat="1" applyFont="1" applyFill="1" applyBorder="1" applyAlignment="1">
      <alignment horizontal="left" vertical="center" wrapText="1"/>
    </xf>
    <xf numFmtId="0" fontId="119" fillId="0" borderId="74" xfId="0" applyFont="1" applyBorder="1" applyAlignment="1">
      <alignment horizontal="left" vertical="center" wrapText="1" readingOrder="1"/>
    </xf>
    <xf numFmtId="0" fontId="117" fillId="2" borderId="74" xfId="0" applyFont="1" applyFill="1" applyBorder="1" applyAlignment="1">
      <alignment horizontal="left" vertical="center" wrapText="1" readingOrder="1"/>
    </xf>
    <xf numFmtId="0" fontId="58" fillId="2" borderId="122" xfId="686" applyNumberFormat="1" applyFont="1" applyFill="1" applyBorder="1" applyAlignment="1">
      <alignment horizontal="left" vertical="top" wrapText="1"/>
    </xf>
    <xf numFmtId="0" fontId="57" fillId="2" borderId="74" xfId="686" quotePrefix="1" applyNumberFormat="1" applyFont="1" applyFill="1" applyBorder="1" applyAlignment="1">
      <alignment vertical="top" wrapText="1"/>
    </xf>
    <xf numFmtId="0" fontId="57" fillId="113" borderId="126" xfId="686" applyNumberFormat="1" applyFont="1" applyFill="1" applyBorder="1" applyAlignment="1">
      <alignment horizontal="left" vertical="top" wrapText="1"/>
    </xf>
    <xf numFmtId="0" fontId="57" fillId="2" borderId="83" xfId="686" quotePrefix="1" applyNumberFormat="1" applyFont="1" applyFill="1" applyBorder="1" applyAlignment="1">
      <alignment vertical="top" wrapText="1"/>
    </xf>
    <xf numFmtId="0" fontId="57" fillId="113" borderId="153" xfId="686" applyNumberFormat="1" applyFont="1" applyFill="1" applyBorder="1" applyAlignment="1">
      <alignment horizontal="left" vertical="top" wrapText="1"/>
    </xf>
    <xf numFmtId="0" fontId="117" fillId="2" borderId="120" xfId="0" applyFont="1" applyFill="1" applyBorder="1" applyAlignment="1">
      <alignment vertical="center" wrapText="1" readingOrder="1"/>
    </xf>
    <xf numFmtId="169" fontId="57" fillId="2" borderId="69" xfId="686" applyNumberFormat="1" applyFont="1" applyFill="1" applyBorder="1" applyAlignment="1">
      <alignment horizontal="left" vertical="top" wrapText="1"/>
    </xf>
    <xf numFmtId="0" fontId="39" fillId="0" borderId="39" xfId="0" applyFont="1" applyBorder="1" applyAlignment="1">
      <alignment horizontal="left" vertical="center"/>
    </xf>
    <xf numFmtId="0" fontId="35" fillId="107" borderId="1" xfId="1" applyFont="1" applyFill="1" applyBorder="1" applyAlignment="1">
      <alignment horizontal="left" vertical="center" wrapText="1"/>
    </xf>
    <xf numFmtId="0" fontId="52" fillId="2" borderId="131" xfId="686" quotePrefix="1" applyNumberFormat="1" applyFont="1" applyFill="1" applyBorder="1" applyAlignment="1">
      <alignment horizontal="center" vertical="center" wrapText="1"/>
    </xf>
    <xf numFmtId="0" fontId="93" fillId="2" borderId="83" xfId="686" quotePrefix="1" applyNumberFormat="1" applyFont="1" applyFill="1" applyBorder="1" applyAlignment="1">
      <alignment horizontal="left" vertical="center" wrapText="1"/>
    </xf>
    <xf numFmtId="0" fontId="57" fillId="2" borderId="83" xfId="686" applyNumberFormat="1" applyFont="1" applyFill="1" applyBorder="1" applyAlignment="1" applyProtection="1">
      <alignment horizontal="left" vertical="center" wrapText="1"/>
      <protection locked="0" hidden="1"/>
    </xf>
    <xf numFmtId="15" fontId="57" fillId="2" borderId="83" xfId="686" applyNumberFormat="1" applyFont="1" applyFill="1" applyBorder="1" applyAlignment="1" applyProtection="1">
      <alignment horizontal="left" vertical="center" wrapText="1"/>
      <protection hidden="1"/>
    </xf>
    <xf numFmtId="0" fontId="117" fillId="2" borderId="83" xfId="0" applyFont="1" applyFill="1" applyBorder="1" applyAlignment="1">
      <alignment horizontal="left" vertical="center" wrapText="1" readingOrder="1"/>
    </xf>
    <xf numFmtId="0" fontId="58" fillId="2" borderId="123" xfId="686" applyNumberFormat="1" applyFont="1" applyFill="1" applyBorder="1" applyAlignment="1">
      <alignment horizontal="left" vertical="top" wrapText="1"/>
    </xf>
    <xf numFmtId="177" fontId="99" fillId="0" borderId="0" xfId="188" applyNumberFormat="1" applyFont="1" applyAlignment="1">
      <alignment horizontal="center" vertical="center"/>
    </xf>
    <xf numFmtId="0" fontId="99" fillId="0" borderId="37" xfId="1" applyFont="1" applyBorder="1" applyAlignment="1">
      <alignment vertical="center"/>
    </xf>
    <xf numFmtId="1" fontId="97" fillId="0" borderId="0" xfId="0" applyNumberFormat="1" applyFont="1" applyAlignment="1">
      <alignment horizontal="center" vertical="center"/>
    </xf>
    <xf numFmtId="187" fontId="97" fillId="0" borderId="0" xfId="693" applyNumberFormat="1" applyFont="1" applyAlignment="1">
      <alignment horizontal="center" vertical="center"/>
    </xf>
    <xf numFmtId="177" fontId="99" fillId="83" borderId="0" xfId="188" applyNumberFormat="1" applyFont="1" applyFill="1" applyAlignment="1">
      <alignment horizontal="center" vertical="center"/>
    </xf>
    <xf numFmtId="43" fontId="99" fillId="0" borderId="0" xfId="690" applyFont="1" applyFill="1" applyBorder="1" applyAlignment="1">
      <alignment horizontal="center" vertical="center"/>
    </xf>
    <xf numFmtId="43" fontId="99" fillId="0" borderId="0" xfId="188" applyNumberFormat="1" applyFont="1" applyAlignment="1">
      <alignment horizontal="center" vertical="center"/>
    </xf>
    <xf numFmtId="43" fontId="99" fillId="0" borderId="0" xfId="690" applyFont="1" applyFill="1" applyBorder="1" applyAlignment="1">
      <alignment vertical="center"/>
    </xf>
    <xf numFmtId="43" fontId="99" fillId="0" borderId="0" xfId="2" applyNumberFormat="1" applyFont="1" applyAlignment="1">
      <alignment vertical="center"/>
    </xf>
    <xf numFmtId="43" fontId="97" fillId="0" borderId="44" xfId="2" applyNumberFormat="1" applyFont="1" applyBorder="1" applyAlignment="1">
      <alignment vertical="center"/>
    </xf>
    <xf numFmtId="0" fontId="97" fillId="0" borderId="0" xfId="0" applyFont="1" applyAlignment="1">
      <alignment horizontal="center" vertical="center"/>
    </xf>
    <xf numFmtId="177" fontId="99" fillId="0" borderId="0" xfId="188" applyNumberFormat="1" applyFont="1" applyAlignment="1">
      <alignment vertical="center"/>
    </xf>
    <xf numFmtId="0" fontId="99" fillId="0" borderId="37" xfId="1" applyFont="1" applyBorder="1" applyAlignment="1">
      <alignment vertical="top"/>
    </xf>
    <xf numFmtId="0" fontId="97" fillId="0" borderId="0" xfId="0" applyFont="1" applyAlignment="1">
      <alignment horizontal="center"/>
    </xf>
    <xf numFmtId="187" fontId="97" fillId="0" borderId="0" xfId="693" applyNumberFormat="1" applyFont="1" applyAlignment="1">
      <alignment horizontal="center"/>
    </xf>
    <xf numFmtId="0" fontId="97" fillId="2" borderId="0" xfId="0" applyFont="1" applyFill="1" applyAlignment="1">
      <alignment horizontal="center"/>
    </xf>
    <xf numFmtId="177" fontId="99" fillId="2" borderId="0" xfId="188" applyNumberFormat="1" applyFont="1" applyFill="1" applyAlignment="1">
      <alignment horizontal="center" vertical="center"/>
    </xf>
    <xf numFmtId="177" fontId="99" fillId="0" borderId="0" xfId="188" quotePrefix="1" applyNumberFormat="1" applyFont="1" applyAlignment="1">
      <alignment horizontal="center" vertical="center"/>
    </xf>
    <xf numFmtId="177" fontId="99" fillId="83" borderId="0" xfId="188" applyNumberFormat="1" applyFont="1" applyFill="1" applyAlignment="1">
      <alignment vertical="center"/>
    </xf>
    <xf numFmtId="0" fontId="100" fillId="0" borderId="37" xfId="1" applyFont="1" applyBorder="1" applyAlignment="1">
      <alignment vertical="center"/>
    </xf>
    <xf numFmtId="1" fontId="101" fillId="0" borderId="0" xfId="0" applyNumberFormat="1" applyFont="1" applyAlignment="1">
      <alignment horizontal="center"/>
    </xf>
    <xf numFmtId="1" fontId="101" fillId="0" borderId="0" xfId="0" applyNumberFormat="1" applyFont="1" applyAlignment="1">
      <alignment horizontal="center" vertical="center"/>
    </xf>
    <xf numFmtId="177" fontId="100" fillId="0" borderId="0" xfId="188" applyNumberFormat="1" applyFont="1" applyAlignment="1">
      <alignment horizontal="center" vertical="center"/>
    </xf>
    <xf numFmtId="177" fontId="100" fillId="83" borderId="0" xfId="188" applyNumberFormat="1" applyFont="1" applyFill="1" applyAlignment="1">
      <alignment vertical="center"/>
    </xf>
    <xf numFmtId="177" fontId="100" fillId="0" borderId="0" xfId="188" applyNumberFormat="1" applyFont="1" applyAlignment="1">
      <alignment vertical="center"/>
    </xf>
    <xf numFmtId="0" fontId="101" fillId="0" borderId="0" xfId="0" applyFont="1" applyAlignment="1">
      <alignment horizontal="center" vertical="center"/>
    </xf>
    <xf numFmtId="0" fontId="101" fillId="0" borderId="0" xfId="0" applyFont="1" applyAlignment="1">
      <alignment horizontal="center"/>
    </xf>
    <xf numFmtId="0" fontId="100" fillId="0" borderId="37" xfId="1" applyFont="1" applyBorder="1" applyAlignment="1">
      <alignment vertical="top"/>
    </xf>
    <xf numFmtId="0" fontId="100" fillId="0" borderId="42" xfId="1" applyFont="1" applyBorder="1" applyAlignment="1">
      <alignment vertical="center"/>
    </xf>
    <xf numFmtId="177" fontId="100" fillId="0" borderId="2" xfId="188" applyNumberFormat="1" applyFont="1" applyBorder="1" applyAlignment="1">
      <alignment horizontal="center" vertical="center"/>
    </xf>
    <xf numFmtId="177" fontId="100" fillId="0" borderId="2" xfId="188" applyNumberFormat="1" applyFont="1" applyBorder="1" applyAlignment="1">
      <alignment vertical="center"/>
    </xf>
    <xf numFmtId="0" fontId="78" fillId="0" borderId="156" xfId="0" applyFont="1" applyBorder="1" applyAlignment="1">
      <alignment horizontal="left" vertical="center" wrapText="1" readingOrder="1"/>
    </xf>
    <xf numFmtId="0" fontId="30" fillId="0" borderId="142" xfId="0" applyFont="1" applyBorder="1" applyAlignment="1">
      <alignment horizontal="center" vertical="center"/>
    </xf>
    <xf numFmtId="0" fontId="78" fillId="0" borderId="45" xfId="0" applyFont="1" applyBorder="1" applyAlignment="1">
      <alignment horizontal="left" vertical="center" readingOrder="1"/>
    </xf>
    <xf numFmtId="0" fontId="0" fillId="0" borderId="45" xfId="0" applyBorder="1" applyAlignment="1">
      <alignment vertical="center"/>
    </xf>
    <xf numFmtId="0" fontId="78" fillId="0" borderId="112" xfId="0" applyFont="1" applyBorder="1" applyAlignment="1">
      <alignment horizontal="left" vertical="center" readingOrder="1"/>
    </xf>
    <xf numFmtId="0" fontId="78" fillId="0" borderId="157" xfId="0" applyFont="1" applyBorder="1" applyAlignment="1">
      <alignment horizontal="center" vertical="center" wrapText="1" readingOrder="1"/>
    </xf>
    <xf numFmtId="0" fontId="0" fillId="0" borderId="113" xfId="0" applyBorder="1" applyAlignment="1">
      <alignment horizontal="center" vertical="center"/>
    </xf>
    <xf numFmtId="0" fontId="30" fillId="0" borderId="115" xfId="0" applyFont="1" applyBorder="1" applyAlignment="1">
      <alignment horizontal="center" vertical="center"/>
    </xf>
    <xf numFmtId="0" fontId="79" fillId="108" borderId="158" xfId="0" applyFont="1" applyFill="1" applyBorder="1" applyAlignment="1">
      <alignment horizontal="center" vertical="center" wrapText="1" readingOrder="1"/>
    </xf>
    <xf numFmtId="0" fontId="79" fillId="108" borderId="159" xfId="0" applyFont="1" applyFill="1" applyBorder="1" applyAlignment="1">
      <alignment horizontal="center" vertical="center" wrapText="1" readingOrder="1"/>
    </xf>
    <xf numFmtId="0" fontId="37" fillId="87" borderId="155" xfId="0" applyFont="1" applyFill="1" applyBorder="1" applyAlignment="1">
      <alignment horizontal="center" vertical="center"/>
    </xf>
    <xf numFmtId="0" fontId="31" fillId="108" borderId="54" xfId="0" applyFont="1" applyFill="1" applyBorder="1" applyAlignment="1">
      <alignment horizontal="center" vertical="center"/>
    </xf>
    <xf numFmtId="0" fontId="78" fillId="0" borderId="160" xfId="0" applyFont="1" applyBorder="1" applyAlignment="1">
      <alignment horizontal="left" vertical="center" wrapText="1" readingOrder="1"/>
    </xf>
    <xf numFmtId="0" fontId="78" fillId="0" borderId="161" xfId="0" applyFont="1" applyBorder="1" applyAlignment="1">
      <alignment horizontal="center" vertical="center" wrapText="1" readingOrder="1"/>
    </xf>
    <xf numFmtId="0" fontId="30" fillId="0" borderId="35" xfId="0" applyFont="1" applyBorder="1" applyAlignment="1">
      <alignment horizontal="center" vertical="center"/>
    </xf>
    <xf numFmtId="0" fontId="30" fillId="0" borderId="148" xfId="0" applyFont="1" applyBorder="1" applyAlignment="1">
      <alignment horizontal="center" vertical="center"/>
    </xf>
    <xf numFmtId="0" fontId="78" fillId="82" borderId="53" xfId="0" applyFont="1" applyFill="1" applyBorder="1" applyAlignment="1">
      <alignment vertical="center" wrapText="1" readingOrder="1"/>
    </xf>
    <xf numFmtId="0" fontId="78" fillId="82" borderId="155" xfId="0" applyFont="1" applyFill="1" applyBorder="1" applyAlignment="1">
      <alignment vertical="center" wrapText="1" readingOrder="1"/>
    </xf>
    <xf numFmtId="0" fontId="30" fillId="82" borderId="155" xfId="0" applyFont="1" applyFill="1" applyBorder="1" applyAlignment="1">
      <alignment horizontal="center" vertical="center"/>
    </xf>
    <xf numFmtId="0" fontId="30" fillId="82" borderId="54" xfId="0" applyFont="1" applyFill="1" applyBorder="1" applyAlignment="1">
      <alignment horizontal="center" vertical="center"/>
    </xf>
    <xf numFmtId="0" fontId="35" fillId="3" borderId="0" xfId="0" applyFont="1" applyFill="1" applyAlignment="1">
      <alignment horizontal="center"/>
    </xf>
    <xf numFmtId="0" fontId="33" fillId="108" borderId="158" xfId="0" applyFont="1" applyFill="1" applyBorder="1" applyAlignment="1">
      <alignment horizontal="center" vertical="center" wrapText="1" readingOrder="1"/>
    </xf>
    <xf numFmtId="0" fontId="33" fillId="108" borderId="159" xfId="0" applyFont="1" applyFill="1" applyBorder="1" applyAlignment="1">
      <alignment horizontal="center" vertical="center" wrapText="1" readingOrder="1"/>
    </xf>
    <xf numFmtId="0" fontId="35" fillId="87" borderId="159" xfId="0" applyFont="1" applyFill="1" applyBorder="1" applyAlignment="1">
      <alignment horizontal="center" vertical="center" wrapText="1" readingOrder="1"/>
    </xf>
    <xf numFmtId="0" fontId="33" fillId="108" borderId="162" xfId="0" applyFont="1" applyFill="1" applyBorder="1" applyAlignment="1">
      <alignment horizontal="center" vertical="center" wrapText="1" readingOrder="1"/>
    </xf>
    <xf numFmtId="0" fontId="35" fillId="0" borderId="156" xfId="0" applyFont="1" applyBorder="1" applyAlignment="1">
      <alignment horizontal="left" vertical="center" wrapText="1" readingOrder="1"/>
    </xf>
    <xf numFmtId="0" fontId="35" fillId="0" borderId="163" xfId="0" applyFont="1" applyBorder="1" applyAlignment="1">
      <alignment horizontal="center" vertical="center" wrapText="1" readingOrder="1"/>
    </xf>
    <xf numFmtId="0" fontId="35" fillId="0" borderId="45" xfId="0" applyFont="1" applyBorder="1" applyAlignment="1">
      <alignment horizontal="left" vertical="center" readingOrder="1"/>
    </xf>
    <xf numFmtId="0" fontId="37" fillId="0" borderId="45" xfId="0" applyFont="1" applyBorder="1" applyAlignment="1">
      <alignment vertical="center"/>
    </xf>
    <xf numFmtId="0" fontId="35" fillId="0" borderId="112" xfId="0" applyFont="1" applyBorder="1" applyAlignment="1">
      <alignment horizontal="left" vertical="center" readingOrder="1"/>
    </xf>
    <xf numFmtId="0" fontId="35" fillId="0" borderId="164" xfId="0" applyFont="1" applyBorder="1" applyAlignment="1">
      <alignment horizontal="center" vertical="center" wrapText="1" readingOrder="1"/>
    </xf>
    <xf numFmtId="0" fontId="35" fillId="0" borderId="164" xfId="0" quotePrefix="1" applyFont="1" applyBorder="1" applyAlignment="1">
      <alignment horizontal="center" vertical="center" wrapText="1" readingOrder="1"/>
    </xf>
    <xf numFmtId="0" fontId="35" fillId="0" borderId="165" xfId="0" applyFont="1" applyBorder="1" applyAlignment="1">
      <alignment horizontal="center" vertical="center" wrapText="1" readingOrder="1"/>
    </xf>
    <xf numFmtId="0" fontId="35" fillId="0" borderId="160" xfId="0" applyFont="1" applyBorder="1" applyAlignment="1">
      <alignment horizontal="left" vertical="center" wrapText="1" readingOrder="1"/>
    </xf>
    <xf numFmtId="0" fontId="35" fillId="0" borderId="166" xfId="0" applyFont="1" applyBorder="1" applyAlignment="1">
      <alignment horizontal="center" vertical="center" wrapText="1" readingOrder="1"/>
    </xf>
    <xf numFmtId="0" fontId="35" fillId="0" borderId="167" xfId="0" applyFont="1" applyBorder="1" applyAlignment="1">
      <alignment horizontal="center" vertical="center" wrapText="1" readingOrder="1"/>
    </xf>
    <xf numFmtId="0" fontId="39" fillId="3" borderId="1" xfId="0" applyFont="1" applyFill="1" applyBorder="1" applyAlignment="1">
      <alignment vertical="center"/>
    </xf>
    <xf numFmtId="0" fontId="118" fillId="115" borderId="1" xfId="0" applyFont="1" applyFill="1" applyBorder="1" applyAlignment="1">
      <alignment horizontal="left" vertical="center"/>
    </xf>
    <xf numFmtId="0" fontId="39" fillId="3" borderId="1" xfId="0" applyFont="1" applyFill="1" applyBorder="1" applyAlignment="1">
      <alignment horizontal="left" vertical="center"/>
    </xf>
    <xf numFmtId="9" fontId="39" fillId="102" borderId="1" xfId="652" quotePrefix="1" applyFont="1" applyFill="1" applyBorder="1" applyAlignment="1">
      <alignment horizontal="center" vertical="center" wrapText="1"/>
    </xf>
    <xf numFmtId="188" fontId="37" fillId="3" borderId="1" xfId="652" applyNumberFormat="1" applyFont="1" applyFill="1" applyBorder="1" applyAlignment="1">
      <alignment horizontal="center"/>
    </xf>
    <xf numFmtId="9" fontId="34" fillId="102" borderId="1" xfId="652" quotePrefix="1" applyFont="1" applyFill="1" applyBorder="1" applyAlignment="1">
      <alignment horizontal="center" vertical="center" wrapText="1"/>
    </xf>
    <xf numFmtId="0" fontId="39" fillId="3" borderId="1" xfId="0" applyFont="1" applyFill="1" applyBorder="1" applyAlignment="1">
      <alignment horizontal="center"/>
    </xf>
    <xf numFmtId="0" fontId="39" fillId="3" borderId="1" xfId="0" applyFont="1" applyFill="1" applyBorder="1"/>
    <xf numFmtId="0" fontId="50" fillId="112" borderId="39" xfId="217" applyNumberFormat="1" applyFont="1" applyFill="1" applyBorder="1" applyAlignment="1">
      <alignment horizontal="center" vertical="center"/>
    </xf>
    <xf numFmtId="0" fontId="57" fillId="2" borderId="64" xfId="686" applyNumberFormat="1" applyFont="1" applyFill="1" applyBorder="1" applyAlignment="1">
      <alignment horizontal="center" vertical="center" wrapText="1"/>
    </xf>
    <xf numFmtId="0" fontId="93" fillId="0" borderId="64" xfId="686" quotePrefix="1" applyNumberFormat="1" applyFont="1" applyBorder="1" applyAlignment="1">
      <alignment horizontal="left" vertical="center" wrapText="1"/>
    </xf>
    <xf numFmtId="15" fontId="57" fillId="2" borderId="134" xfId="686" applyNumberFormat="1" applyFont="1" applyFill="1" applyBorder="1" applyAlignment="1" applyProtection="1">
      <alignment horizontal="left" vertical="center" wrapText="1"/>
      <protection hidden="1"/>
    </xf>
    <xf numFmtId="15" fontId="57" fillId="2" borderId="62" xfId="686" applyNumberFormat="1" applyFont="1" applyFill="1" applyBorder="1" applyAlignment="1" applyProtection="1">
      <alignment horizontal="center" vertical="center" wrapText="1"/>
      <protection hidden="1"/>
    </xf>
    <xf numFmtId="169" fontId="57" fillId="2" borderId="64" xfId="686" quotePrefix="1" applyNumberFormat="1" applyFont="1" applyFill="1" applyBorder="1" applyAlignment="1">
      <alignment horizontal="left" vertical="center" wrapText="1"/>
    </xf>
    <xf numFmtId="0" fontId="39" fillId="2" borderId="52" xfId="0" applyFont="1" applyFill="1" applyBorder="1" applyAlignment="1">
      <alignment horizontal="center" vertical="center"/>
    </xf>
    <xf numFmtId="15" fontId="57" fillId="2" borderId="64" xfId="686" applyNumberFormat="1" applyFont="1" applyFill="1" applyBorder="1" applyAlignment="1" applyProtection="1">
      <alignment horizontal="left" vertical="center" wrapText="1"/>
      <protection hidden="1"/>
    </xf>
    <xf numFmtId="0" fontId="93" fillId="0" borderId="75" xfId="686" quotePrefix="1" applyNumberFormat="1" applyFont="1" applyBorder="1" applyAlignment="1">
      <alignment horizontal="left" vertical="center" wrapText="1"/>
    </xf>
    <xf numFmtId="169" fontId="57" fillId="2" borderId="75" xfId="686" quotePrefix="1" applyNumberFormat="1" applyFont="1" applyFill="1" applyBorder="1" applyAlignment="1">
      <alignment horizontal="left" vertical="center" wrapText="1"/>
    </xf>
    <xf numFmtId="0" fontId="57" fillId="2" borderId="75" xfId="686" applyNumberFormat="1" applyFont="1" applyFill="1" applyBorder="1" applyAlignment="1" applyProtection="1">
      <alignment horizontal="left" vertical="center" wrapText="1"/>
      <protection locked="0" hidden="1"/>
    </xf>
    <xf numFmtId="15" fontId="57" fillId="2" borderId="75" xfId="686" applyNumberFormat="1" applyFont="1" applyFill="1" applyBorder="1" applyAlignment="1" applyProtection="1">
      <alignment horizontal="center" vertical="center" wrapText="1"/>
      <protection hidden="1"/>
    </xf>
    <xf numFmtId="15" fontId="57" fillId="2" borderId="75" xfId="686" applyNumberFormat="1" applyFont="1" applyFill="1" applyBorder="1" applyAlignment="1" applyProtection="1">
      <alignment horizontal="left" vertical="center" wrapText="1"/>
      <protection hidden="1"/>
    </xf>
    <xf numFmtId="0" fontId="119" fillId="0" borderId="75" xfId="0" applyFont="1" applyBorder="1" applyAlignment="1">
      <alignment horizontal="left" vertical="center" wrapText="1" readingOrder="1"/>
    </xf>
    <xf numFmtId="0" fontId="52" fillId="0" borderId="169" xfId="686" quotePrefix="1" applyNumberFormat="1" applyFont="1" applyBorder="1" applyAlignment="1">
      <alignment horizontal="center" vertical="center" wrapText="1"/>
    </xf>
    <xf numFmtId="0" fontId="93" fillId="0" borderId="170" xfId="686" quotePrefix="1" applyNumberFormat="1" applyFont="1" applyBorder="1" applyAlignment="1">
      <alignment horizontal="left" vertical="center" wrapText="1"/>
    </xf>
    <xf numFmtId="0" fontId="57" fillId="2" borderId="170" xfId="686" applyNumberFormat="1" applyFont="1" applyFill="1" applyBorder="1" applyAlignment="1">
      <alignment horizontal="center" vertical="center" wrapText="1"/>
    </xf>
    <xf numFmtId="169" fontId="57" fillId="2" borderId="170" xfId="686" quotePrefix="1" applyNumberFormat="1" applyFont="1" applyFill="1" applyBorder="1" applyAlignment="1">
      <alignment horizontal="left" vertical="center" wrapText="1"/>
    </xf>
    <xf numFmtId="0" fontId="57" fillId="2" borderId="170" xfId="686" applyNumberFormat="1" applyFont="1" applyFill="1" applyBorder="1" applyAlignment="1" applyProtection="1">
      <alignment horizontal="left" vertical="center" wrapText="1"/>
      <protection locked="0" hidden="1"/>
    </xf>
    <xf numFmtId="0" fontId="57" fillId="2" borderId="170" xfId="686" applyNumberFormat="1" applyFont="1" applyFill="1" applyBorder="1" applyAlignment="1">
      <alignment horizontal="left" vertical="center" wrapText="1"/>
    </xf>
    <xf numFmtId="15" fontId="57" fillId="2" borderId="170" xfId="686" applyNumberFormat="1" applyFont="1" applyFill="1" applyBorder="1" applyAlignment="1" applyProtection="1">
      <alignment horizontal="left" vertical="center" wrapText="1"/>
      <protection hidden="1"/>
    </xf>
    <xf numFmtId="0" fontId="57" fillId="2" borderId="170" xfId="686" quotePrefix="1" applyNumberFormat="1" applyFont="1" applyFill="1" applyBorder="1" applyAlignment="1">
      <alignment horizontal="left" vertical="center" wrapText="1"/>
    </xf>
    <xf numFmtId="0" fontId="119" fillId="0" borderId="170" xfId="0" applyFont="1" applyBorder="1" applyAlignment="1">
      <alignment horizontal="left" vertical="center" wrapText="1" readingOrder="1"/>
    </xf>
    <xf numFmtId="0" fontId="58" fillId="2" borderId="170" xfId="686" applyNumberFormat="1" applyFont="1" applyFill="1" applyBorder="1" applyAlignment="1">
      <alignment horizontal="left" vertical="center" wrapText="1"/>
    </xf>
    <xf numFmtId="0" fontId="57" fillId="2" borderId="170" xfId="686" quotePrefix="1" applyNumberFormat="1" applyFont="1" applyFill="1" applyBorder="1" applyAlignment="1">
      <alignment horizontal="left" vertical="top" wrapText="1"/>
    </xf>
    <xf numFmtId="169" fontId="57" fillId="2" borderId="170" xfId="686" applyNumberFormat="1" applyFont="1" applyFill="1" applyBorder="1" applyAlignment="1">
      <alignment horizontal="left" vertical="top" wrapText="1"/>
    </xf>
    <xf numFmtId="0" fontId="57" fillId="2" borderId="170" xfId="686" applyNumberFormat="1" applyFont="1" applyFill="1" applyBorder="1" applyAlignment="1">
      <alignment horizontal="left" vertical="top" wrapText="1"/>
    </xf>
    <xf numFmtId="0" fontId="57" fillId="2" borderId="171" xfId="686" applyNumberFormat="1" applyFont="1" applyFill="1" applyBorder="1" applyAlignment="1">
      <alignment horizontal="left" vertical="top" wrapText="1"/>
    </xf>
    <xf numFmtId="0" fontId="52" fillId="0" borderId="172" xfId="686" quotePrefix="1" applyNumberFormat="1" applyFont="1" applyBorder="1" applyAlignment="1">
      <alignment horizontal="center" vertical="center" wrapText="1"/>
    </xf>
    <xf numFmtId="0" fontId="93" fillId="0" borderId="173" xfId="686" quotePrefix="1" applyNumberFormat="1" applyFont="1" applyBorder="1" applyAlignment="1">
      <alignment horizontal="left" vertical="center" wrapText="1"/>
    </xf>
    <xf numFmtId="0" fontId="57" fillId="2" borderId="173" xfId="686" applyNumberFormat="1" applyFont="1" applyFill="1" applyBorder="1" applyAlignment="1">
      <alignment horizontal="center" vertical="center" wrapText="1"/>
    </xf>
    <xf numFmtId="169" fontId="57" fillId="2" borderId="173" xfId="686" quotePrefix="1" applyNumberFormat="1" applyFont="1" applyFill="1" applyBorder="1" applyAlignment="1">
      <alignment horizontal="left" vertical="center" wrapText="1"/>
    </xf>
    <xf numFmtId="0" fontId="57" fillId="2" borderId="173" xfId="686" applyNumberFormat="1" applyFont="1" applyFill="1" applyBorder="1" applyAlignment="1" applyProtection="1">
      <alignment horizontal="left" vertical="center" wrapText="1"/>
      <protection locked="0" hidden="1"/>
    </xf>
    <xf numFmtId="0" fontId="57" fillId="2" borderId="173" xfId="686" applyNumberFormat="1" applyFont="1" applyFill="1" applyBorder="1" applyAlignment="1">
      <alignment horizontal="left" vertical="center" wrapText="1"/>
    </xf>
    <xf numFmtId="15" fontId="57" fillId="2" borderId="173" xfId="686" applyNumberFormat="1" applyFont="1" applyFill="1" applyBorder="1" applyAlignment="1" applyProtection="1">
      <alignment horizontal="left" vertical="center" wrapText="1"/>
      <protection hidden="1"/>
    </xf>
    <xf numFmtId="0" fontId="57" fillId="2" borderId="173" xfId="686" quotePrefix="1" applyNumberFormat="1" applyFont="1" applyFill="1" applyBorder="1" applyAlignment="1">
      <alignment horizontal="left" vertical="center" wrapText="1"/>
    </xf>
    <xf numFmtId="0" fontId="119" fillId="0" borderId="173" xfId="0" applyFont="1" applyBorder="1" applyAlignment="1">
      <alignment horizontal="left" vertical="center" wrapText="1" readingOrder="1"/>
    </xf>
    <xf numFmtId="0" fontId="58" fillId="2" borderId="173" xfId="686" applyNumberFormat="1" applyFont="1" applyFill="1" applyBorder="1" applyAlignment="1">
      <alignment horizontal="left" vertical="center" wrapText="1"/>
    </xf>
    <xf numFmtId="0" fontId="57" fillId="2" borderId="173" xfId="686" quotePrefix="1" applyNumberFormat="1" applyFont="1" applyFill="1" applyBorder="1" applyAlignment="1">
      <alignment horizontal="left" vertical="top" wrapText="1"/>
    </xf>
    <xf numFmtId="169" fontId="57" fillId="2" borderId="173" xfId="686" applyNumberFormat="1" applyFont="1" applyFill="1" applyBorder="1" applyAlignment="1">
      <alignment horizontal="left" vertical="top" wrapText="1"/>
    </xf>
    <xf numFmtId="0" fontId="57" fillId="2" borderId="173" xfId="686" applyNumberFormat="1" applyFont="1" applyFill="1" applyBorder="1" applyAlignment="1">
      <alignment horizontal="left" vertical="top" wrapText="1"/>
    </xf>
    <xf numFmtId="0" fontId="57" fillId="2" borderId="174" xfId="686" applyNumberFormat="1" applyFont="1" applyFill="1" applyBorder="1" applyAlignment="1">
      <alignment horizontal="left" vertical="top" wrapText="1"/>
    </xf>
    <xf numFmtId="0" fontId="93" fillId="0" borderId="73" xfId="686" quotePrefix="1" applyNumberFormat="1" applyFont="1" applyBorder="1" applyAlignment="1">
      <alignment horizontal="left" vertical="center" wrapText="1"/>
    </xf>
    <xf numFmtId="15" fontId="57" fillId="2" borderId="73" xfId="686" applyNumberFormat="1" applyFont="1" applyFill="1" applyBorder="1" applyAlignment="1" applyProtection="1">
      <alignment horizontal="left" vertical="center" wrapText="1"/>
      <protection hidden="1"/>
    </xf>
    <xf numFmtId="0" fontId="119" fillId="0" borderId="73" xfId="0" applyFont="1" applyBorder="1" applyAlignment="1">
      <alignment horizontal="left" vertical="center" wrapText="1" readingOrder="1"/>
    </xf>
    <xf numFmtId="0" fontId="58" fillId="2" borderId="73" xfId="686" applyNumberFormat="1" applyFont="1" applyFill="1" applyBorder="1" applyAlignment="1">
      <alignment horizontal="left" vertical="center" wrapText="1"/>
    </xf>
    <xf numFmtId="0" fontId="31" fillId="108" borderId="1" xfId="0" applyFont="1" applyFill="1" applyBorder="1" applyAlignment="1">
      <alignment horizontal="center"/>
    </xf>
    <xf numFmtId="0" fontId="47" fillId="108" borderId="1" xfId="0" applyFont="1" applyFill="1" applyBorder="1" applyAlignment="1">
      <alignment horizontal="center"/>
    </xf>
    <xf numFmtId="0" fontId="35" fillId="82" borderId="53" xfId="0" applyFont="1" applyFill="1" applyBorder="1" applyAlignment="1">
      <alignment horizontal="left" vertical="center" wrapText="1" readingOrder="1"/>
    </xf>
    <xf numFmtId="0" fontId="35" fillId="82" borderId="155" xfId="0" applyFont="1" applyFill="1" applyBorder="1" applyAlignment="1">
      <alignment horizontal="left" vertical="center" wrapText="1" readingOrder="1"/>
    </xf>
    <xf numFmtId="0" fontId="35" fillId="82" borderId="54" xfId="0" applyFont="1" applyFill="1" applyBorder="1" applyAlignment="1">
      <alignment horizontal="left" vertical="center" wrapText="1" readingOrder="1"/>
    </xf>
    <xf numFmtId="1" fontId="0" fillId="83" borderId="1" xfId="0" applyNumberFormat="1" applyFill="1" applyBorder="1" applyAlignment="1">
      <alignment horizontal="center" vertical="center"/>
    </xf>
    <xf numFmtId="0" fontId="34" fillId="94" borderId="94" xfId="1" applyFont="1" applyFill="1" applyBorder="1" applyAlignment="1">
      <alignment horizontal="center" vertical="center" wrapText="1"/>
    </xf>
    <xf numFmtId="0" fontId="34" fillId="94" borderId="39" xfId="1" applyFont="1" applyFill="1" applyBorder="1" applyAlignment="1">
      <alignment horizontal="center" vertical="center" wrapText="1"/>
    </xf>
    <xf numFmtId="0" fontId="65" fillId="94" borderId="94" xfId="0" applyFont="1" applyFill="1" applyBorder="1" applyAlignment="1">
      <alignment horizontal="center"/>
    </xf>
    <xf numFmtId="0" fontId="65" fillId="94" borderId="39" xfId="0" applyFont="1" applyFill="1" applyBorder="1" applyAlignment="1">
      <alignment horizontal="center"/>
    </xf>
    <xf numFmtId="0" fontId="33" fillId="4" borderId="95" xfId="1" applyFont="1" applyFill="1" applyBorder="1" applyAlignment="1">
      <alignment horizontal="center" vertical="center" wrapText="1"/>
    </xf>
    <xf numFmtId="0" fontId="33" fillId="4" borderId="98" xfId="1" applyFont="1" applyFill="1" applyBorder="1" applyAlignment="1">
      <alignment horizontal="center" vertical="center" wrapText="1"/>
    </xf>
    <xf numFmtId="0" fontId="33" fillId="4" borderId="1" xfId="1" applyFont="1" applyFill="1" applyBorder="1" applyAlignment="1">
      <alignment horizontal="center" vertical="center" wrapText="1"/>
    </xf>
    <xf numFmtId="0" fontId="38" fillId="85" borderId="1" xfId="0" applyFont="1" applyFill="1" applyBorder="1" applyAlignment="1">
      <alignment horizontal="center"/>
    </xf>
    <xf numFmtId="0" fontId="65" fillId="85" borderId="37" xfId="0" applyFont="1" applyFill="1" applyBorder="1" applyAlignment="1">
      <alignment horizontal="center" vertical="center"/>
    </xf>
    <xf numFmtId="0" fontId="65" fillId="85" borderId="0" xfId="0" applyFont="1" applyFill="1" applyAlignment="1">
      <alignment horizontal="center" vertical="center"/>
    </xf>
    <xf numFmtId="0" fontId="65" fillId="85" borderId="44" xfId="0" applyFont="1" applyFill="1" applyBorder="1" applyAlignment="1">
      <alignment horizontal="center" vertical="center"/>
    </xf>
    <xf numFmtId="0" fontId="45" fillId="85" borderId="42" xfId="0" applyFont="1" applyFill="1" applyBorder="1" applyAlignment="1">
      <alignment horizontal="center" vertical="center"/>
    </xf>
    <xf numFmtId="0" fontId="45" fillId="85" borderId="2" xfId="0" applyFont="1" applyFill="1" applyBorder="1" applyAlignment="1">
      <alignment horizontal="center" vertical="center"/>
    </xf>
    <xf numFmtId="0" fontId="45" fillId="85" borderId="43" xfId="0" applyFont="1" applyFill="1" applyBorder="1" applyAlignment="1">
      <alignment horizontal="center" vertical="center"/>
    </xf>
    <xf numFmtId="0" fontId="45" fillId="85" borderId="37" xfId="0" applyFont="1" applyFill="1" applyBorder="1" applyAlignment="1">
      <alignment horizontal="center" vertical="center"/>
    </xf>
    <xf numFmtId="0" fontId="45" fillId="85" borderId="0" xfId="0" applyFont="1" applyFill="1" applyAlignment="1">
      <alignment horizontal="center" vertical="center"/>
    </xf>
    <xf numFmtId="0" fontId="45" fillId="85" borderId="44" xfId="0" applyFont="1" applyFill="1" applyBorder="1" applyAlignment="1">
      <alignment horizontal="center" vertical="center"/>
    </xf>
    <xf numFmtId="0" fontId="45" fillId="85" borderId="46" xfId="0" applyFont="1" applyFill="1" applyBorder="1" applyAlignment="1">
      <alignment horizontal="center" vertical="center"/>
    </xf>
    <xf numFmtId="0" fontId="45" fillId="85" borderId="47" xfId="0" applyFont="1" applyFill="1" applyBorder="1" applyAlignment="1">
      <alignment horizontal="center" vertical="center"/>
    </xf>
    <xf numFmtId="0" fontId="45" fillId="85" borderId="48" xfId="0" applyFont="1" applyFill="1" applyBorder="1" applyAlignment="1">
      <alignment horizontal="center" vertical="center"/>
    </xf>
    <xf numFmtId="0" fontId="0" fillId="84" borderId="0" xfId="0" applyFill="1" applyAlignment="1">
      <alignment horizontal="center"/>
    </xf>
    <xf numFmtId="0" fontId="34" fillId="4" borderId="94" xfId="1" applyFont="1" applyFill="1" applyBorder="1" applyAlignment="1">
      <alignment horizontal="center" vertical="center" wrapText="1"/>
    </xf>
    <xf numFmtId="0" fontId="34" fillId="4" borderId="39" xfId="1" applyFont="1" applyFill="1" applyBorder="1" applyAlignment="1">
      <alignment horizontal="center" vertical="center" wrapText="1"/>
    </xf>
    <xf numFmtId="0" fontId="65" fillId="85" borderId="1" xfId="0" applyFont="1" applyFill="1" applyBorder="1" applyAlignment="1">
      <alignment horizontal="center" vertical="center"/>
    </xf>
    <xf numFmtId="0" fontId="33" fillId="100" borderId="84" xfId="1" applyFont="1" applyFill="1" applyBorder="1" applyAlignment="1">
      <alignment horizontal="center" vertical="center" wrapText="1"/>
    </xf>
    <xf numFmtId="0" fontId="33" fillId="100" borderId="52" xfId="1" applyFont="1" applyFill="1" applyBorder="1" applyAlignment="1">
      <alignment horizontal="center" vertical="center" wrapText="1"/>
    </xf>
    <xf numFmtId="0" fontId="36" fillId="4" borderId="45" xfId="0" applyFont="1" applyFill="1" applyBorder="1" applyAlignment="1">
      <alignment horizontal="center"/>
    </xf>
    <xf numFmtId="0" fontId="36" fillId="4" borderId="1" xfId="0" applyFont="1" applyFill="1" applyBorder="1" applyAlignment="1">
      <alignment horizontal="center"/>
    </xf>
    <xf numFmtId="0" fontId="33" fillId="4" borderId="36" xfId="1" applyFont="1" applyFill="1" applyBorder="1" applyAlignment="1">
      <alignment horizontal="center" vertical="center" wrapText="1"/>
    </xf>
    <xf numFmtId="0" fontId="33" fillId="4" borderId="35" xfId="1" applyFont="1" applyFill="1" applyBorder="1" applyAlignment="1">
      <alignment horizontal="center" vertical="center" wrapText="1"/>
    </xf>
    <xf numFmtId="0" fontId="33" fillId="4" borderId="45" xfId="1" applyFont="1" applyFill="1" applyBorder="1" applyAlignment="1">
      <alignment horizontal="center" vertical="center" wrapText="1"/>
    </xf>
    <xf numFmtId="0" fontId="33" fillId="4" borderId="38" xfId="1" applyFont="1" applyFill="1" applyBorder="1" applyAlignment="1">
      <alignment horizontal="center" vertical="center" wrapText="1"/>
    </xf>
    <xf numFmtId="0" fontId="33" fillId="4" borderId="41" xfId="1" applyFont="1" applyFill="1" applyBorder="1" applyAlignment="1">
      <alignment horizontal="center" vertical="center" wrapText="1"/>
    </xf>
    <xf numFmtId="0" fontId="65" fillId="84" borderId="1" xfId="0" applyFont="1" applyFill="1" applyBorder="1" applyAlignment="1">
      <alignment horizontal="center"/>
    </xf>
    <xf numFmtId="0" fontId="33" fillId="100" borderId="1" xfId="1" applyFont="1" applyFill="1" applyBorder="1" applyAlignment="1">
      <alignment horizontal="center" vertical="center" wrapText="1"/>
    </xf>
    <xf numFmtId="0" fontId="83" fillId="109" borderId="109" xfId="188" applyFont="1" applyFill="1" applyBorder="1" applyAlignment="1">
      <alignment horizontal="center" vertical="center"/>
    </xf>
    <xf numFmtId="0" fontId="83" fillId="109" borderId="113" xfId="188" applyFont="1" applyFill="1" applyBorder="1" applyAlignment="1">
      <alignment horizontal="center" vertical="center"/>
    </xf>
    <xf numFmtId="0" fontId="80" fillId="3" borderId="36" xfId="188" applyFont="1" applyFill="1" applyBorder="1" applyAlignment="1">
      <alignment horizontal="left" vertical="center"/>
    </xf>
    <xf numFmtId="0" fontId="83" fillId="109" borderId="108" xfId="188" applyFont="1" applyFill="1" applyBorder="1" applyAlignment="1">
      <alignment horizontal="center" vertical="center"/>
    </xf>
    <xf numFmtId="0" fontId="83" fillId="109" borderId="112" xfId="188" applyFont="1" applyFill="1" applyBorder="1" applyAlignment="1">
      <alignment horizontal="center" vertical="center"/>
    </xf>
    <xf numFmtId="0" fontId="83" fillId="109" borderId="109" xfId="188" applyFont="1" applyFill="1" applyBorder="1" applyAlignment="1">
      <alignment horizontal="center" vertical="center" wrapText="1"/>
    </xf>
    <xf numFmtId="0" fontId="83" fillId="109" borderId="113" xfId="188" applyFont="1" applyFill="1" applyBorder="1" applyAlignment="1">
      <alignment horizontal="center" vertical="center" wrapText="1"/>
    </xf>
    <xf numFmtId="0" fontId="83" fillId="109" borderId="110" xfId="188" applyFont="1" applyFill="1" applyBorder="1" applyAlignment="1">
      <alignment horizontal="center" vertical="center"/>
    </xf>
    <xf numFmtId="0" fontId="83" fillId="109" borderId="114" xfId="188" applyFont="1" applyFill="1" applyBorder="1" applyAlignment="1">
      <alignment horizontal="center" vertical="center"/>
    </xf>
    <xf numFmtId="0" fontId="83" fillId="109" borderId="111" xfId="188" applyFont="1" applyFill="1" applyBorder="1" applyAlignment="1">
      <alignment horizontal="center" vertical="center"/>
    </xf>
    <xf numFmtId="0" fontId="83" fillId="109" borderId="115" xfId="188" applyFont="1" applyFill="1" applyBorder="1" applyAlignment="1">
      <alignment horizontal="center" vertical="center"/>
    </xf>
    <xf numFmtId="0" fontId="80" fillId="3" borderId="47" xfId="188" applyFont="1" applyFill="1" applyBorder="1" applyAlignment="1">
      <alignment horizontal="left" vertical="center"/>
    </xf>
    <xf numFmtId="0" fontId="83" fillId="109" borderId="110" xfId="188" applyFont="1" applyFill="1" applyBorder="1" applyAlignment="1">
      <alignment horizontal="center" vertical="center" wrapText="1"/>
    </xf>
    <xf numFmtId="0" fontId="83" fillId="109" borderId="114" xfId="188" applyFont="1" applyFill="1" applyBorder="1" applyAlignment="1">
      <alignment horizontal="center" vertical="center" wrapText="1"/>
    </xf>
    <xf numFmtId="0" fontId="86" fillId="109" borderId="110" xfId="188" applyFont="1" applyFill="1" applyBorder="1" applyAlignment="1">
      <alignment horizontal="center" vertical="center"/>
    </xf>
    <xf numFmtId="0" fontId="86" fillId="109" borderId="114" xfId="188" applyFont="1" applyFill="1" applyBorder="1" applyAlignment="1">
      <alignment horizontal="center" vertical="center"/>
    </xf>
    <xf numFmtId="0" fontId="86" fillId="109" borderId="110" xfId="188" applyFont="1" applyFill="1" applyBorder="1" applyAlignment="1">
      <alignment horizontal="center" vertical="center" wrapText="1"/>
    </xf>
    <xf numFmtId="0" fontId="86" fillId="109" borderId="52" xfId="188" applyFont="1" applyFill="1" applyBorder="1" applyAlignment="1">
      <alignment horizontal="center" vertical="center" wrapText="1"/>
    </xf>
    <xf numFmtId="0" fontId="86" fillId="109" borderId="109" xfId="188" applyFont="1" applyFill="1" applyBorder="1" applyAlignment="1">
      <alignment horizontal="center" vertical="center"/>
    </xf>
    <xf numFmtId="0" fontId="86" fillId="109" borderId="113" xfId="188" applyFont="1" applyFill="1" applyBorder="1" applyAlignment="1">
      <alignment horizontal="center" vertical="center"/>
    </xf>
    <xf numFmtId="0" fontId="86" fillId="109" borderId="109" xfId="188" applyFont="1" applyFill="1" applyBorder="1" applyAlignment="1">
      <alignment horizontal="center" vertical="center" wrapText="1"/>
    </xf>
    <xf numFmtId="0" fontId="86" fillId="109" borderId="113" xfId="188" applyFont="1" applyFill="1" applyBorder="1" applyAlignment="1">
      <alignment horizontal="center" vertical="center" wrapText="1"/>
    </xf>
    <xf numFmtId="0" fontId="86" fillId="109" borderId="111" xfId="188" applyFont="1" applyFill="1" applyBorder="1" applyAlignment="1">
      <alignment horizontal="center" vertical="center"/>
    </xf>
    <xf numFmtId="0" fontId="86" fillId="109" borderId="115" xfId="188" applyFont="1" applyFill="1" applyBorder="1" applyAlignment="1">
      <alignment horizontal="center" vertical="center"/>
    </xf>
    <xf numFmtId="0" fontId="86" fillId="109" borderId="114" xfId="188" applyFont="1" applyFill="1" applyBorder="1" applyAlignment="1">
      <alignment horizontal="center" vertical="center" wrapText="1"/>
    </xf>
    <xf numFmtId="0" fontId="57" fillId="2" borderId="120" xfId="686" quotePrefix="1" applyNumberFormat="1" applyFont="1" applyFill="1" applyBorder="1" applyAlignment="1">
      <alignment horizontal="center" vertical="center" wrapText="1"/>
    </xf>
    <xf numFmtId="0" fontId="57" fillId="2" borderId="83" xfId="686" quotePrefix="1" applyNumberFormat="1" applyFont="1" applyFill="1" applyBorder="1" applyAlignment="1">
      <alignment horizontal="center" vertical="center" wrapText="1"/>
    </xf>
    <xf numFmtId="0" fontId="57" fillId="2" borderId="51" xfId="686" quotePrefix="1" applyNumberFormat="1" applyFont="1" applyFill="1" applyBorder="1" applyAlignment="1">
      <alignment horizontal="center" vertical="center" wrapText="1"/>
    </xf>
    <xf numFmtId="0" fontId="57" fillId="2" borderId="40" xfId="686" quotePrefix="1" applyNumberFormat="1" applyFont="1" applyFill="1" applyBorder="1" applyAlignment="1">
      <alignment horizontal="center" vertical="center" wrapText="1"/>
    </xf>
    <xf numFmtId="169" fontId="57" fillId="2" borderId="168" xfId="686" applyNumberFormat="1" applyFont="1" applyFill="1" applyBorder="1" applyAlignment="1">
      <alignment horizontal="center" vertical="center" wrapText="1"/>
    </xf>
    <xf numFmtId="169" fontId="57" fillId="2" borderId="154" xfId="686" applyNumberFormat="1" applyFont="1" applyFill="1" applyBorder="1" applyAlignment="1">
      <alignment horizontal="center" vertical="center" wrapText="1"/>
    </xf>
    <xf numFmtId="0" fontId="57" fillId="2" borderId="168" xfId="686" applyNumberFormat="1" applyFont="1" applyFill="1" applyBorder="1" applyAlignment="1">
      <alignment horizontal="center" vertical="center" wrapText="1"/>
    </xf>
    <xf numFmtId="0" fontId="57" fillId="2" borderId="154" xfId="686" applyNumberFormat="1" applyFont="1" applyFill="1" applyBorder="1" applyAlignment="1">
      <alignment horizontal="center" vertical="center" wrapText="1"/>
    </xf>
    <xf numFmtId="0" fontId="57" fillId="2" borderId="64" xfId="686" applyNumberFormat="1" applyFont="1" applyFill="1" applyBorder="1" applyAlignment="1">
      <alignment horizontal="center" vertical="center" wrapText="1"/>
    </xf>
    <xf numFmtId="0" fontId="57" fillId="2" borderId="120" xfId="686" applyNumberFormat="1" applyFont="1" applyFill="1" applyBorder="1" applyAlignment="1">
      <alignment horizontal="center" vertical="center" wrapText="1"/>
    </xf>
    <xf numFmtId="0" fontId="117" fillId="2" borderId="62" xfId="0" applyFont="1" applyFill="1" applyBorder="1" applyAlignment="1">
      <alignment horizontal="center" vertical="center" wrapText="1" readingOrder="1"/>
    </xf>
    <xf numFmtId="0" fontId="117" fillId="2" borderId="64" xfId="0" applyFont="1" applyFill="1" applyBorder="1" applyAlignment="1">
      <alignment horizontal="center" vertical="center" wrapText="1" readingOrder="1"/>
    </xf>
    <xf numFmtId="0" fontId="57" fillId="2" borderId="83" xfId="686" quotePrefix="1" applyNumberFormat="1" applyFont="1" applyFill="1" applyBorder="1" applyAlignment="1">
      <alignment horizontal="left" vertical="top" wrapText="1"/>
    </xf>
    <xf numFmtId="0" fontId="57" fillId="2" borderId="66" xfId="686" quotePrefix="1" applyNumberFormat="1" applyFont="1" applyFill="1" applyBorder="1" applyAlignment="1">
      <alignment horizontal="left" vertical="top" wrapText="1"/>
    </xf>
    <xf numFmtId="0" fontId="57" fillId="2" borderId="73" xfId="686" applyNumberFormat="1" applyFont="1" applyFill="1" applyBorder="1" applyAlignment="1">
      <alignment horizontal="left" vertical="top" wrapText="1"/>
    </xf>
    <xf numFmtId="0" fontId="57" fillId="2" borderId="74" xfId="686" applyNumberFormat="1" applyFont="1" applyFill="1" applyBorder="1" applyAlignment="1">
      <alignment horizontal="left" vertical="top" wrapText="1"/>
    </xf>
    <xf numFmtId="0" fontId="57" fillId="2" borderId="83" xfId="686" applyNumberFormat="1" applyFont="1" applyFill="1" applyBorder="1" applyAlignment="1">
      <alignment horizontal="left" vertical="top" wrapText="1"/>
    </xf>
    <xf numFmtId="0" fontId="57" fillId="2" borderId="75" xfId="686" applyNumberFormat="1" applyFont="1" applyFill="1" applyBorder="1" applyAlignment="1">
      <alignment horizontal="left" vertical="top" wrapText="1"/>
    </xf>
    <xf numFmtId="0" fontId="57" fillId="2" borderId="120" xfId="686" quotePrefix="1" applyNumberFormat="1" applyFont="1" applyFill="1" applyBorder="1" applyAlignment="1">
      <alignment horizontal="left" vertical="top" wrapText="1"/>
    </xf>
    <xf numFmtId="0" fontId="58" fillId="2" borderId="83" xfId="686" applyNumberFormat="1" applyFont="1" applyFill="1" applyBorder="1" applyAlignment="1">
      <alignment horizontal="left" vertical="top" wrapText="1"/>
    </xf>
    <xf numFmtId="0" fontId="58" fillId="2" borderId="120" xfId="686" applyNumberFormat="1" applyFont="1" applyFill="1" applyBorder="1" applyAlignment="1">
      <alignment horizontal="left" vertical="top" wrapText="1"/>
    </xf>
    <xf numFmtId="0" fontId="119" fillId="0" borderId="62" xfId="0" applyFont="1" applyBorder="1" applyAlignment="1">
      <alignment horizontal="left" vertical="center" wrapText="1" readingOrder="1"/>
    </xf>
    <xf numFmtId="0" fontId="119" fillId="0" borderId="64" xfId="0" applyFont="1" applyBorder="1" applyAlignment="1">
      <alignment horizontal="left" vertical="center" wrapText="1" readingOrder="1"/>
    </xf>
    <xf numFmtId="0" fontId="119" fillId="0" borderId="66" xfId="0" applyFont="1" applyBorder="1" applyAlignment="1">
      <alignment horizontal="left" vertical="center" wrapText="1" readingOrder="1"/>
    </xf>
    <xf numFmtId="0" fontId="57" fillId="2" borderId="64" xfId="686" applyNumberFormat="1" applyFont="1" applyFill="1" applyBorder="1" applyAlignment="1">
      <alignment horizontal="left" vertical="top" wrapText="1"/>
    </xf>
    <xf numFmtId="0" fontId="57" fillId="2" borderId="66" xfId="686" applyNumberFormat="1" applyFont="1" applyFill="1" applyBorder="1" applyAlignment="1">
      <alignment horizontal="left" vertical="top" wrapText="1"/>
    </xf>
    <xf numFmtId="0" fontId="57" fillId="2" borderId="62" xfId="686" applyNumberFormat="1" applyFont="1" applyFill="1" applyBorder="1" applyAlignment="1">
      <alignment horizontal="left" vertical="top" wrapText="1"/>
    </xf>
    <xf numFmtId="0" fontId="57" fillId="2" borderId="62" xfId="686" quotePrefix="1" applyNumberFormat="1" applyFont="1" applyFill="1" applyBorder="1" applyAlignment="1">
      <alignment horizontal="left" vertical="top" wrapText="1"/>
    </xf>
    <xf numFmtId="0" fontId="57" fillId="2" borderId="64" xfId="686" quotePrefix="1" applyNumberFormat="1" applyFont="1" applyFill="1" applyBorder="1" applyAlignment="1">
      <alignment horizontal="left" vertical="top" wrapText="1"/>
    </xf>
    <xf numFmtId="0" fontId="58" fillId="2" borderId="62" xfId="686" applyNumberFormat="1" applyFont="1" applyFill="1" applyBorder="1" applyAlignment="1">
      <alignment horizontal="left" vertical="top" wrapText="1"/>
    </xf>
    <xf numFmtId="0" fontId="58" fillId="2" borderId="64" xfId="686" applyNumberFormat="1" applyFont="1" applyFill="1" applyBorder="1" applyAlignment="1">
      <alignment horizontal="left" vertical="top" wrapText="1"/>
    </xf>
    <xf numFmtId="0" fontId="58" fillId="2" borderId="66" xfId="686" applyNumberFormat="1" applyFont="1" applyFill="1" applyBorder="1" applyAlignment="1">
      <alignment horizontal="left" vertical="top" wrapText="1"/>
    </xf>
    <xf numFmtId="0" fontId="57" fillId="2" borderId="74" xfId="686" quotePrefix="1" applyNumberFormat="1" applyFont="1" applyFill="1" applyBorder="1" applyAlignment="1">
      <alignment horizontal="left" vertical="top" wrapText="1"/>
    </xf>
    <xf numFmtId="0" fontId="58" fillId="2" borderId="74" xfId="686" applyNumberFormat="1" applyFont="1" applyFill="1" applyBorder="1" applyAlignment="1">
      <alignment horizontal="left" vertical="top" wrapText="1"/>
    </xf>
    <xf numFmtId="0" fontId="57" fillId="0" borderId="74" xfId="686" quotePrefix="1" applyNumberFormat="1" applyFont="1" applyBorder="1" applyAlignment="1">
      <alignment horizontal="left" vertical="top" wrapText="1"/>
    </xf>
    <xf numFmtId="0" fontId="57" fillId="0" borderId="75" xfId="686" quotePrefix="1" applyNumberFormat="1" applyFont="1" applyBorder="1" applyAlignment="1">
      <alignment horizontal="left" vertical="top" wrapText="1"/>
    </xf>
    <xf numFmtId="0" fontId="58" fillId="0" borderId="74" xfId="686" applyNumberFormat="1" applyFont="1" applyBorder="1" applyAlignment="1">
      <alignment horizontal="left" vertical="top" wrapText="1"/>
    </xf>
    <xf numFmtId="0" fontId="58" fillId="0" borderId="75" xfId="686" applyNumberFormat="1" applyFont="1" applyBorder="1" applyAlignment="1">
      <alignment horizontal="left" vertical="top" wrapText="1"/>
    </xf>
    <xf numFmtId="0" fontId="57" fillId="0" borderId="64" xfId="686" quotePrefix="1" applyNumberFormat="1" applyFont="1" applyBorder="1" applyAlignment="1">
      <alignment horizontal="left" vertical="top" wrapText="1"/>
    </xf>
    <xf numFmtId="0" fontId="57" fillId="0" borderId="120" xfId="686" quotePrefix="1" applyNumberFormat="1" applyFont="1" applyBorder="1" applyAlignment="1">
      <alignment horizontal="left" vertical="top" wrapText="1"/>
    </xf>
    <xf numFmtId="0" fontId="58" fillId="0" borderId="83" xfId="686" applyNumberFormat="1" applyFont="1" applyBorder="1" applyAlignment="1">
      <alignment horizontal="left" vertical="top" wrapText="1"/>
    </xf>
    <xf numFmtId="0" fontId="58" fillId="0" borderId="64" xfId="686" applyNumberFormat="1" applyFont="1" applyBorder="1" applyAlignment="1">
      <alignment horizontal="left" vertical="top" wrapText="1"/>
    </xf>
    <xf numFmtId="0" fontId="58" fillId="0" borderId="120" xfId="686" applyNumberFormat="1" applyFont="1" applyBorder="1" applyAlignment="1">
      <alignment horizontal="left" vertical="top" wrapText="1"/>
    </xf>
    <xf numFmtId="0" fontId="92" fillId="2" borderId="73" xfId="0" applyFont="1" applyFill="1" applyBorder="1" applyAlignment="1">
      <alignment horizontal="left" vertical="top"/>
    </xf>
    <xf numFmtId="0" fontId="92" fillId="2" borderId="74" xfId="0" applyFont="1" applyFill="1" applyBorder="1" applyAlignment="1">
      <alignment horizontal="left" vertical="top"/>
    </xf>
    <xf numFmtId="0" fontId="92" fillId="2" borderId="75" xfId="0" applyFont="1" applyFill="1" applyBorder="1" applyAlignment="1">
      <alignment horizontal="left" vertical="top"/>
    </xf>
    <xf numFmtId="0" fontId="57" fillId="2" borderId="73" xfId="686" applyNumberFormat="1" applyFont="1" applyFill="1" applyBorder="1" applyAlignment="1" applyProtection="1">
      <alignment horizontal="left" vertical="top" wrapText="1"/>
      <protection locked="0" hidden="1"/>
    </xf>
    <xf numFmtId="0" fontId="57" fillId="2" borderId="74" xfId="686" applyNumberFormat="1" applyFont="1" applyFill="1" applyBorder="1" applyAlignment="1" applyProtection="1">
      <alignment horizontal="left" vertical="top" wrapText="1"/>
      <protection locked="0" hidden="1"/>
    </xf>
    <xf numFmtId="0" fontId="57" fillId="2" borderId="75" xfId="686" applyNumberFormat="1" applyFont="1" applyFill="1" applyBorder="1" applyAlignment="1" applyProtection="1">
      <alignment horizontal="left" vertical="top" wrapText="1"/>
      <protection locked="0" hidden="1"/>
    </xf>
    <xf numFmtId="0" fontId="57" fillId="0" borderId="62" xfId="686" applyNumberFormat="1" applyFont="1" applyBorder="1" applyAlignment="1">
      <alignment horizontal="left" vertical="top" wrapText="1"/>
    </xf>
    <xf numFmtId="0" fontId="57" fillId="0" borderId="64" xfId="686" applyNumberFormat="1" applyFont="1" applyBorder="1" applyAlignment="1">
      <alignment horizontal="left" vertical="top" wrapText="1"/>
    </xf>
    <xf numFmtId="0" fontId="57" fillId="0" borderId="66" xfId="686" applyNumberFormat="1" applyFont="1" applyBorder="1" applyAlignment="1">
      <alignment horizontal="left" vertical="top" wrapText="1"/>
    </xf>
    <xf numFmtId="0" fontId="57" fillId="0" borderId="73" xfId="686" applyNumberFormat="1" applyFont="1" applyBorder="1" applyAlignment="1">
      <alignment horizontal="left" vertical="top" wrapText="1"/>
    </xf>
    <xf numFmtId="0" fontId="57" fillId="0" borderId="74" xfId="686" applyNumberFormat="1" applyFont="1" applyBorder="1" applyAlignment="1">
      <alignment horizontal="left" vertical="top" wrapText="1"/>
    </xf>
    <xf numFmtId="0" fontId="57" fillId="0" borderId="75" xfId="686" applyNumberFormat="1" applyFont="1" applyBorder="1" applyAlignment="1">
      <alignment horizontal="left" vertical="top" wrapText="1"/>
    </xf>
    <xf numFmtId="0" fontId="57" fillId="0" borderId="83" xfId="686" quotePrefix="1" applyNumberFormat="1" applyFont="1" applyBorder="1" applyAlignment="1">
      <alignment horizontal="left" vertical="top" wrapText="1"/>
    </xf>
    <xf numFmtId="0" fontId="58" fillId="0" borderId="62" xfId="686" applyNumberFormat="1" applyFont="1" applyBorder="1" applyAlignment="1">
      <alignment horizontal="left" vertical="top" wrapText="1"/>
    </xf>
    <xf numFmtId="0" fontId="58" fillId="0" borderId="66" xfId="686" applyNumberFormat="1" applyFont="1" applyBorder="1" applyAlignment="1">
      <alignment horizontal="left" vertical="top" wrapText="1"/>
    </xf>
    <xf numFmtId="0" fontId="57" fillId="2" borderId="73" xfId="686" quotePrefix="1" applyNumberFormat="1" applyFont="1" applyFill="1" applyBorder="1" applyAlignment="1">
      <alignment horizontal="left" vertical="top" wrapText="1"/>
    </xf>
    <xf numFmtId="0" fontId="57" fillId="2" borderId="75" xfId="686" quotePrefix="1" applyNumberFormat="1" applyFont="1" applyFill="1" applyBorder="1" applyAlignment="1">
      <alignment horizontal="left" vertical="top" wrapText="1"/>
    </xf>
    <xf numFmtId="0" fontId="57" fillId="0" borderId="62" xfId="686" quotePrefix="1" applyNumberFormat="1" applyFont="1" applyBorder="1" applyAlignment="1">
      <alignment horizontal="left" vertical="top" wrapText="1"/>
    </xf>
    <xf numFmtId="0" fontId="57" fillId="0" borderId="66" xfId="686" quotePrefix="1" applyNumberFormat="1" applyFont="1" applyBorder="1" applyAlignment="1">
      <alignment horizontal="left" vertical="top" wrapText="1"/>
    </xf>
    <xf numFmtId="0" fontId="75" fillId="103" borderId="141" xfId="0" applyFont="1" applyFill="1" applyBorder="1" applyAlignment="1">
      <alignment horizontal="center" vertical="center" wrapText="1"/>
    </xf>
    <xf numFmtId="0" fontId="75" fillId="103" borderId="41" xfId="0" applyFont="1" applyFill="1" applyBorder="1" applyAlignment="1">
      <alignment horizontal="center" vertical="center" wrapText="1"/>
    </xf>
    <xf numFmtId="0" fontId="75" fillId="103" borderId="39" xfId="0" applyFont="1" applyFill="1" applyBorder="1" applyAlignment="1">
      <alignment horizontal="center" vertical="center" wrapText="1"/>
    </xf>
    <xf numFmtId="0" fontId="52" fillId="0" borderId="61" xfId="686" quotePrefix="1" applyNumberFormat="1" applyFont="1" applyBorder="1" applyAlignment="1">
      <alignment horizontal="center" vertical="center" wrapText="1"/>
    </xf>
    <xf numFmtId="0" fontId="52" fillId="0" borderId="63" xfId="686" quotePrefix="1" applyNumberFormat="1" applyFont="1" applyBorder="1" applyAlignment="1">
      <alignment horizontal="center" vertical="center" wrapText="1"/>
    </xf>
    <xf numFmtId="169" fontId="57" fillId="2" borderId="62" xfId="686" quotePrefix="1" applyNumberFormat="1" applyFont="1" applyFill="1" applyBorder="1" applyAlignment="1">
      <alignment horizontal="left" vertical="top" wrapText="1"/>
    </xf>
    <xf numFmtId="169" fontId="57" fillId="2" borderId="64" xfId="686" applyNumberFormat="1" applyFont="1" applyFill="1" applyBorder="1" applyAlignment="1">
      <alignment horizontal="left" vertical="top" wrapText="1"/>
    </xf>
    <xf numFmtId="0" fontId="57" fillId="2" borderId="62" xfId="686" applyNumberFormat="1" applyFont="1" applyFill="1" applyBorder="1" applyAlignment="1" applyProtection="1">
      <alignment horizontal="left" vertical="top" wrapText="1"/>
      <protection locked="0" hidden="1"/>
    </xf>
    <xf numFmtId="0" fontId="57" fillId="2" borderId="64" xfId="686" applyNumberFormat="1" applyFont="1" applyFill="1" applyBorder="1" applyAlignment="1" applyProtection="1">
      <alignment horizontal="left" vertical="top" wrapText="1"/>
      <protection locked="0" hidden="1"/>
    </xf>
    <xf numFmtId="0" fontId="52" fillId="0" borderId="65" xfId="686" quotePrefix="1" applyNumberFormat="1" applyFont="1" applyBorder="1" applyAlignment="1">
      <alignment horizontal="center" vertical="center" wrapText="1"/>
    </xf>
    <xf numFmtId="169" fontId="57" fillId="2" borderId="64" xfId="686" quotePrefix="1" applyNumberFormat="1" applyFont="1" applyFill="1" applyBorder="1" applyAlignment="1">
      <alignment horizontal="left" vertical="top" wrapText="1"/>
    </xf>
    <xf numFmtId="169" fontId="57" fillId="2" borderId="66" xfId="686" applyNumberFormat="1" applyFont="1" applyFill="1" applyBorder="1" applyAlignment="1">
      <alignment horizontal="left" vertical="top" wrapText="1"/>
    </xf>
    <xf numFmtId="0" fontId="57" fillId="2" borderId="66" xfId="686" applyNumberFormat="1" applyFont="1" applyFill="1" applyBorder="1" applyAlignment="1" applyProtection="1">
      <alignment horizontal="left" vertical="top" wrapText="1"/>
      <protection locked="0" hidden="1"/>
    </xf>
    <xf numFmtId="0" fontId="52" fillId="0" borderId="73" xfId="686" quotePrefix="1" applyNumberFormat="1" applyFont="1" applyBorder="1" applyAlignment="1">
      <alignment horizontal="left" vertical="top" wrapText="1"/>
    </xf>
    <xf numFmtId="0" fontId="52" fillId="0" borderId="74" xfId="686" quotePrefix="1" applyNumberFormat="1" applyFont="1" applyBorder="1" applyAlignment="1">
      <alignment horizontal="left" vertical="top" wrapText="1"/>
    </xf>
    <xf numFmtId="0" fontId="52" fillId="0" borderId="75" xfId="686" quotePrefix="1" applyNumberFormat="1" applyFont="1" applyBorder="1" applyAlignment="1">
      <alignment horizontal="left" vertical="top" wrapText="1"/>
    </xf>
    <xf numFmtId="0" fontId="52" fillId="0" borderId="129" xfId="686" quotePrefix="1" applyNumberFormat="1" applyFont="1" applyBorder="1" applyAlignment="1">
      <alignment horizontal="center" vertical="center" wrapText="1"/>
    </xf>
    <xf numFmtId="0" fontId="52" fillId="0" borderId="80" xfId="686" quotePrefix="1" applyNumberFormat="1" applyFont="1" applyBorder="1" applyAlignment="1">
      <alignment horizontal="center" vertical="center" wrapText="1"/>
    </xf>
    <xf numFmtId="0" fontId="52" fillId="0" borderId="130" xfId="686" quotePrefix="1" applyNumberFormat="1" applyFont="1" applyBorder="1" applyAlignment="1">
      <alignment horizontal="center" vertical="center" wrapText="1"/>
    </xf>
    <xf numFmtId="169" fontId="57" fillId="2" borderId="73" xfId="686" quotePrefix="1" applyNumberFormat="1" applyFont="1" applyFill="1" applyBorder="1" applyAlignment="1">
      <alignment horizontal="left" vertical="top" wrapText="1"/>
    </xf>
    <xf numFmtId="169" fontId="57" fillId="2" borderId="74" xfId="686" applyNumberFormat="1" applyFont="1" applyFill="1" applyBorder="1" applyAlignment="1">
      <alignment horizontal="left" vertical="top" wrapText="1"/>
    </xf>
    <xf numFmtId="169" fontId="57" fillId="2" borderId="75" xfId="686" applyNumberFormat="1" applyFont="1" applyFill="1" applyBorder="1" applyAlignment="1">
      <alignment horizontal="left" vertical="top" wrapText="1"/>
    </xf>
    <xf numFmtId="169" fontId="57" fillId="2" borderId="73" xfId="686" applyNumberFormat="1" applyFont="1" applyFill="1" applyBorder="1" applyAlignment="1">
      <alignment horizontal="left" vertical="top" wrapText="1"/>
    </xf>
    <xf numFmtId="0" fontId="58" fillId="2" borderId="75" xfId="686" applyNumberFormat="1" applyFont="1" applyFill="1" applyBorder="1" applyAlignment="1">
      <alignment horizontal="left" vertical="top" wrapText="1"/>
    </xf>
    <xf numFmtId="0" fontId="57" fillId="2" borderId="73" xfId="686" applyNumberFormat="1" applyFont="1" applyFill="1" applyBorder="1" applyAlignment="1" applyProtection="1">
      <alignment horizontal="left" vertical="top" wrapText="1"/>
      <protection hidden="1"/>
    </xf>
    <xf numFmtId="0" fontId="57" fillId="2" borderId="74" xfId="686" applyNumberFormat="1" applyFont="1" applyFill="1" applyBorder="1" applyAlignment="1" applyProtection="1">
      <alignment horizontal="left" vertical="top" wrapText="1"/>
      <protection hidden="1"/>
    </xf>
    <xf numFmtId="0" fontId="57" fillId="2" borderId="75" xfId="686" applyNumberFormat="1" applyFont="1" applyFill="1" applyBorder="1" applyAlignment="1" applyProtection="1">
      <alignment horizontal="left" vertical="top" wrapText="1"/>
      <protection hidden="1"/>
    </xf>
    <xf numFmtId="0" fontId="57" fillId="2" borderId="62" xfId="686" applyNumberFormat="1" applyFont="1" applyFill="1" applyBorder="1" applyAlignment="1" applyProtection="1">
      <alignment horizontal="left" vertical="top" wrapText="1"/>
      <protection hidden="1"/>
    </xf>
    <xf numFmtId="0" fontId="57" fillId="2" borderId="64" xfId="686" applyNumberFormat="1" applyFont="1" applyFill="1" applyBorder="1" applyAlignment="1" applyProtection="1">
      <alignment horizontal="left" vertical="top" wrapText="1"/>
      <protection hidden="1"/>
    </xf>
    <xf numFmtId="0" fontId="57" fillId="2" borderId="66" xfId="686" applyNumberFormat="1" applyFont="1" applyFill="1" applyBorder="1" applyAlignment="1" applyProtection="1">
      <alignment horizontal="left" vertical="top" wrapText="1"/>
      <protection hidden="1"/>
    </xf>
    <xf numFmtId="170" fontId="63" fillId="0" borderId="62" xfId="686" applyFont="1" applyBorder="1" applyAlignment="1">
      <alignment horizontal="left" vertical="top"/>
    </xf>
    <xf numFmtId="170" fontId="63" fillId="0" borderId="64" xfId="686" applyFont="1" applyBorder="1" applyAlignment="1">
      <alignment horizontal="left" vertical="top"/>
    </xf>
    <xf numFmtId="0" fontId="52" fillId="0" borderId="62" xfId="686" applyNumberFormat="1" applyFont="1" applyBorder="1" applyAlignment="1">
      <alignment horizontal="center" vertical="center" wrapText="1"/>
    </xf>
    <xf numFmtId="0" fontId="52" fillId="0" borderId="64" xfId="686" applyNumberFormat="1" applyFont="1" applyBorder="1" applyAlignment="1">
      <alignment horizontal="center" vertical="center" wrapText="1"/>
    </xf>
    <xf numFmtId="0" fontId="52" fillId="0" borderId="66" xfId="686" applyNumberFormat="1" applyFont="1" applyBorder="1" applyAlignment="1">
      <alignment horizontal="center" vertical="center" wrapText="1"/>
    </xf>
    <xf numFmtId="0" fontId="56" fillId="0" borderId="67" xfId="686" quotePrefix="1" applyNumberFormat="1" applyFont="1" applyBorder="1" applyAlignment="1">
      <alignment horizontal="center" vertical="top" wrapText="1"/>
    </xf>
    <xf numFmtId="0" fontId="56" fillId="0" borderId="68" xfId="686" quotePrefix="1" applyNumberFormat="1" applyFont="1" applyBorder="1" applyAlignment="1">
      <alignment horizontal="center" vertical="top" wrapText="1"/>
    </xf>
    <xf numFmtId="0" fontId="56" fillId="0" borderId="69" xfId="686" quotePrefix="1" applyNumberFormat="1" applyFont="1" applyBorder="1" applyAlignment="1">
      <alignment horizontal="center" vertical="top" wrapText="1"/>
    </xf>
    <xf numFmtId="0" fontId="56" fillId="0" borderId="62" xfId="686" quotePrefix="1" applyNumberFormat="1" applyFont="1" applyBorder="1" applyAlignment="1">
      <alignment horizontal="center" vertical="top" wrapText="1"/>
    </xf>
    <xf numFmtId="0" fontId="56" fillId="0" borderId="64" xfId="686" quotePrefix="1" applyNumberFormat="1" applyFont="1" applyBorder="1" applyAlignment="1">
      <alignment horizontal="center" vertical="top" wrapText="1"/>
    </xf>
    <xf numFmtId="0" fontId="56" fillId="0" borderId="66" xfId="686" quotePrefix="1" applyNumberFormat="1" applyFont="1" applyBorder="1" applyAlignment="1">
      <alignment horizontal="center" vertical="top" wrapText="1"/>
    </xf>
    <xf numFmtId="0" fontId="52" fillId="96" borderId="110" xfId="686" applyNumberFormat="1" applyFont="1" applyFill="1" applyBorder="1" applyAlignment="1">
      <alignment horizontal="center" vertical="center" wrapText="1"/>
    </xf>
    <xf numFmtId="0" fontId="52" fillId="96" borderId="35" xfId="686" applyNumberFormat="1" applyFont="1" applyFill="1" applyBorder="1" applyAlignment="1">
      <alignment horizontal="center" vertical="center" wrapText="1"/>
    </xf>
    <xf numFmtId="0" fontId="52" fillId="96" borderId="42" xfId="686" applyNumberFormat="1" applyFont="1" applyFill="1" applyBorder="1" applyAlignment="1">
      <alignment horizontal="center" vertical="center" wrapText="1"/>
    </xf>
    <xf numFmtId="0" fontId="52" fillId="96" borderId="2" xfId="686" applyNumberFormat="1" applyFont="1" applyFill="1" applyBorder="1" applyAlignment="1">
      <alignment horizontal="center" vertical="center" wrapText="1"/>
    </xf>
    <xf numFmtId="0" fontId="52" fillId="96" borderId="2" xfId="686" applyNumberFormat="1" applyFont="1" applyFill="1" applyBorder="1" applyAlignment="1">
      <alignment horizontal="left" vertical="center" wrapText="1"/>
    </xf>
    <xf numFmtId="0" fontId="52" fillId="96" borderId="140" xfId="686" applyNumberFormat="1" applyFont="1" applyFill="1" applyBorder="1" applyAlignment="1">
      <alignment horizontal="center" vertical="center" wrapText="1"/>
    </xf>
    <xf numFmtId="0" fontId="52" fillId="96" borderId="141" xfId="686" applyNumberFormat="1" applyFont="1" applyFill="1" applyBorder="1" applyAlignment="1">
      <alignment horizontal="center" vertical="center" wrapText="1"/>
    </xf>
    <xf numFmtId="0" fontId="52" fillId="96" borderId="51" xfId="686" applyNumberFormat="1" applyFont="1" applyFill="1" applyBorder="1" applyAlignment="1">
      <alignment horizontal="center" vertical="center" wrapText="1"/>
    </xf>
    <xf numFmtId="0" fontId="52" fillId="96" borderId="51" xfId="686" applyNumberFormat="1" applyFont="1" applyFill="1" applyBorder="1" applyAlignment="1">
      <alignment horizontal="left" vertical="center" wrapText="1"/>
    </xf>
    <xf numFmtId="0" fontId="52" fillId="96" borderId="57" xfId="686" applyNumberFormat="1" applyFont="1" applyFill="1" applyBorder="1" applyAlignment="1">
      <alignment horizontal="center" vertical="center" wrapText="1"/>
    </xf>
    <xf numFmtId="182" fontId="57" fillId="2" borderId="62" xfId="686" quotePrefix="1" applyNumberFormat="1" applyFont="1" applyFill="1" applyBorder="1" applyAlignment="1">
      <alignment horizontal="left" vertical="top" wrapText="1"/>
    </xf>
    <xf numFmtId="182" fontId="57" fillId="2" borderId="64" xfId="686" applyNumberFormat="1" applyFont="1" applyFill="1" applyBorder="1" applyAlignment="1">
      <alignment horizontal="left" vertical="top" wrapText="1"/>
    </xf>
    <xf numFmtId="182" fontId="57" fillId="2" borderId="66" xfId="686" applyNumberFormat="1" applyFont="1" applyFill="1" applyBorder="1" applyAlignment="1">
      <alignment horizontal="left" vertical="top" wrapText="1"/>
    </xf>
    <xf numFmtId="0" fontId="56" fillId="0" borderId="67" xfId="686" quotePrefix="1" applyNumberFormat="1" applyFont="1" applyBorder="1" applyAlignment="1">
      <alignment horizontal="center" vertical="center" wrapText="1"/>
    </xf>
    <xf numFmtId="0" fontId="56" fillId="0" borderId="68" xfId="686" quotePrefix="1" applyNumberFormat="1" applyFont="1" applyBorder="1" applyAlignment="1">
      <alignment horizontal="center" vertical="center" wrapText="1"/>
    </xf>
    <xf numFmtId="0" fontId="56" fillId="0" borderId="69" xfId="686" quotePrefix="1" applyNumberFormat="1" applyFont="1" applyBorder="1" applyAlignment="1">
      <alignment horizontal="center" vertical="center" wrapText="1"/>
    </xf>
    <xf numFmtId="42" fontId="52" fillId="0" borderId="76" xfId="686" applyNumberFormat="1" applyFont="1" applyBorder="1" applyAlignment="1">
      <alignment horizontal="center" vertical="center" wrapText="1"/>
    </xf>
    <xf numFmtId="42" fontId="52" fillId="0" borderId="77" xfId="686" applyNumberFormat="1" applyFont="1" applyBorder="1" applyAlignment="1">
      <alignment horizontal="center" vertical="center" wrapText="1"/>
    </xf>
    <xf numFmtId="42" fontId="52" fillId="0" borderId="78" xfId="686" applyNumberFormat="1" applyFont="1" applyBorder="1" applyAlignment="1">
      <alignment horizontal="center" vertical="center" wrapText="1"/>
    </xf>
    <xf numFmtId="0" fontId="52" fillId="0" borderId="62" xfId="686" applyNumberFormat="1" applyFont="1" applyBorder="1" applyAlignment="1">
      <alignment horizontal="center" vertical="top" wrapText="1"/>
    </xf>
    <xf numFmtId="0" fontId="52" fillId="0" borderId="64" xfId="686" applyNumberFormat="1" applyFont="1" applyBorder="1" applyAlignment="1">
      <alignment horizontal="center" vertical="top" wrapText="1"/>
    </xf>
    <xf numFmtId="0" fontId="52" fillId="0" borderId="66" xfId="686" applyNumberFormat="1" applyFont="1" applyBorder="1" applyAlignment="1">
      <alignment horizontal="center" vertical="top" wrapText="1"/>
    </xf>
    <xf numFmtId="0" fontId="56" fillId="0" borderId="135" xfId="686" quotePrefix="1" applyNumberFormat="1" applyFont="1" applyBorder="1" applyAlignment="1">
      <alignment horizontal="center" vertical="top" wrapText="1"/>
    </xf>
    <xf numFmtId="0" fontId="56" fillId="0" borderId="136" xfId="686" quotePrefix="1" applyNumberFormat="1" applyFont="1" applyBorder="1" applyAlignment="1">
      <alignment horizontal="center" vertical="top" wrapText="1"/>
    </xf>
    <xf numFmtId="0" fontId="56" fillId="0" borderId="137" xfId="686" quotePrefix="1" applyNumberFormat="1" applyFont="1" applyBorder="1" applyAlignment="1">
      <alignment horizontal="center" vertical="top" wrapText="1"/>
    </xf>
    <xf numFmtId="0" fontId="52" fillId="0" borderId="74" xfId="686" applyNumberFormat="1" applyFont="1" applyBorder="1" applyAlignment="1">
      <alignment horizontal="center" vertical="top" wrapText="1"/>
    </xf>
    <xf numFmtId="0" fontId="52" fillId="0" borderId="83" xfId="686" applyNumberFormat="1" applyFont="1" applyBorder="1" applyAlignment="1">
      <alignment horizontal="center" vertical="top" wrapText="1"/>
    </xf>
    <xf numFmtId="0" fontId="52" fillId="0" borderId="75" xfId="686" applyNumberFormat="1" applyFont="1" applyBorder="1" applyAlignment="1">
      <alignment horizontal="center" vertical="top" wrapText="1"/>
    </xf>
    <xf numFmtId="42" fontId="52" fillId="0" borderId="81" xfId="686" applyNumberFormat="1" applyFont="1" applyBorder="1" applyAlignment="1">
      <alignment horizontal="center" vertical="center" wrapText="1"/>
    </xf>
    <xf numFmtId="42" fontId="52" fillId="0" borderId="127" xfId="686" applyNumberFormat="1" applyFont="1" applyBorder="1" applyAlignment="1">
      <alignment horizontal="center" vertical="center" wrapText="1"/>
    </xf>
    <xf numFmtId="42" fontId="52" fillId="0" borderId="82" xfId="686" applyNumberFormat="1" applyFont="1" applyBorder="1" applyAlignment="1">
      <alignment horizontal="center" vertical="center" wrapText="1"/>
    </xf>
    <xf numFmtId="42" fontId="52" fillId="0" borderId="79" xfId="686" applyNumberFormat="1" applyFont="1" applyBorder="1" applyAlignment="1">
      <alignment horizontal="center" vertical="center" wrapText="1"/>
    </xf>
    <xf numFmtId="42" fontId="52" fillId="0" borderId="121" xfId="686" applyNumberFormat="1" applyFont="1" applyBorder="1" applyAlignment="1">
      <alignment horizontal="center" vertical="center" wrapText="1"/>
    </xf>
    <xf numFmtId="0" fontId="56" fillId="0" borderId="62" xfId="686" quotePrefix="1" applyNumberFormat="1" applyFont="1" applyBorder="1" applyAlignment="1">
      <alignment horizontal="center" vertical="center" wrapText="1"/>
    </xf>
    <xf numFmtId="0" fontId="56" fillId="0" borderId="64" xfId="686" quotePrefix="1" applyNumberFormat="1" applyFont="1" applyBorder="1" applyAlignment="1">
      <alignment horizontal="center" vertical="center" wrapText="1"/>
    </xf>
    <xf numFmtId="0" fontId="56" fillId="0" borderId="66" xfId="686" quotePrefix="1" applyNumberFormat="1" applyFont="1" applyBorder="1" applyAlignment="1">
      <alignment horizontal="center" vertical="center" wrapText="1"/>
    </xf>
    <xf numFmtId="0" fontId="56" fillId="0" borderId="138" xfId="686" quotePrefix="1" applyNumberFormat="1" applyFont="1" applyBorder="1" applyAlignment="1">
      <alignment horizontal="center" vertical="top" wrapText="1"/>
    </xf>
    <xf numFmtId="0" fontId="56" fillId="0" borderId="139" xfId="686" quotePrefix="1" applyNumberFormat="1" applyFont="1" applyBorder="1" applyAlignment="1">
      <alignment horizontal="center" vertical="top" wrapText="1"/>
    </xf>
    <xf numFmtId="0" fontId="56" fillId="0" borderId="73" xfId="686" quotePrefix="1" applyNumberFormat="1" applyFont="1" applyBorder="1" applyAlignment="1">
      <alignment horizontal="center" vertical="top" wrapText="1"/>
    </xf>
    <xf numFmtId="0" fontId="56" fillId="0" borderId="120" xfId="686" quotePrefix="1" applyNumberFormat="1" applyFont="1" applyBorder="1" applyAlignment="1">
      <alignment horizontal="center" vertical="top" wrapText="1"/>
    </xf>
    <xf numFmtId="0" fontId="56" fillId="0" borderId="74" xfId="686" quotePrefix="1" applyNumberFormat="1" applyFont="1" applyBorder="1" applyAlignment="1">
      <alignment horizontal="center" vertical="top" wrapText="1"/>
    </xf>
    <xf numFmtId="0" fontId="56" fillId="0" borderId="75" xfId="686" quotePrefix="1" applyNumberFormat="1" applyFont="1" applyBorder="1" applyAlignment="1">
      <alignment horizontal="center" vertical="top" wrapText="1"/>
    </xf>
    <xf numFmtId="0" fontId="57" fillId="0" borderId="62" xfId="686" applyNumberFormat="1" applyFont="1" applyBorder="1" applyAlignment="1" applyProtection="1">
      <alignment horizontal="left" vertical="top" wrapText="1"/>
      <protection hidden="1"/>
    </xf>
    <xf numFmtId="0" fontId="57" fillId="0" borderId="64" xfId="686" applyNumberFormat="1" applyFont="1" applyBorder="1" applyAlignment="1" applyProtection="1">
      <alignment horizontal="left" vertical="top" wrapText="1"/>
      <protection hidden="1"/>
    </xf>
    <xf numFmtId="0" fontId="57" fillId="2" borderId="120" xfId="686" applyNumberFormat="1" applyFont="1" applyFill="1" applyBorder="1" applyAlignment="1">
      <alignment horizontal="left" vertical="top" wrapText="1"/>
    </xf>
    <xf numFmtId="0" fontId="57" fillId="0" borderId="73" xfId="686" quotePrefix="1" applyNumberFormat="1" applyFont="1" applyBorder="1" applyAlignment="1">
      <alignment horizontal="left" vertical="top" wrapText="1"/>
    </xf>
    <xf numFmtId="0" fontId="52" fillId="0" borderId="1" xfId="686" applyNumberFormat="1" applyFont="1" applyBorder="1" applyAlignment="1">
      <alignment horizontal="center" vertical="top" wrapText="1"/>
    </xf>
    <xf numFmtId="0" fontId="52" fillId="0" borderId="1" xfId="686" applyNumberFormat="1" applyFont="1" applyBorder="1" applyAlignment="1">
      <alignment vertical="top" wrapText="1"/>
    </xf>
    <xf numFmtId="0" fontId="57" fillId="0" borderId="83" xfId="686" applyNumberFormat="1" applyFont="1" applyBorder="1" applyAlignment="1">
      <alignment horizontal="left" vertical="top" wrapText="1"/>
    </xf>
    <xf numFmtId="0" fontId="56" fillId="0" borderId="138" xfId="686" quotePrefix="1" applyNumberFormat="1" applyFont="1" applyBorder="1" applyAlignment="1">
      <alignment horizontal="center" vertical="center" wrapText="1"/>
    </xf>
    <xf numFmtId="0" fontId="56" fillId="0" borderId="135" xfId="686" quotePrefix="1" applyNumberFormat="1" applyFont="1" applyBorder="1" applyAlignment="1">
      <alignment horizontal="center" vertical="center" wrapText="1"/>
    </xf>
    <xf numFmtId="0" fontId="56" fillId="0" borderId="137" xfId="686" quotePrefix="1" applyNumberFormat="1" applyFont="1" applyBorder="1" applyAlignment="1">
      <alignment horizontal="center" vertical="center" wrapText="1"/>
    </xf>
    <xf numFmtId="0" fontId="52" fillId="0" borderId="73" xfId="686" applyNumberFormat="1" applyFont="1" applyBorder="1" applyAlignment="1">
      <alignment horizontal="center" vertical="center" wrapText="1"/>
    </xf>
    <xf numFmtId="0" fontId="52" fillId="0" borderId="74" xfId="686" applyNumberFormat="1" applyFont="1" applyBorder="1" applyAlignment="1">
      <alignment horizontal="center" vertical="center" wrapText="1"/>
    </xf>
    <xf numFmtId="0" fontId="52" fillId="0" borderId="75" xfId="686" applyNumberFormat="1" applyFont="1" applyBorder="1" applyAlignment="1">
      <alignment horizontal="center" vertical="center" wrapText="1"/>
    </xf>
    <xf numFmtId="0" fontId="52" fillId="0" borderId="42" xfId="686" quotePrefix="1" applyNumberFormat="1" applyFont="1" applyBorder="1" applyAlignment="1">
      <alignment horizontal="center" vertical="center" wrapText="1"/>
    </xf>
    <xf numFmtId="0" fontId="52" fillId="0" borderId="37" xfId="686" quotePrefix="1" applyNumberFormat="1" applyFont="1" applyBorder="1" applyAlignment="1">
      <alignment horizontal="center" vertical="center" wrapText="1"/>
    </xf>
    <xf numFmtId="169" fontId="57" fillId="0" borderId="73" xfId="686" quotePrefix="1" applyNumberFormat="1" applyFont="1" applyBorder="1" applyAlignment="1">
      <alignment horizontal="left" vertical="top" wrapText="1"/>
    </xf>
    <xf numFmtId="169" fontId="57" fillId="0" borderId="74" xfId="686" applyNumberFormat="1" applyFont="1" applyBorder="1" applyAlignment="1">
      <alignment horizontal="left" vertical="top" wrapText="1"/>
    </xf>
    <xf numFmtId="169" fontId="57" fillId="0" borderId="83" xfId="686" applyNumberFormat="1" applyFont="1" applyBorder="1" applyAlignment="1">
      <alignment horizontal="left" vertical="top" wrapText="1"/>
    </xf>
    <xf numFmtId="0" fontId="57" fillId="0" borderId="73" xfId="686" applyNumberFormat="1" applyFont="1" applyBorder="1" applyAlignment="1" applyProtection="1">
      <alignment horizontal="left" vertical="top" wrapText="1"/>
      <protection locked="0" hidden="1"/>
    </xf>
    <xf numFmtId="0" fontId="57" fillId="0" borderId="74" xfId="686" applyNumberFormat="1" applyFont="1" applyBorder="1" applyAlignment="1" applyProtection="1">
      <alignment horizontal="left" vertical="top" wrapText="1"/>
      <protection locked="0" hidden="1"/>
    </xf>
    <xf numFmtId="0" fontId="57" fillId="0" borderId="83" xfId="686" applyNumberFormat="1" applyFont="1" applyBorder="1" applyAlignment="1" applyProtection="1">
      <alignment horizontal="left" vertical="top" wrapText="1"/>
      <protection locked="0" hidden="1"/>
    </xf>
    <xf numFmtId="0" fontId="57" fillId="0" borderId="73" xfId="686" applyNumberFormat="1" applyFont="1" applyBorder="1" applyAlignment="1" applyProtection="1">
      <alignment horizontal="left" vertical="top" wrapText="1"/>
      <protection hidden="1"/>
    </xf>
    <xf numFmtId="0" fontId="57" fillId="0" borderId="74" xfId="686" applyNumberFormat="1" applyFont="1" applyBorder="1" applyAlignment="1" applyProtection="1">
      <alignment horizontal="left" vertical="top" wrapText="1"/>
      <protection hidden="1"/>
    </xf>
    <xf numFmtId="0" fontId="57" fillId="0" borderId="83" xfId="686" applyNumberFormat="1" applyFont="1" applyBorder="1" applyAlignment="1" applyProtection="1">
      <alignment horizontal="left" vertical="top" wrapText="1"/>
      <protection hidden="1"/>
    </xf>
    <xf numFmtId="170" fontId="52" fillId="95" borderId="55" xfId="686" applyFont="1" applyFill="1" applyBorder="1" applyAlignment="1">
      <alignment horizontal="center" vertical="center"/>
    </xf>
    <xf numFmtId="170" fontId="52" fillId="95" borderId="40" xfId="686" applyFont="1" applyFill="1" applyBorder="1" applyAlignment="1">
      <alignment horizontal="center" vertical="center"/>
    </xf>
    <xf numFmtId="170" fontId="52" fillId="95" borderId="40" xfId="686" applyFont="1" applyFill="1" applyBorder="1" applyAlignment="1">
      <alignment horizontal="left" vertical="center"/>
    </xf>
    <xf numFmtId="170" fontId="52" fillId="95" borderId="41" xfId="686" applyFont="1" applyFill="1" applyBorder="1" applyAlignment="1">
      <alignment horizontal="center" vertical="center"/>
    </xf>
    <xf numFmtId="170" fontId="52" fillId="95" borderId="39" xfId="686" applyFont="1" applyFill="1" applyBorder="1" applyAlignment="1">
      <alignment horizontal="center" vertical="center"/>
    </xf>
    <xf numFmtId="0" fontId="56" fillId="0" borderId="39" xfId="686" quotePrefix="1" applyNumberFormat="1" applyFont="1" applyBorder="1" applyAlignment="1">
      <alignment horizontal="center" vertical="top" wrapText="1"/>
    </xf>
    <xf numFmtId="0" fontId="56" fillId="0" borderId="39" xfId="686" quotePrefix="1" applyNumberFormat="1" applyFont="1" applyBorder="1" applyAlignment="1">
      <alignment vertical="top" wrapText="1"/>
    </xf>
    <xf numFmtId="42" fontId="52" fillId="0" borderId="1" xfId="686" applyNumberFormat="1" applyFont="1" applyBorder="1" applyAlignment="1">
      <alignment horizontal="center" vertical="center" wrapText="1"/>
    </xf>
    <xf numFmtId="42" fontId="52" fillId="0" borderId="1" xfId="686" applyNumberFormat="1" applyFont="1" applyBorder="1" applyAlignment="1">
      <alignment vertical="center" wrapText="1"/>
    </xf>
    <xf numFmtId="0" fontId="34" fillId="0" borderId="62" xfId="686" applyNumberFormat="1" applyFont="1" applyBorder="1" applyAlignment="1">
      <alignment horizontal="left" vertical="top" wrapText="1"/>
    </xf>
    <xf numFmtId="0" fontId="34" fillId="0" borderId="64" xfId="686" applyNumberFormat="1" applyFont="1" applyBorder="1" applyAlignment="1">
      <alignment horizontal="left" vertical="top" wrapText="1"/>
    </xf>
    <xf numFmtId="0" fontId="34" fillId="0" borderId="66" xfId="686" applyNumberFormat="1" applyFont="1" applyBorder="1" applyAlignment="1">
      <alignment horizontal="left" vertical="top" wrapText="1"/>
    </xf>
    <xf numFmtId="0" fontId="34" fillId="0" borderId="120" xfId="686" applyNumberFormat="1" applyFont="1" applyBorder="1" applyAlignment="1">
      <alignment horizontal="left" vertical="top" wrapText="1"/>
    </xf>
    <xf numFmtId="0" fontId="34" fillId="0" borderId="83" xfId="686" applyNumberFormat="1" applyFont="1" applyBorder="1" applyAlignment="1">
      <alignment horizontal="left" vertical="top" wrapText="1"/>
    </xf>
    <xf numFmtId="0" fontId="58" fillId="2" borderId="73" xfId="686" applyNumberFormat="1" applyFont="1" applyFill="1" applyBorder="1" applyAlignment="1">
      <alignment horizontal="left" vertical="top" wrapText="1"/>
    </xf>
    <xf numFmtId="0" fontId="57" fillId="0" borderId="133" xfId="686" applyNumberFormat="1" applyFont="1" applyBorder="1" applyAlignment="1">
      <alignment horizontal="left" vertical="top" wrapText="1"/>
    </xf>
    <xf numFmtId="0" fontId="57" fillId="2" borderId="83" xfId="686" quotePrefix="1" applyNumberFormat="1" applyFont="1" applyFill="1" applyBorder="1" applyAlignment="1">
      <alignment horizontal="left" vertical="center" wrapText="1"/>
    </xf>
    <xf numFmtId="0" fontId="57" fillId="2" borderId="66" xfId="686" quotePrefix="1" applyNumberFormat="1" applyFont="1" applyFill="1" applyBorder="1" applyAlignment="1">
      <alignment horizontal="left" vertical="center" wrapText="1"/>
    </xf>
    <xf numFmtId="0" fontId="58" fillId="2" borderId="83" xfId="686" applyNumberFormat="1" applyFont="1" applyFill="1" applyBorder="1" applyAlignment="1">
      <alignment horizontal="left" vertical="center" wrapText="1"/>
    </xf>
    <xf numFmtId="0" fontId="58" fillId="2" borderId="66" xfId="686" applyNumberFormat="1" applyFont="1" applyFill="1" applyBorder="1" applyAlignment="1">
      <alignment horizontal="left" vertical="center" wrapText="1"/>
    </xf>
    <xf numFmtId="0" fontId="57" fillId="2" borderId="74" xfId="686" quotePrefix="1" applyNumberFormat="1" applyFont="1" applyFill="1" applyBorder="1" applyAlignment="1">
      <alignment horizontal="left" vertical="center" wrapText="1"/>
    </xf>
    <xf numFmtId="0" fontId="57" fillId="2" borderId="75" xfId="686" quotePrefix="1" applyNumberFormat="1" applyFont="1" applyFill="1" applyBorder="1" applyAlignment="1">
      <alignment horizontal="left" vertical="center" wrapText="1"/>
    </xf>
    <xf numFmtId="0" fontId="58" fillId="2" borderId="83" xfId="686" applyNumberFormat="1" applyFont="1" applyFill="1" applyBorder="1" applyAlignment="1">
      <alignment horizontal="center" vertical="center" wrapText="1"/>
    </xf>
    <xf numFmtId="0" fontId="58" fillId="2" borderId="66" xfId="686" applyNumberFormat="1" applyFont="1" applyFill="1" applyBorder="1" applyAlignment="1">
      <alignment horizontal="center" vertical="center" wrapText="1"/>
    </xf>
    <xf numFmtId="0" fontId="57" fillId="2" borderId="62" xfId="686" applyNumberFormat="1" applyFont="1" applyFill="1" applyBorder="1" applyAlignment="1">
      <alignment horizontal="center" vertical="center" wrapText="1"/>
    </xf>
    <xf numFmtId="0" fontId="57" fillId="2" borderId="66" xfId="686" applyNumberFormat="1" applyFont="1" applyFill="1" applyBorder="1" applyAlignment="1">
      <alignment horizontal="center" vertical="center" wrapText="1"/>
    </xf>
    <xf numFmtId="0" fontId="58" fillId="2" borderId="120" xfId="686" applyNumberFormat="1" applyFont="1" applyFill="1" applyBorder="1" applyAlignment="1">
      <alignment horizontal="center" vertical="center" wrapText="1"/>
    </xf>
    <xf numFmtId="0" fontId="85" fillId="83" borderId="38" xfId="0" applyFont="1" applyFill="1" applyBorder="1" applyAlignment="1">
      <alignment horizontal="left" vertical="center"/>
    </xf>
    <xf numFmtId="0" fontId="85" fillId="83" borderId="41" xfId="0" applyFont="1" applyFill="1" applyBorder="1" applyAlignment="1">
      <alignment horizontal="left" vertical="center"/>
    </xf>
    <xf numFmtId="0" fontId="85" fillId="83" borderId="39" xfId="0" applyFont="1" applyFill="1" applyBorder="1" applyAlignment="1">
      <alignment horizontal="left" vertical="center"/>
    </xf>
    <xf numFmtId="0" fontId="97" fillId="0" borderId="36" xfId="0" applyFont="1" applyBorder="1" applyAlignment="1">
      <alignment horizontal="center" vertical="center"/>
    </xf>
    <xf numFmtId="0" fontId="97" fillId="0" borderId="52" xfId="0" applyFont="1" applyBorder="1" applyAlignment="1">
      <alignment horizontal="center" vertical="center"/>
    </xf>
    <xf numFmtId="0" fontId="85" fillId="82" borderId="149" xfId="0" applyFont="1" applyFill="1" applyBorder="1" applyAlignment="1">
      <alignment horizontal="center" vertical="center"/>
    </xf>
    <xf numFmtId="0" fontId="85" fillId="82" borderId="57" xfId="0" applyFont="1" applyFill="1" applyBorder="1" applyAlignment="1">
      <alignment horizontal="center" vertical="center"/>
    </xf>
    <xf numFmtId="0" fontId="97" fillId="0" borderId="35" xfId="0" applyFont="1" applyBorder="1" applyAlignment="1">
      <alignment horizontal="center" vertical="center"/>
    </xf>
    <xf numFmtId="0" fontId="101" fillId="2" borderId="36" xfId="0" applyFont="1" applyFill="1" applyBorder="1" applyAlignment="1">
      <alignment horizontal="center" vertical="top"/>
    </xf>
    <xf numFmtId="0" fontId="101" fillId="2" borderId="52" xfId="0" applyFont="1" applyFill="1" applyBorder="1" applyAlignment="1">
      <alignment horizontal="center" vertical="top"/>
    </xf>
    <xf numFmtId="0" fontId="101" fillId="2" borderId="35" xfId="0" applyFont="1" applyFill="1" applyBorder="1" applyAlignment="1">
      <alignment horizontal="center" vertical="top"/>
    </xf>
    <xf numFmtId="0" fontId="100" fillId="2" borderId="36" xfId="686" applyNumberFormat="1" applyFont="1" applyFill="1" applyBorder="1" applyAlignment="1" applyProtection="1">
      <alignment horizontal="center" vertical="top" wrapText="1"/>
      <protection locked="0" hidden="1"/>
    </xf>
    <xf numFmtId="0" fontId="100" fillId="2" borderId="52" xfId="686" applyNumberFormat="1" applyFont="1" applyFill="1" applyBorder="1" applyAlignment="1" applyProtection="1">
      <alignment horizontal="center" vertical="top" wrapText="1"/>
      <protection locked="0" hidden="1"/>
    </xf>
    <xf numFmtId="0" fontId="100" fillId="2" borderId="35" xfId="686" applyNumberFormat="1" applyFont="1" applyFill="1" applyBorder="1" applyAlignment="1" applyProtection="1">
      <alignment horizontal="center" vertical="top" wrapText="1"/>
      <protection locked="0" hidden="1"/>
    </xf>
    <xf numFmtId="14" fontId="100" fillId="2" borderId="36" xfId="686" applyNumberFormat="1" applyFont="1" applyFill="1" applyBorder="1" applyAlignment="1">
      <alignment horizontal="center" vertical="top" wrapText="1"/>
    </xf>
    <xf numFmtId="14" fontId="100" fillId="2" borderId="52" xfId="686" applyNumberFormat="1" applyFont="1" applyFill="1" applyBorder="1" applyAlignment="1">
      <alignment horizontal="center" vertical="top" wrapText="1"/>
    </xf>
    <xf numFmtId="14" fontId="100" fillId="2" borderId="35" xfId="686" applyNumberFormat="1" applyFont="1" applyFill="1" applyBorder="1" applyAlignment="1">
      <alignment horizontal="center" vertical="top" wrapText="1"/>
    </xf>
    <xf numFmtId="0" fontId="105" fillId="94" borderId="38" xfId="0" applyFont="1" applyFill="1" applyBorder="1" applyAlignment="1">
      <alignment horizontal="center"/>
    </xf>
    <xf numFmtId="0" fontId="105" fillId="94" borderId="39" xfId="0" applyFont="1" applyFill="1" applyBorder="1" applyAlignment="1">
      <alignment horizontal="center"/>
    </xf>
    <xf numFmtId="0" fontId="103" fillId="2" borderId="1" xfId="686" quotePrefix="1" applyNumberFormat="1" applyFont="1" applyFill="1" applyBorder="1" applyAlignment="1">
      <alignment horizontal="left" vertical="center" wrapText="1"/>
    </xf>
    <xf numFmtId="0" fontId="103" fillId="2" borderId="1" xfId="686" quotePrefix="1" applyNumberFormat="1" applyFont="1" applyFill="1" applyBorder="1" applyAlignment="1">
      <alignment vertical="center" wrapText="1"/>
    </xf>
    <xf numFmtId="0" fontId="103" fillId="2" borderId="1" xfId="686" applyNumberFormat="1" applyFont="1" applyFill="1" applyBorder="1" applyAlignment="1">
      <alignment horizontal="left" vertical="top" wrapText="1"/>
    </xf>
    <xf numFmtId="0" fontId="97" fillId="82" borderId="38" xfId="0" applyFont="1" applyFill="1" applyBorder="1" applyAlignment="1">
      <alignment horizontal="center" vertical="center"/>
    </xf>
    <xf numFmtId="0" fontId="97" fillId="82" borderId="39" xfId="0" applyFont="1" applyFill="1" applyBorder="1" applyAlignment="1">
      <alignment horizontal="center" vertical="center"/>
    </xf>
    <xf numFmtId="0" fontId="97" fillId="82" borderId="38" xfId="0" applyFont="1" applyFill="1" applyBorder="1" applyAlignment="1">
      <alignment horizontal="center"/>
    </xf>
    <xf numFmtId="0" fontId="97" fillId="82" borderId="41" xfId="0" applyFont="1" applyFill="1" applyBorder="1" applyAlignment="1">
      <alignment horizontal="center"/>
    </xf>
    <xf numFmtId="0" fontId="97" fillId="82" borderId="39" xfId="0" applyFont="1" applyFill="1" applyBorder="1" applyAlignment="1">
      <alignment horizontal="center"/>
    </xf>
    <xf numFmtId="0" fontId="97" fillId="83" borderId="36" xfId="0" applyFont="1" applyFill="1" applyBorder="1" applyAlignment="1">
      <alignment horizontal="center" vertical="center"/>
    </xf>
    <xf numFmtId="0" fontId="97" fillId="83" borderId="52" xfId="0" applyFont="1" applyFill="1" applyBorder="1" applyAlignment="1">
      <alignment horizontal="center" vertical="center"/>
    </xf>
    <xf numFmtId="9" fontId="97" fillId="3" borderId="36" xfId="652" applyFont="1" applyFill="1" applyBorder="1" applyAlignment="1">
      <alignment horizontal="center" vertical="center"/>
    </xf>
    <xf numFmtId="9" fontId="97" fillId="3" borderId="52" xfId="652" applyFont="1" applyFill="1" applyBorder="1" applyAlignment="1">
      <alignment horizontal="center" vertical="center"/>
    </xf>
    <xf numFmtId="0" fontId="97" fillId="83" borderId="35" xfId="0" applyFont="1" applyFill="1" applyBorder="1" applyAlignment="1">
      <alignment horizontal="center" vertical="center"/>
    </xf>
    <xf numFmtId="9" fontId="97" fillId="3" borderId="35" xfId="652" applyFont="1" applyFill="1" applyBorder="1" applyAlignment="1">
      <alignment horizontal="center" vertical="center"/>
    </xf>
    <xf numFmtId="0" fontId="97" fillId="83" borderId="1" xfId="0" applyFont="1" applyFill="1" applyBorder="1" applyAlignment="1">
      <alignment horizontal="left" vertical="center"/>
    </xf>
    <xf numFmtId="0" fontId="96" fillId="83" borderId="1" xfId="0" applyFont="1" applyFill="1" applyBorder="1" applyAlignment="1">
      <alignment horizontal="center" vertical="center" wrapText="1"/>
    </xf>
    <xf numFmtId="0" fontId="96" fillId="83" borderId="36" xfId="0" applyFont="1" applyFill="1" applyBorder="1" applyAlignment="1">
      <alignment horizontal="center" vertical="center" wrapText="1" readingOrder="1"/>
    </xf>
    <xf numFmtId="0" fontId="96" fillId="83" borderId="52" xfId="0" applyFont="1" applyFill="1" applyBorder="1" applyAlignment="1">
      <alignment horizontal="center" vertical="center" wrapText="1" readingOrder="1"/>
    </xf>
    <xf numFmtId="0" fontId="96" fillId="83" borderId="35" xfId="0" applyFont="1" applyFill="1" applyBorder="1" applyAlignment="1">
      <alignment horizontal="center" vertical="center" wrapText="1" readingOrder="1"/>
    </xf>
    <xf numFmtId="9" fontId="96" fillId="3" borderId="36" xfId="0" applyNumberFormat="1" applyFont="1" applyFill="1" applyBorder="1" applyAlignment="1">
      <alignment horizontal="center" vertical="center" wrapText="1" readingOrder="1"/>
    </xf>
    <xf numFmtId="9" fontId="96" fillId="3" borderId="52" xfId="0" applyNumberFormat="1" applyFont="1" applyFill="1" applyBorder="1" applyAlignment="1">
      <alignment horizontal="center" vertical="center" wrapText="1" readingOrder="1"/>
    </xf>
    <xf numFmtId="9" fontId="96" fillId="3" borderId="35" xfId="0" applyNumberFormat="1" applyFont="1" applyFill="1" applyBorder="1" applyAlignment="1">
      <alignment horizontal="center" vertical="center" wrapText="1" readingOrder="1"/>
    </xf>
    <xf numFmtId="0" fontId="85" fillId="82" borderId="1" xfId="0" applyFont="1" applyFill="1" applyBorder="1" applyAlignment="1">
      <alignment horizontal="center" vertical="center"/>
    </xf>
    <xf numFmtId="0" fontId="96" fillId="83" borderId="1" xfId="0" applyFont="1" applyFill="1" applyBorder="1" applyAlignment="1">
      <alignment horizontal="left" vertical="center" wrapText="1" readingOrder="1"/>
    </xf>
    <xf numFmtId="0" fontId="96" fillId="83" borderId="52" xfId="0" applyFont="1" applyFill="1" applyBorder="1" applyAlignment="1">
      <alignment horizontal="left" vertical="center" wrapText="1" readingOrder="1"/>
    </xf>
    <xf numFmtId="0" fontId="96" fillId="83" borderId="35" xfId="0" applyFont="1" applyFill="1" applyBorder="1" applyAlignment="1">
      <alignment horizontal="left" vertical="center" wrapText="1" readingOrder="1"/>
    </xf>
    <xf numFmtId="0" fontId="85" fillId="82" borderId="1" xfId="0" applyFont="1" applyFill="1" applyBorder="1" applyAlignment="1">
      <alignment horizontal="center" vertical="center" readingOrder="1"/>
    </xf>
    <xf numFmtId="0" fontId="50" fillId="0" borderId="85" xfId="688" applyNumberFormat="1" applyFont="1" applyBorder="1" applyAlignment="1">
      <alignment horizontal="center" vertical="center"/>
    </xf>
    <xf numFmtId="0" fontId="1" fillId="0" borderId="0" xfId="688" applyNumberFormat="1" applyAlignment="1">
      <alignment horizontal="center"/>
    </xf>
    <xf numFmtId="0" fontId="74" fillId="0" borderId="0" xfId="688" applyNumberFormat="1" applyFont="1" applyAlignment="1">
      <alignment horizontal="center"/>
    </xf>
    <xf numFmtId="170" fontId="70" fillId="0" borderId="85" xfId="688" applyFont="1" applyBorder="1" applyAlignment="1">
      <alignment horizontal="center" vertical="center" wrapText="1"/>
    </xf>
    <xf numFmtId="0" fontId="70" fillId="0" borderId="85" xfId="688" applyNumberFormat="1" applyFont="1" applyBorder="1" applyAlignment="1">
      <alignment horizontal="center" vertical="center" wrapText="1"/>
    </xf>
    <xf numFmtId="170" fontId="67" fillId="0" borderId="0" xfId="688" applyFont="1" applyAlignment="1">
      <alignment horizontal="center" vertical="center"/>
    </xf>
    <xf numFmtId="170" fontId="68" fillId="103" borderId="0" xfId="688" applyFont="1" applyFill="1" applyAlignment="1">
      <alignment horizontal="center" vertical="center"/>
    </xf>
    <xf numFmtId="170" fontId="69" fillId="0" borderId="0" xfId="688" applyFont="1" applyAlignment="1">
      <alignment horizontal="center" vertical="center"/>
    </xf>
    <xf numFmtId="170" fontId="70" fillId="103" borderId="85" xfId="688" applyFont="1" applyFill="1" applyBorder="1" applyAlignment="1">
      <alignment horizontal="center" vertical="center" wrapText="1"/>
    </xf>
    <xf numFmtId="0" fontId="70" fillId="103" borderId="85" xfId="688" applyNumberFormat="1" applyFont="1" applyFill="1" applyBorder="1" applyAlignment="1">
      <alignment horizontal="center" vertical="center" wrapText="1"/>
    </xf>
    <xf numFmtId="170" fontId="75" fillId="103" borderId="38" xfId="688" applyFont="1" applyFill="1" applyBorder="1" applyAlignment="1">
      <alignment horizontal="center" vertical="center"/>
    </xf>
    <xf numFmtId="170" fontId="75" fillId="103" borderId="41" xfId="688" applyFont="1" applyFill="1" applyBorder="1" applyAlignment="1">
      <alignment horizontal="center" vertical="center"/>
    </xf>
    <xf numFmtId="170" fontId="75" fillId="103" borderId="39" xfId="688" applyFont="1" applyFill="1" applyBorder="1" applyAlignment="1">
      <alignment horizontal="center" vertical="center"/>
    </xf>
    <xf numFmtId="170" fontId="68" fillId="106" borderId="0" xfId="688" applyFont="1" applyFill="1" applyAlignment="1">
      <alignment horizontal="center" vertical="center"/>
    </xf>
    <xf numFmtId="170" fontId="75" fillId="103" borderId="0" xfId="688" applyFont="1" applyFill="1" applyAlignment="1">
      <alignment horizontal="center" vertical="center"/>
    </xf>
    <xf numFmtId="170" fontId="75" fillId="103" borderId="93" xfId="688" applyFont="1" applyFill="1" applyBorder="1" applyAlignment="1">
      <alignment horizontal="center" vertical="center"/>
    </xf>
    <xf numFmtId="0" fontId="46" fillId="4" borderId="1" xfId="0" applyFont="1" applyFill="1" applyBorder="1" applyAlignment="1">
      <alignment horizontal="center"/>
    </xf>
    <xf numFmtId="0" fontId="46" fillId="4" borderId="1" xfId="0" applyFont="1" applyFill="1" applyBorder="1" applyAlignment="1">
      <alignment horizontal="center" vertical="center"/>
    </xf>
    <xf numFmtId="0" fontId="46" fillId="89" borderId="1" xfId="0" applyFont="1" applyFill="1" applyBorder="1" applyAlignment="1">
      <alignment horizontal="center" vertical="center"/>
    </xf>
    <xf numFmtId="0" fontId="38" fillId="4" borderId="36" xfId="0" applyFont="1" applyFill="1" applyBorder="1" applyAlignment="1">
      <alignment horizontal="center" vertical="center" wrapText="1"/>
    </xf>
    <xf numFmtId="0" fontId="38" fillId="4" borderId="35" xfId="0" applyFont="1" applyFill="1" applyBorder="1" applyAlignment="1">
      <alignment horizontal="center" vertical="center" wrapText="1"/>
    </xf>
    <xf numFmtId="0" fontId="38" fillId="4" borderId="1" xfId="0" applyFont="1" applyFill="1" applyBorder="1" applyAlignment="1">
      <alignment horizontal="center" vertical="center"/>
    </xf>
    <xf numFmtId="0" fontId="38" fillId="4" borderId="38" xfId="0" applyFont="1" applyFill="1" applyBorder="1" applyAlignment="1">
      <alignment horizontal="center" vertical="center" wrapText="1"/>
    </xf>
    <xf numFmtId="0" fontId="38" fillId="4" borderId="41" xfId="0" applyFont="1" applyFill="1" applyBorder="1" applyAlignment="1">
      <alignment horizontal="center" vertical="center" wrapText="1"/>
    </xf>
    <xf numFmtId="0" fontId="38" fillId="4" borderId="39" xfId="0" applyFont="1" applyFill="1" applyBorder="1" applyAlignment="1">
      <alignment horizontal="center" vertical="center" wrapText="1"/>
    </xf>
  </cellXfs>
  <cellStyles count="694">
    <cellStyle name="20% - Accent1 2" xfId="12" xr:uid="{00000000-0005-0000-0000-000000000000}"/>
    <cellStyle name="20% - Accent1 2 2" xfId="245" xr:uid="{00000000-0005-0000-0000-000001000000}"/>
    <cellStyle name="20% - Accent1 2 3" xfId="246" xr:uid="{00000000-0005-0000-0000-000002000000}"/>
    <cellStyle name="20% - Accent1 2 4" xfId="247" xr:uid="{00000000-0005-0000-0000-000003000000}"/>
    <cellStyle name="20% - Accent1 2 5" xfId="244" xr:uid="{00000000-0005-0000-0000-000004000000}"/>
    <cellStyle name="20% - Accent1 2 6" xfId="563" xr:uid="{00000000-0005-0000-0000-000005000000}"/>
    <cellStyle name="20% - Accent1 3" xfId="248" xr:uid="{00000000-0005-0000-0000-000006000000}"/>
    <cellStyle name="20% - Accent1 4" xfId="243" xr:uid="{00000000-0005-0000-0000-000007000000}"/>
    <cellStyle name="20% - Accent2 2" xfId="13" xr:uid="{00000000-0005-0000-0000-000008000000}"/>
    <cellStyle name="20% - Accent2 2 2" xfId="251" xr:uid="{00000000-0005-0000-0000-000009000000}"/>
    <cellStyle name="20% - Accent2 2 3" xfId="252" xr:uid="{00000000-0005-0000-0000-00000A000000}"/>
    <cellStyle name="20% - Accent2 2 4" xfId="253" xr:uid="{00000000-0005-0000-0000-00000B000000}"/>
    <cellStyle name="20% - Accent2 2 5" xfId="250" xr:uid="{00000000-0005-0000-0000-00000C000000}"/>
    <cellStyle name="20% - Accent2 2 6" xfId="564" xr:uid="{00000000-0005-0000-0000-00000D000000}"/>
    <cellStyle name="20% - Accent2 3" xfId="254" xr:uid="{00000000-0005-0000-0000-00000E000000}"/>
    <cellStyle name="20% - Accent2 4" xfId="249" xr:uid="{00000000-0005-0000-0000-00000F000000}"/>
    <cellStyle name="20% - Accent3 2" xfId="14" xr:uid="{00000000-0005-0000-0000-000010000000}"/>
    <cellStyle name="20% - Accent3 2 2" xfId="257" xr:uid="{00000000-0005-0000-0000-000011000000}"/>
    <cellStyle name="20% - Accent3 2 3" xfId="258" xr:uid="{00000000-0005-0000-0000-000012000000}"/>
    <cellStyle name="20% - Accent3 2 4" xfId="259" xr:uid="{00000000-0005-0000-0000-000013000000}"/>
    <cellStyle name="20% - Accent3 2 5" xfId="256" xr:uid="{00000000-0005-0000-0000-000014000000}"/>
    <cellStyle name="20% - Accent3 2 6" xfId="565" xr:uid="{00000000-0005-0000-0000-000015000000}"/>
    <cellStyle name="20% - Accent3 3" xfId="260" xr:uid="{00000000-0005-0000-0000-000016000000}"/>
    <cellStyle name="20% - Accent3 4" xfId="255" xr:uid="{00000000-0005-0000-0000-000017000000}"/>
    <cellStyle name="20% - Accent4 2" xfId="15" xr:uid="{00000000-0005-0000-0000-000018000000}"/>
    <cellStyle name="20% - Accent4 2 2" xfId="263" xr:uid="{00000000-0005-0000-0000-000019000000}"/>
    <cellStyle name="20% - Accent4 2 3" xfId="264" xr:uid="{00000000-0005-0000-0000-00001A000000}"/>
    <cellStyle name="20% - Accent4 2 4" xfId="265" xr:uid="{00000000-0005-0000-0000-00001B000000}"/>
    <cellStyle name="20% - Accent4 2 5" xfId="262" xr:uid="{00000000-0005-0000-0000-00001C000000}"/>
    <cellStyle name="20% - Accent4 2 6" xfId="566" xr:uid="{00000000-0005-0000-0000-00001D000000}"/>
    <cellStyle name="20% - Accent4 3" xfId="266" xr:uid="{00000000-0005-0000-0000-00001E000000}"/>
    <cellStyle name="20% - Accent4 4" xfId="261" xr:uid="{00000000-0005-0000-0000-00001F000000}"/>
    <cellStyle name="20% - Accent5 2" xfId="16" xr:uid="{00000000-0005-0000-0000-000020000000}"/>
    <cellStyle name="20% - Accent5 2 2" xfId="269" xr:uid="{00000000-0005-0000-0000-000021000000}"/>
    <cellStyle name="20% - Accent5 2 3" xfId="270" xr:uid="{00000000-0005-0000-0000-000022000000}"/>
    <cellStyle name="20% - Accent5 2 4" xfId="271" xr:uid="{00000000-0005-0000-0000-000023000000}"/>
    <cellStyle name="20% - Accent5 2 5" xfId="268" xr:uid="{00000000-0005-0000-0000-000024000000}"/>
    <cellStyle name="20% - Accent5 2 6" xfId="567" xr:uid="{00000000-0005-0000-0000-000025000000}"/>
    <cellStyle name="20% - Accent5 3" xfId="272" xr:uid="{00000000-0005-0000-0000-000026000000}"/>
    <cellStyle name="20% - Accent5 4" xfId="267" xr:uid="{00000000-0005-0000-0000-000027000000}"/>
    <cellStyle name="20% - Accent6 2" xfId="17" xr:uid="{00000000-0005-0000-0000-000028000000}"/>
    <cellStyle name="20% - Accent6 2 2" xfId="77" xr:uid="{00000000-0005-0000-0000-000029000000}"/>
    <cellStyle name="20% - Accent6 2 2 2" xfId="275" xr:uid="{00000000-0005-0000-0000-00002A000000}"/>
    <cellStyle name="20% - Accent6 2 3" xfId="276" xr:uid="{00000000-0005-0000-0000-00002B000000}"/>
    <cellStyle name="20% - Accent6 2 4" xfId="277" xr:uid="{00000000-0005-0000-0000-00002C000000}"/>
    <cellStyle name="20% - Accent6 2 5" xfId="274" xr:uid="{00000000-0005-0000-0000-00002D000000}"/>
    <cellStyle name="20% - Accent6 2 6" xfId="568" xr:uid="{00000000-0005-0000-0000-00002E000000}"/>
    <cellStyle name="20% - Accent6 3" xfId="278" xr:uid="{00000000-0005-0000-0000-00002F000000}"/>
    <cellStyle name="20% - Accent6 4" xfId="273" xr:uid="{00000000-0005-0000-0000-000030000000}"/>
    <cellStyle name="40% - Accent1 2" xfId="18" xr:uid="{00000000-0005-0000-0000-000031000000}"/>
    <cellStyle name="40% - Accent1 2 2" xfId="281" xr:uid="{00000000-0005-0000-0000-000032000000}"/>
    <cellStyle name="40% - Accent1 2 3" xfId="282" xr:uid="{00000000-0005-0000-0000-000033000000}"/>
    <cellStyle name="40% - Accent1 2 4" xfId="283" xr:uid="{00000000-0005-0000-0000-000034000000}"/>
    <cellStyle name="40% - Accent1 2 5" xfId="280" xr:uid="{00000000-0005-0000-0000-000035000000}"/>
    <cellStyle name="40% - Accent1 2 6" xfId="569" xr:uid="{00000000-0005-0000-0000-000036000000}"/>
    <cellStyle name="40% - Accent1 3" xfId="284" xr:uid="{00000000-0005-0000-0000-000037000000}"/>
    <cellStyle name="40% - Accent1 4" xfId="279" xr:uid="{00000000-0005-0000-0000-000038000000}"/>
    <cellStyle name="40% - Accent2 2" xfId="19" xr:uid="{00000000-0005-0000-0000-000039000000}"/>
    <cellStyle name="40% - Accent2 2 2" xfId="287" xr:uid="{00000000-0005-0000-0000-00003A000000}"/>
    <cellStyle name="40% - Accent2 2 3" xfId="288" xr:uid="{00000000-0005-0000-0000-00003B000000}"/>
    <cellStyle name="40% - Accent2 2 4" xfId="289" xr:uid="{00000000-0005-0000-0000-00003C000000}"/>
    <cellStyle name="40% - Accent2 2 5" xfId="286" xr:uid="{00000000-0005-0000-0000-00003D000000}"/>
    <cellStyle name="40% - Accent2 2 6" xfId="570" xr:uid="{00000000-0005-0000-0000-00003E000000}"/>
    <cellStyle name="40% - Accent2 3" xfId="290" xr:uid="{00000000-0005-0000-0000-00003F000000}"/>
    <cellStyle name="40% - Accent2 4" xfId="285" xr:uid="{00000000-0005-0000-0000-000040000000}"/>
    <cellStyle name="40% - Accent3 2" xfId="20" xr:uid="{00000000-0005-0000-0000-000041000000}"/>
    <cellStyle name="40% - Accent3 2 2" xfId="293" xr:uid="{00000000-0005-0000-0000-000042000000}"/>
    <cellStyle name="40% - Accent3 2 3" xfId="294" xr:uid="{00000000-0005-0000-0000-000043000000}"/>
    <cellStyle name="40% - Accent3 2 4" xfId="295" xr:uid="{00000000-0005-0000-0000-000044000000}"/>
    <cellStyle name="40% - Accent3 2 5" xfId="292" xr:uid="{00000000-0005-0000-0000-000045000000}"/>
    <cellStyle name="40% - Accent3 2 6" xfId="571" xr:uid="{00000000-0005-0000-0000-000046000000}"/>
    <cellStyle name="40% - Accent3 3" xfId="296" xr:uid="{00000000-0005-0000-0000-000047000000}"/>
    <cellStyle name="40% - Accent3 4" xfId="291" xr:uid="{00000000-0005-0000-0000-000048000000}"/>
    <cellStyle name="40% - Accent4 2" xfId="21" xr:uid="{00000000-0005-0000-0000-000049000000}"/>
    <cellStyle name="40% - Accent4 2 2" xfId="299" xr:uid="{00000000-0005-0000-0000-00004A000000}"/>
    <cellStyle name="40% - Accent4 2 3" xfId="300" xr:uid="{00000000-0005-0000-0000-00004B000000}"/>
    <cellStyle name="40% - Accent4 2 4" xfId="301" xr:uid="{00000000-0005-0000-0000-00004C000000}"/>
    <cellStyle name="40% - Accent4 2 5" xfId="298" xr:uid="{00000000-0005-0000-0000-00004D000000}"/>
    <cellStyle name="40% - Accent4 2 6" xfId="572" xr:uid="{00000000-0005-0000-0000-00004E000000}"/>
    <cellStyle name="40% - Accent4 3" xfId="302" xr:uid="{00000000-0005-0000-0000-00004F000000}"/>
    <cellStyle name="40% - Accent4 4" xfId="297" xr:uid="{00000000-0005-0000-0000-000050000000}"/>
    <cellStyle name="40% - Accent5 2" xfId="22" xr:uid="{00000000-0005-0000-0000-000051000000}"/>
    <cellStyle name="40% - Accent5 2 2" xfId="305" xr:uid="{00000000-0005-0000-0000-000052000000}"/>
    <cellStyle name="40% - Accent5 2 3" xfId="306" xr:uid="{00000000-0005-0000-0000-000053000000}"/>
    <cellStyle name="40% - Accent5 2 4" xfId="307" xr:uid="{00000000-0005-0000-0000-000054000000}"/>
    <cellStyle name="40% - Accent5 2 5" xfId="304" xr:uid="{00000000-0005-0000-0000-000055000000}"/>
    <cellStyle name="40% - Accent5 2 6" xfId="573" xr:uid="{00000000-0005-0000-0000-000056000000}"/>
    <cellStyle name="40% - Accent5 3" xfId="308" xr:uid="{00000000-0005-0000-0000-000057000000}"/>
    <cellStyle name="40% - Accent5 4" xfId="303" xr:uid="{00000000-0005-0000-0000-000058000000}"/>
    <cellStyle name="40% - Accent6 2" xfId="23" xr:uid="{00000000-0005-0000-0000-000059000000}"/>
    <cellStyle name="40% - Accent6 2 2" xfId="311" xr:uid="{00000000-0005-0000-0000-00005A000000}"/>
    <cellStyle name="40% - Accent6 2 3" xfId="312" xr:uid="{00000000-0005-0000-0000-00005B000000}"/>
    <cellStyle name="40% - Accent6 2 4" xfId="313" xr:uid="{00000000-0005-0000-0000-00005C000000}"/>
    <cellStyle name="40% - Accent6 2 5" xfId="310" xr:uid="{00000000-0005-0000-0000-00005D000000}"/>
    <cellStyle name="40% - Accent6 2 6" xfId="574" xr:uid="{00000000-0005-0000-0000-00005E000000}"/>
    <cellStyle name="40% - Accent6 3" xfId="314" xr:uid="{00000000-0005-0000-0000-00005F000000}"/>
    <cellStyle name="40% - Accent6 4" xfId="309" xr:uid="{00000000-0005-0000-0000-000060000000}"/>
    <cellStyle name="60% - Accent1 2" xfId="24" xr:uid="{00000000-0005-0000-0000-000061000000}"/>
    <cellStyle name="60% - Accent1 2 2" xfId="317" xr:uid="{00000000-0005-0000-0000-000062000000}"/>
    <cellStyle name="60% - Accent1 2 3" xfId="318" xr:uid="{00000000-0005-0000-0000-000063000000}"/>
    <cellStyle name="60% - Accent1 2 4" xfId="319" xr:uid="{00000000-0005-0000-0000-000064000000}"/>
    <cellStyle name="60% - Accent1 2 5" xfId="316" xr:uid="{00000000-0005-0000-0000-000065000000}"/>
    <cellStyle name="60% - Accent1 2 6" xfId="575" xr:uid="{00000000-0005-0000-0000-000066000000}"/>
    <cellStyle name="60% - Accent1 3" xfId="320" xr:uid="{00000000-0005-0000-0000-000067000000}"/>
    <cellStyle name="60% - Accent1 4" xfId="315" xr:uid="{00000000-0005-0000-0000-000068000000}"/>
    <cellStyle name="60% - Accent1 5" xfId="684" xr:uid="{00000000-0005-0000-0000-000069000000}"/>
    <cellStyle name="60% - Accent2 2" xfId="25" xr:uid="{00000000-0005-0000-0000-00006A000000}"/>
    <cellStyle name="60% - Accent2 2 2" xfId="323" xr:uid="{00000000-0005-0000-0000-00006B000000}"/>
    <cellStyle name="60% - Accent2 2 3" xfId="324" xr:uid="{00000000-0005-0000-0000-00006C000000}"/>
    <cellStyle name="60% - Accent2 2 4" xfId="325" xr:uid="{00000000-0005-0000-0000-00006D000000}"/>
    <cellStyle name="60% - Accent2 2 5" xfId="322" xr:uid="{00000000-0005-0000-0000-00006E000000}"/>
    <cellStyle name="60% - Accent2 2 6" xfId="576" xr:uid="{00000000-0005-0000-0000-00006F000000}"/>
    <cellStyle name="60% - Accent2 3" xfId="326" xr:uid="{00000000-0005-0000-0000-000070000000}"/>
    <cellStyle name="60% - Accent2 4" xfId="321" xr:uid="{00000000-0005-0000-0000-000071000000}"/>
    <cellStyle name="60% - Accent3 2" xfId="26" xr:uid="{00000000-0005-0000-0000-000072000000}"/>
    <cellStyle name="60% - Accent3 2 2" xfId="329" xr:uid="{00000000-0005-0000-0000-000073000000}"/>
    <cellStyle name="60% - Accent3 2 3" xfId="330" xr:uid="{00000000-0005-0000-0000-000074000000}"/>
    <cellStyle name="60% - Accent3 2 4" xfId="331" xr:uid="{00000000-0005-0000-0000-000075000000}"/>
    <cellStyle name="60% - Accent3 2 5" xfId="328" xr:uid="{00000000-0005-0000-0000-000076000000}"/>
    <cellStyle name="60% - Accent3 2 6" xfId="577" xr:uid="{00000000-0005-0000-0000-000077000000}"/>
    <cellStyle name="60% - Accent3 3" xfId="332" xr:uid="{00000000-0005-0000-0000-000078000000}"/>
    <cellStyle name="60% - Accent3 4" xfId="327" xr:uid="{00000000-0005-0000-0000-000079000000}"/>
    <cellStyle name="60% - Accent4 2" xfId="27" xr:uid="{00000000-0005-0000-0000-00007A000000}"/>
    <cellStyle name="60% - Accent4 2 2" xfId="335" xr:uid="{00000000-0005-0000-0000-00007B000000}"/>
    <cellStyle name="60% - Accent4 2 3" xfId="336" xr:uid="{00000000-0005-0000-0000-00007C000000}"/>
    <cellStyle name="60% - Accent4 2 4" xfId="337" xr:uid="{00000000-0005-0000-0000-00007D000000}"/>
    <cellStyle name="60% - Accent4 2 5" xfId="334" xr:uid="{00000000-0005-0000-0000-00007E000000}"/>
    <cellStyle name="60% - Accent4 2 6" xfId="578" xr:uid="{00000000-0005-0000-0000-00007F000000}"/>
    <cellStyle name="60% - Accent4 3" xfId="338" xr:uid="{00000000-0005-0000-0000-000080000000}"/>
    <cellStyle name="60% - Accent4 4" xfId="333" xr:uid="{00000000-0005-0000-0000-000081000000}"/>
    <cellStyle name="60% - Accent5 2" xfId="28" xr:uid="{00000000-0005-0000-0000-000082000000}"/>
    <cellStyle name="60% - Accent5 2 2" xfId="341" xr:uid="{00000000-0005-0000-0000-000083000000}"/>
    <cellStyle name="60% - Accent5 2 3" xfId="342" xr:uid="{00000000-0005-0000-0000-000084000000}"/>
    <cellStyle name="60% - Accent5 2 4" xfId="343" xr:uid="{00000000-0005-0000-0000-000085000000}"/>
    <cellStyle name="60% - Accent5 2 5" xfId="340" xr:uid="{00000000-0005-0000-0000-000086000000}"/>
    <cellStyle name="60% - Accent5 2 6" xfId="579" xr:uid="{00000000-0005-0000-0000-000087000000}"/>
    <cellStyle name="60% - Accent5 3" xfId="344" xr:uid="{00000000-0005-0000-0000-000088000000}"/>
    <cellStyle name="60% - Accent5 4" xfId="339" xr:uid="{00000000-0005-0000-0000-000089000000}"/>
    <cellStyle name="60% - Accent6 2" xfId="29" xr:uid="{00000000-0005-0000-0000-00008A000000}"/>
    <cellStyle name="60% - Accent6 2 2" xfId="347" xr:uid="{00000000-0005-0000-0000-00008B000000}"/>
    <cellStyle name="60% - Accent6 2 3" xfId="348" xr:uid="{00000000-0005-0000-0000-00008C000000}"/>
    <cellStyle name="60% - Accent6 2 4" xfId="349" xr:uid="{00000000-0005-0000-0000-00008D000000}"/>
    <cellStyle name="60% - Accent6 2 5" xfId="346" xr:uid="{00000000-0005-0000-0000-00008E000000}"/>
    <cellStyle name="60% - Accent6 2 6" xfId="580" xr:uid="{00000000-0005-0000-0000-00008F000000}"/>
    <cellStyle name="60% - Accent6 3" xfId="350" xr:uid="{00000000-0005-0000-0000-000090000000}"/>
    <cellStyle name="60% - Accent6 4" xfId="345" xr:uid="{00000000-0005-0000-0000-000091000000}"/>
    <cellStyle name="Accent1 2" xfId="30" xr:uid="{00000000-0005-0000-0000-000092000000}"/>
    <cellStyle name="Accent1 2 2" xfId="353" xr:uid="{00000000-0005-0000-0000-000093000000}"/>
    <cellStyle name="Accent1 2 3" xfId="354" xr:uid="{00000000-0005-0000-0000-000094000000}"/>
    <cellStyle name="Accent1 2 4" xfId="355" xr:uid="{00000000-0005-0000-0000-000095000000}"/>
    <cellStyle name="Accent1 2 5" xfId="352" xr:uid="{00000000-0005-0000-0000-000096000000}"/>
    <cellStyle name="Accent1 2 6" xfId="581" xr:uid="{00000000-0005-0000-0000-000097000000}"/>
    <cellStyle name="Accent1 3" xfId="356" xr:uid="{00000000-0005-0000-0000-000098000000}"/>
    <cellStyle name="Accent1 4" xfId="351" xr:uid="{00000000-0005-0000-0000-000099000000}"/>
    <cellStyle name="Accent2 2" xfId="31" xr:uid="{00000000-0005-0000-0000-00009A000000}"/>
    <cellStyle name="Accent2 2 2" xfId="359" xr:uid="{00000000-0005-0000-0000-00009B000000}"/>
    <cellStyle name="Accent2 2 3" xfId="360" xr:uid="{00000000-0005-0000-0000-00009C000000}"/>
    <cellStyle name="Accent2 2 4" xfId="361" xr:uid="{00000000-0005-0000-0000-00009D000000}"/>
    <cellStyle name="Accent2 2 5" xfId="358" xr:uid="{00000000-0005-0000-0000-00009E000000}"/>
    <cellStyle name="Accent2 2 6" xfId="582" xr:uid="{00000000-0005-0000-0000-00009F000000}"/>
    <cellStyle name="Accent2 3" xfId="362" xr:uid="{00000000-0005-0000-0000-0000A0000000}"/>
    <cellStyle name="Accent2 4" xfId="357" xr:uid="{00000000-0005-0000-0000-0000A1000000}"/>
    <cellStyle name="Accent3 2" xfId="32" xr:uid="{00000000-0005-0000-0000-0000A2000000}"/>
    <cellStyle name="Accent3 2 2" xfId="365" xr:uid="{00000000-0005-0000-0000-0000A3000000}"/>
    <cellStyle name="Accent3 2 3" xfId="366" xr:uid="{00000000-0005-0000-0000-0000A4000000}"/>
    <cellStyle name="Accent3 2 4" xfId="367" xr:uid="{00000000-0005-0000-0000-0000A5000000}"/>
    <cellStyle name="Accent3 2 5" xfId="364" xr:uid="{00000000-0005-0000-0000-0000A6000000}"/>
    <cellStyle name="Accent3 2 6" xfId="583" xr:uid="{00000000-0005-0000-0000-0000A7000000}"/>
    <cellStyle name="Accent3 3" xfId="368" xr:uid="{00000000-0005-0000-0000-0000A8000000}"/>
    <cellStyle name="Accent3 4" xfId="363" xr:uid="{00000000-0005-0000-0000-0000A9000000}"/>
    <cellStyle name="Accent4 2" xfId="33" xr:uid="{00000000-0005-0000-0000-0000AA000000}"/>
    <cellStyle name="Accent4 2 2" xfId="371" xr:uid="{00000000-0005-0000-0000-0000AB000000}"/>
    <cellStyle name="Accent4 2 3" xfId="372" xr:uid="{00000000-0005-0000-0000-0000AC000000}"/>
    <cellStyle name="Accent4 2 4" xfId="373" xr:uid="{00000000-0005-0000-0000-0000AD000000}"/>
    <cellStyle name="Accent4 2 5" xfId="370" xr:uid="{00000000-0005-0000-0000-0000AE000000}"/>
    <cellStyle name="Accent4 2 6" xfId="584" xr:uid="{00000000-0005-0000-0000-0000AF000000}"/>
    <cellStyle name="Accent4 3" xfId="374" xr:uid="{00000000-0005-0000-0000-0000B0000000}"/>
    <cellStyle name="Accent4 4" xfId="369" xr:uid="{00000000-0005-0000-0000-0000B1000000}"/>
    <cellStyle name="Accent5 2" xfId="34" xr:uid="{00000000-0005-0000-0000-0000B2000000}"/>
    <cellStyle name="Accent5 2 2" xfId="377" xr:uid="{00000000-0005-0000-0000-0000B3000000}"/>
    <cellStyle name="Accent5 2 3" xfId="378" xr:uid="{00000000-0005-0000-0000-0000B4000000}"/>
    <cellStyle name="Accent5 2 4" xfId="379" xr:uid="{00000000-0005-0000-0000-0000B5000000}"/>
    <cellStyle name="Accent5 2 5" xfId="376" xr:uid="{00000000-0005-0000-0000-0000B6000000}"/>
    <cellStyle name="Accent5 2 6" xfId="585" xr:uid="{00000000-0005-0000-0000-0000B7000000}"/>
    <cellStyle name="Accent5 3" xfId="380" xr:uid="{00000000-0005-0000-0000-0000B8000000}"/>
    <cellStyle name="Accent5 4" xfId="375" xr:uid="{00000000-0005-0000-0000-0000B9000000}"/>
    <cellStyle name="Accent6 2" xfId="35" xr:uid="{00000000-0005-0000-0000-0000BA000000}"/>
    <cellStyle name="Accent6 2 2" xfId="383" xr:uid="{00000000-0005-0000-0000-0000BB000000}"/>
    <cellStyle name="Accent6 2 3" xfId="384" xr:uid="{00000000-0005-0000-0000-0000BC000000}"/>
    <cellStyle name="Accent6 2 4" xfId="385" xr:uid="{00000000-0005-0000-0000-0000BD000000}"/>
    <cellStyle name="Accent6 2 5" xfId="382" xr:uid="{00000000-0005-0000-0000-0000BE000000}"/>
    <cellStyle name="Accent6 2 6" xfId="586" xr:uid="{00000000-0005-0000-0000-0000BF000000}"/>
    <cellStyle name="Accent6 3" xfId="386" xr:uid="{00000000-0005-0000-0000-0000C0000000}"/>
    <cellStyle name="Accent6 4" xfId="381" xr:uid="{00000000-0005-0000-0000-0000C1000000}"/>
    <cellStyle name="Bad 2" xfId="36" xr:uid="{00000000-0005-0000-0000-0000C2000000}"/>
    <cellStyle name="Bad 2 2" xfId="389" xr:uid="{00000000-0005-0000-0000-0000C3000000}"/>
    <cellStyle name="Bad 2 3" xfId="390" xr:uid="{00000000-0005-0000-0000-0000C4000000}"/>
    <cellStyle name="Bad 2 4" xfId="391" xr:uid="{00000000-0005-0000-0000-0000C5000000}"/>
    <cellStyle name="Bad 2 5" xfId="388" xr:uid="{00000000-0005-0000-0000-0000C6000000}"/>
    <cellStyle name="Bad 2 6" xfId="587" xr:uid="{00000000-0005-0000-0000-0000C7000000}"/>
    <cellStyle name="Bad 3" xfId="392" xr:uid="{00000000-0005-0000-0000-0000C8000000}"/>
    <cellStyle name="Bad 4" xfId="387" xr:uid="{00000000-0005-0000-0000-0000C9000000}"/>
    <cellStyle name="Calculation 10" xfId="647" xr:uid="{00000000-0005-0000-0000-0000CA000000}"/>
    <cellStyle name="Calculation 11" xfId="681" xr:uid="{00000000-0005-0000-0000-0000CB000000}"/>
    <cellStyle name="Calculation 2" xfId="37" xr:uid="{00000000-0005-0000-0000-0000CC000000}"/>
    <cellStyle name="Calculation 2 2" xfId="395" xr:uid="{00000000-0005-0000-0000-0000CD000000}"/>
    <cellStyle name="Calculation 2 2 2" xfId="546" xr:uid="{00000000-0005-0000-0000-0000CE000000}"/>
    <cellStyle name="Calculation 2 2 3" xfId="612" xr:uid="{00000000-0005-0000-0000-0000CF000000}"/>
    <cellStyle name="Calculation 2 2 4" xfId="679" xr:uid="{00000000-0005-0000-0000-0000D0000000}"/>
    <cellStyle name="Calculation 2 3" xfId="396" xr:uid="{00000000-0005-0000-0000-0000D1000000}"/>
    <cellStyle name="Calculation 2 3 2" xfId="545" xr:uid="{00000000-0005-0000-0000-0000D2000000}"/>
    <cellStyle name="Calculation 2 3 3" xfId="613" xr:uid="{00000000-0005-0000-0000-0000D3000000}"/>
    <cellStyle name="Calculation 2 3 4" xfId="678" xr:uid="{00000000-0005-0000-0000-0000D4000000}"/>
    <cellStyle name="Calculation 2 4" xfId="397" xr:uid="{00000000-0005-0000-0000-0000D5000000}"/>
    <cellStyle name="Calculation 2 4 2" xfId="544" xr:uid="{00000000-0005-0000-0000-0000D6000000}"/>
    <cellStyle name="Calculation 2 4 3" xfId="614" xr:uid="{00000000-0005-0000-0000-0000D7000000}"/>
    <cellStyle name="Calculation 2 4 4" xfId="677" xr:uid="{00000000-0005-0000-0000-0000D8000000}"/>
    <cellStyle name="Calculation 2 5" xfId="394" xr:uid="{00000000-0005-0000-0000-0000D9000000}"/>
    <cellStyle name="Calculation 2 6" xfId="547" xr:uid="{00000000-0005-0000-0000-0000DA000000}"/>
    <cellStyle name="Calculation 2 7" xfId="588" xr:uid="{00000000-0005-0000-0000-0000DB000000}"/>
    <cellStyle name="Calculation 2 8" xfId="611" xr:uid="{00000000-0005-0000-0000-0000DC000000}"/>
    <cellStyle name="Calculation 2 9" xfId="680" xr:uid="{00000000-0005-0000-0000-0000DD000000}"/>
    <cellStyle name="Calculation 3" xfId="398" xr:uid="{00000000-0005-0000-0000-0000DE000000}"/>
    <cellStyle name="Calculation 3 2" xfId="543" xr:uid="{00000000-0005-0000-0000-0000DF000000}"/>
    <cellStyle name="Calculation 3 3" xfId="615" xr:uid="{00000000-0005-0000-0000-0000E0000000}"/>
    <cellStyle name="Calculation 3 4" xfId="676" xr:uid="{00000000-0005-0000-0000-0000E1000000}"/>
    <cellStyle name="Calculation 4" xfId="393" xr:uid="{00000000-0005-0000-0000-0000E2000000}"/>
    <cellStyle name="Calculation 5" xfId="548" xr:uid="{00000000-0005-0000-0000-0000E3000000}"/>
    <cellStyle name="Calculation 6" xfId="549" xr:uid="{00000000-0005-0000-0000-0000E4000000}"/>
    <cellStyle name="Calculation 7" xfId="557" xr:uid="{00000000-0005-0000-0000-0000E5000000}"/>
    <cellStyle name="Calculation 8" xfId="556" xr:uid="{00000000-0005-0000-0000-0000E6000000}"/>
    <cellStyle name="Calculation 9" xfId="610" xr:uid="{00000000-0005-0000-0000-0000E7000000}"/>
    <cellStyle name="Check Cell 2" xfId="38" xr:uid="{00000000-0005-0000-0000-0000E8000000}"/>
    <cellStyle name="Check Cell 2 2" xfId="401" xr:uid="{00000000-0005-0000-0000-0000E9000000}"/>
    <cellStyle name="Check Cell 2 3" xfId="402" xr:uid="{00000000-0005-0000-0000-0000EA000000}"/>
    <cellStyle name="Check Cell 2 4" xfId="403" xr:uid="{00000000-0005-0000-0000-0000EB000000}"/>
    <cellStyle name="Check Cell 2 5" xfId="400" xr:uid="{00000000-0005-0000-0000-0000EC000000}"/>
    <cellStyle name="Check Cell 2 6" xfId="589" xr:uid="{00000000-0005-0000-0000-0000ED000000}"/>
    <cellStyle name="Check Cell 3" xfId="404" xr:uid="{00000000-0005-0000-0000-0000EE000000}"/>
    <cellStyle name="Check Cell 4" xfId="399" xr:uid="{00000000-0005-0000-0000-0000EF000000}"/>
    <cellStyle name="Comma" xfId="693" builtinId="3"/>
    <cellStyle name="Comma [0]" xfId="687" builtinId="6"/>
    <cellStyle name="Comma [0] 2" xfId="39" xr:uid="{00000000-0005-0000-0000-0000F2000000}"/>
    <cellStyle name="Comma [0] 2 2" xfId="40" xr:uid="{00000000-0005-0000-0000-0000F3000000}"/>
    <cellStyle name="Comma [0] 2 3" xfId="79" xr:uid="{00000000-0005-0000-0000-0000F4000000}"/>
    <cellStyle name="Comma [0] 2 3 2" xfId="405" xr:uid="{00000000-0005-0000-0000-0000F5000000}"/>
    <cellStyle name="Comma [0] 2 4" xfId="406" xr:uid="{00000000-0005-0000-0000-0000F6000000}"/>
    <cellStyle name="Comma [0] 2 4 2" xfId="616" xr:uid="{00000000-0005-0000-0000-0000F7000000}"/>
    <cellStyle name="Comma [0] 3" xfId="41" xr:uid="{00000000-0005-0000-0000-0000F8000000}"/>
    <cellStyle name="Comma [0] 3 2" xfId="80" xr:uid="{00000000-0005-0000-0000-0000F9000000}"/>
    <cellStyle name="Comma [0] 4" xfId="81" xr:uid="{00000000-0005-0000-0000-0000FA000000}"/>
    <cellStyle name="Comma [0] 4 2" xfId="407" xr:uid="{00000000-0005-0000-0000-0000FB000000}"/>
    <cellStyle name="Comma [0] 4 3" xfId="617" xr:uid="{00000000-0005-0000-0000-0000FC000000}"/>
    <cellStyle name="Comma [0] 5" xfId="691" xr:uid="{00000000-0005-0000-0000-0000FD000000}"/>
    <cellStyle name="Comma 10" xfId="233" xr:uid="{00000000-0005-0000-0000-0000FE000000}"/>
    <cellStyle name="Comma 11" xfId="221" xr:uid="{00000000-0005-0000-0000-0000FF000000}"/>
    <cellStyle name="Comma 12" xfId="230" xr:uid="{00000000-0005-0000-0000-000000010000}"/>
    <cellStyle name="Comma 13" xfId="219" xr:uid="{00000000-0005-0000-0000-000001010000}"/>
    <cellStyle name="Comma 14" xfId="229" xr:uid="{00000000-0005-0000-0000-000002010000}"/>
    <cellStyle name="Comma 15" xfId="222" xr:uid="{00000000-0005-0000-0000-000003010000}"/>
    <cellStyle name="Comma 16" xfId="228" xr:uid="{00000000-0005-0000-0000-000004010000}"/>
    <cellStyle name="Comma 17" xfId="223" xr:uid="{00000000-0005-0000-0000-000005010000}"/>
    <cellStyle name="Comma 18" xfId="227" xr:uid="{00000000-0005-0000-0000-000006010000}"/>
    <cellStyle name="Comma 19" xfId="208" xr:uid="{00000000-0005-0000-0000-000007010000}"/>
    <cellStyle name="Comma 2" xfId="42" xr:uid="{00000000-0005-0000-0000-000008010000}"/>
    <cellStyle name="Comma 2 2" xfId="43" xr:uid="{00000000-0005-0000-0000-000009010000}"/>
    <cellStyle name="Comma 2 2 2" xfId="83" xr:uid="{00000000-0005-0000-0000-00000A010000}"/>
    <cellStyle name="Comma 2 2 3" xfId="690" xr:uid="{00000000-0005-0000-0000-00000B010000}"/>
    <cellStyle name="Comma 2 3" xfId="82" xr:uid="{00000000-0005-0000-0000-00000C010000}"/>
    <cellStyle name="Comma 2 3 2" xfId="409" xr:uid="{00000000-0005-0000-0000-00000D010000}"/>
    <cellStyle name="Comma 2 4" xfId="410" xr:uid="{00000000-0005-0000-0000-00000E010000}"/>
    <cellStyle name="Comma 2 4 2" xfId="618" xr:uid="{00000000-0005-0000-0000-00000F010000}"/>
    <cellStyle name="Comma 20" xfId="226" xr:uid="{00000000-0005-0000-0000-000010010000}"/>
    <cellStyle name="Comma 21" xfId="224" xr:uid="{00000000-0005-0000-0000-000011010000}"/>
    <cellStyle name="Comma 22" xfId="225" xr:uid="{00000000-0005-0000-0000-000012010000}"/>
    <cellStyle name="Comma 23" xfId="157" xr:uid="{00000000-0005-0000-0000-000013010000}"/>
    <cellStyle name="Comma 24" xfId="234" xr:uid="{00000000-0005-0000-0000-000014010000}"/>
    <cellStyle name="Comma 25" xfId="241" xr:uid="{00000000-0005-0000-0000-000015010000}"/>
    <cellStyle name="Comma 26" xfId="235" xr:uid="{00000000-0005-0000-0000-000016010000}"/>
    <cellStyle name="Comma 27" xfId="240" xr:uid="{00000000-0005-0000-0000-000017010000}"/>
    <cellStyle name="Comma 28" xfId="236" xr:uid="{00000000-0005-0000-0000-000018010000}"/>
    <cellStyle name="Comma 29" xfId="239" xr:uid="{00000000-0005-0000-0000-000019010000}"/>
    <cellStyle name="Comma 3" xfId="44" xr:uid="{00000000-0005-0000-0000-00001A010000}"/>
    <cellStyle name="Comma 3 2" xfId="84" xr:uid="{00000000-0005-0000-0000-00001B010000}"/>
    <cellStyle name="Comma 3 2 2" xfId="412" xr:uid="{00000000-0005-0000-0000-00001C010000}"/>
    <cellStyle name="Comma 3 3" xfId="413" xr:uid="{00000000-0005-0000-0000-00001D010000}"/>
    <cellStyle name="Comma 3 4" xfId="414" xr:uid="{00000000-0005-0000-0000-00001E010000}"/>
    <cellStyle name="Comma 3 4 2" xfId="619" xr:uid="{00000000-0005-0000-0000-00001F010000}"/>
    <cellStyle name="Comma 3 5" xfId="415" xr:uid="{00000000-0005-0000-0000-000020010000}"/>
    <cellStyle name="Comma 3 5 2" xfId="620" xr:uid="{00000000-0005-0000-0000-000021010000}"/>
    <cellStyle name="Comma 3 6" xfId="416" xr:uid="{00000000-0005-0000-0000-000022010000}"/>
    <cellStyle name="Comma 3 6 2" xfId="621" xr:uid="{00000000-0005-0000-0000-000023010000}"/>
    <cellStyle name="Comma 3 7" xfId="417" xr:uid="{00000000-0005-0000-0000-000024010000}"/>
    <cellStyle name="Comma 3 7 2" xfId="622" xr:uid="{00000000-0005-0000-0000-000025010000}"/>
    <cellStyle name="Comma 3 8" xfId="418" xr:uid="{00000000-0005-0000-0000-000026010000}"/>
    <cellStyle name="Comma 3 8 2" xfId="623" xr:uid="{00000000-0005-0000-0000-000027010000}"/>
    <cellStyle name="Comma 30" xfId="237" xr:uid="{00000000-0005-0000-0000-000028010000}"/>
    <cellStyle name="Comma 31" xfId="238" xr:uid="{00000000-0005-0000-0000-000029010000}"/>
    <cellStyle name="Comma 4" xfId="78" xr:uid="{00000000-0005-0000-0000-00002A010000}"/>
    <cellStyle name="Comma 5" xfId="95" xr:uid="{00000000-0005-0000-0000-00002B010000}"/>
    <cellStyle name="Comma 6" xfId="231" xr:uid="{00000000-0005-0000-0000-00002C010000}"/>
    <cellStyle name="Comma 7" xfId="76" xr:uid="{00000000-0005-0000-0000-00002D010000}"/>
    <cellStyle name="Comma 8" xfId="232" xr:uid="{00000000-0005-0000-0000-00002E010000}"/>
    <cellStyle name="Comma 9" xfId="220" xr:uid="{00000000-0005-0000-0000-00002F010000}"/>
    <cellStyle name="Currency [0] 2" xfId="85" xr:uid="{00000000-0005-0000-0000-000030010000}"/>
    <cellStyle name="Currency [0] 2 2" xfId="419" xr:uid="{00000000-0005-0000-0000-000031010000}"/>
    <cellStyle name="Currency 2" xfId="420" xr:uid="{00000000-0005-0000-0000-000032010000}"/>
    <cellStyle name="Currency 4" xfId="609" xr:uid="{00000000-0005-0000-0000-000033010000}"/>
    <cellStyle name="Currency 5" xfId="608" xr:uid="{00000000-0005-0000-0000-000034010000}"/>
    <cellStyle name="Currency 6" xfId="7" xr:uid="{00000000-0005-0000-0000-000035010000}"/>
    <cellStyle name="Explanatory Text 2" xfId="45" xr:uid="{00000000-0005-0000-0000-000036010000}"/>
    <cellStyle name="Explanatory Text 2 2" xfId="423" xr:uid="{00000000-0005-0000-0000-000037010000}"/>
    <cellStyle name="Explanatory Text 2 3" xfId="424" xr:uid="{00000000-0005-0000-0000-000038010000}"/>
    <cellStyle name="Explanatory Text 2 4" xfId="422" xr:uid="{00000000-0005-0000-0000-000039010000}"/>
    <cellStyle name="Explanatory Text 3" xfId="425" xr:uid="{00000000-0005-0000-0000-00003A010000}"/>
    <cellStyle name="Explanatory Text 4" xfId="421" xr:uid="{00000000-0005-0000-0000-00003B010000}"/>
    <cellStyle name="Good 2" xfId="46" xr:uid="{00000000-0005-0000-0000-00003C010000}"/>
    <cellStyle name="Good 2 2" xfId="428" xr:uid="{00000000-0005-0000-0000-00003D010000}"/>
    <cellStyle name="Good 2 3" xfId="429" xr:uid="{00000000-0005-0000-0000-00003E010000}"/>
    <cellStyle name="Good 2 4" xfId="430" xr:uid="{00000000-0005-0000-0000-00003F010000}"/>
    <cellStyle name="Good 2 5" xfId="427" xr:uid="{00000000-0005-0000-0000-000040010000}"/>
    <cellStyle name="Good 2 6" xfId="590" xr:uid="{00000000-0005-0000-0000-000041010000}"/>
    <cellStyle name="Good 3" xfId="431" xr:uid="{00000000-0005-0000-0000-000042010000}"/>
    <cellStyle name="Good 4" xfId="426" xr:uid="{00000000-0005-0000-0000-000043010000}"/>
    <cellStyle name="Heading 1 2" xfId="47" xr:uid="{00000000-0005-0000-0000-000044010000}"/>
    <cellStyle name="Heading 1 2 2" xfId="434" xr:uid="{00000000-0005-0000-0000-000045010000}"/>
    <cellStyle name="Heading 1 2 3" xfId="435" xr:uid="{00000000-0005-0000-0000-000046010000}"/>
    <cellStyle name="Heading 1 2 4" xfId="433" xr:uid="{00000000-0005-0000-0000-000047010000}"/>
    <cellStyle name="Heading 1 3" xfId="436" xr:uid="{00000000-0005-0000-0000-000048010000}"/>
    <cellStyle name="Heading 1 4" xfId="432" xr:uid="{00000000-0005-0000-0000-000049010000}"/>
    <cellStyle name="Heading 2 2" xfId="48" xr:uid="{00000000-0005-0000-0000-00004A010000}"/>
    <cellStyle name="Heading 2 2 2" xfId="439" xr:uid="{00000000-0005-0000-0000-00004B010000}"/>
    <cellStyle name="Heading 2 2 3" xfId="440" xr:uid="{00000000-0005-0000-0000-00004C010000}"/>
    <cellStyle name="Heading 2 2 4" xfId="438" xr:uid="{00000000-0005-0000-0000-00004D010000}"/>
    <cellStyle name="Heading 2 3" xfId="441" xr:uid="{00000000-0005-0000-0000-00004E010000}"/>
    <cellStyle name="Heading 2 4" xfId="437" xr:uid="{00000000-0005-0000-0000-00004F010000}"/>
    <cellStyle name="Heading 3 2" xfId="49" xr:uid="{00000000-0005-0000-0000-000050010000}"/>
    <cellStyle name="Heading 3 2 2" xfId="444" xr:uid="{00000000-0005-0000-0000-000051010000}"/>
    <cellStyle name="Heading 3 2 3" xfId="445" xr:uid="{00000000-0005-0000-0000-000052010000}"/>
    <cellStyle name="Heading 3 2 4" xfId="443" xr:uid="{00000000-0005-0000-0000-000053010000}"/>
    <cellStyle name="Heading 3 3" xfId="446" xr:uid="{00000000-0005-0000-0000-000054010000}"/>
    <cellStyle name="Heading 3 4" xfId="442" xr:uid="{00000000-0005-0000-0000-000055010000}"/>
    <cellStyle name="Heading 4 2" xfId="50" xr:uid="{00000000-0005-0000-0000-000056010000}"/>
    <cellStyle name="Heading 4 2 2" xfId="449" xr:uid="{00000000-0005-0000-0000-000057010000}"/>
    <cellStyle name="Heading 4 2 3" xfId="450" xr:uid="{00000000-0005-0000-0000-000058010000}"/>
    <cellStyle name="Heading 4 2 4" xfId="448" xr:uid="{00000000-0005-0000-0000-000059010000}"/>
    <cellStyle name="Heading 4 3" xfId="451" xr:uid="{00000000-0005-0000-0000-00005A010000}"/>
    <cellStyle name="Heading 4 4" xfId="447" xr:uid="{00000000-0005-0000-0000-00005B010000}"/>
    <cellStyle name="Input 10" xfId="648" xr:uid="{00000000-0005-0000-0000-00005C010000}"/>
    <cellStyle name="Input 11" xfId="675" xr:uid="{00000000-0005-0000-0000-00005D010000}"/>
    <cellStyle name="Input 2" xfId="51" xr:uid="{00000000-0005-0000-0000-00005E010000}"/>
    <cellStyle name="Input 2 2" xfId="454" xr:uid="{00000000-0005-0000-0000-00005F010000}"/>
    <cellStyle name="Input 2 2 2" xfId="540" xr:uid="{00000000-0005-0000-0000-000060010000}"/>
    <cellStyle name="Input 2 2 3" xfId="626" xr:uid="{00000000-0005-0000-0000-000061010000}"/>
    <cellStyle name="Input 2 2 4" xfId="673" xr:uid="{00000000-0005-0000-0000-000062010000}"/>
    <cellStyle name="Input 2 3" xfId="455" xr:uid="{00000000-0005-0000-0000-000063010000}"/>
    <cellStyle name="Input 2 3 2" xfId="539" xr:uid="{00000000-0005-0000-0000-000064010000}"/>
    <cellStyle name="Input 2 3 3" xfId="627" xr:uid="{00000000-0005-0000-0000-000065010000}"/>
    <cellStyle name="Input 2 3 4" xfId="672" xr:uid="{00000000-0005-0000-0000-000066010000}"/>
    <cellStyle name="Input 2 4" xfId="456" xr:uid="{00000000-0005-0000-0000-000067010000}"/>
    <cellStyle name="Input 2 4 2" xfId="538" xr:uid="{00000000-0005-0000-0000-000068010000}"/>
    <cellStyle name="Input 2 4 3" xfId="628" xr:uid="{00000000-0005-0000-0000-000069010000}"/>
    <cellStyle name="Input 2 4 4" xfId="671" xr:uid="{00000000-0005-0000-0000-00006A010000}"/>
    <cellStyle name="Input 2 5" xfId="453" xr:uid="{00000000-0005-0000-0000-00006B010000}"/>
    <cellStyle name="Input 2 6" xfId="541" xr:uid="{00000000-0005-0000-0000-00006C010000}"/>
    <cellStyle name="Input 2 7" xfId="591" xr:uid="{00000000-0005-0000-0000-00006D010000}"/>
    <cellStyle name="Input 2 8" xfId="625" xr:uid="{00000000-0005-0000-0000-00006E010000}"/>
    <cellStyle name="Input 2 9" xfId="674" xr:uid="{00000000-0005-0000-0000-00006F010000}"/>
    <cellStyle name="Input 3" xfId="457" xr:uid="{00000000-0005-0000-0000-000070010000}"/>
    <cellStyle name="Input 3 2" xfId="537" xr:uid="{00000000-0005-0000-0000-000071010000}"/>
    <cellStyle name="Input 3 3" xfId="629" xr:uid="{00000000-0005-0000-0000-000072010000}"/>
    <cellStyle name="Input 3 4" xfId="670" xr:uid="{00000000-0005-0000-0000-000073010000}"/>
    <cellStyle name="Input 4" xfId="452" xr:uid="{00000000-0005-0000-0000-000074010000}"/>
    <cellStyle name="Input 5" xfId="542" xr:uid="{00000000-0005-0000-0000-000075010000}"/>
    <cellStyle name="Input 6" xfId="550" xr:uid="{00000000-0005-0000-0000-000076010000}"/>
    <cellStyle name="Input 7" xfId="552" xr:uid="{00000000-0005-0000-0000-000077010000}"/>
    <cellStyle name="Input 8" xfId="561" xr:uid="{00000000-0005-0000-0000-000078010000}"/>
    <cellStyle name="Input 9" xfId="624" xr:uid="{00000000-0005-0000-0000-000079010000}"/>
    <cellStyle name="Linked Cell 2" xfId="52" xr:uid="{00000000-0005-0000-0000-00007A010000}"/>
    <cellStyle name="Linked Cell 2 2" xfId="460" xr:uid="{00000000-0005-0000-0000-00007B010000}"/>
    <cellStyle name="Linked Cell 2 3" xfId="461" xr:uid="{00000000-0005-0000-0000-00007C010000}"/>
    <cellStyle name="Linked Cell 2 4" xfId="459" xr:uid="{00000000-0005-0000-0000-00007D010000}"/>
    <cellStyle name="Linked Cell 3" xfId="462" xr:uid="{00000000-0005-0000-0000-00007E010000}"/>
    <cellStyle name="Linked Cell 4" xfId="458" xr:uid="{00000000-0005-0000-0000-00007F010000}"/>
    <cellStyle name="Neutral 2" xfId="53" xr:uid="{00000000-0005-0000-0000-000080010000}"/>
    <cellStyle name="Neutral 2 2" xfId="465" xr:uid="{00000000-0005-0000-0000-000081010000}"/>
    <cellStyle name="Neutral 2 3" xfId="466" xr:uid="{00000000-0005-0000-0000-000082010000}"/>
    <cellStyle name="Neutral 2 4" xfId="467" xr:uid="{00000000-0005-0000-0000-000083010000}"/>
    <cellStyle name="Neutral 2 5" xfId="464" xr:uid="{00000000-0005-0000-0000-000084010000}"/>
    <cellStyle name="Neutral 2 6" xfId="592" xr:uid="{00000000-0005-0000-0000-000085010000}"/>
    <cellStyle name="Neutral 3" xfId="468" xr:uid="{00000000-0005-0000-0000-000086010000}"/>
    <cellStyle name="Neutral 4" xfId="463" xr:uid="{00000000-0005-0000-0000-000087010000}"/>
    <cellStyle name="Normal" xfId="0" builtinId="0"/>
    <cellStyle name="Normal 10" xfId="68" xr:uid="{00000000-0005-0000-0000-000089010000}"/>
    <cellStyle name="Normal 10 2" xfId="86" xr:uid="{00000000-0005-0000-0000-00008A010000}"/>
    <cellStyle name="Normal 10 3" xfId="607" xr:uid="{00000000-0005-0000-0000-00008B010000}"/>
    <cellStyle name="Normal 103" xfId="692" xr:uid="{00000000-0005-0000-0000-00008C010000}"/>
    <cellStyle name="Normal 11" xfId="87" xr:uid="{00000000-0005-0000-0000-00008D010000}"/>
    <cellStyle name="Normal 11 2" xfId="606" xr:uid="{00000000-0005-0000-0000-00008E010000}"/>
    <cellStyle name="Normal 12" xfId="88" xr:uid="{00000000-0005-0000-0000-00008F010000}"/>
    <cellStyle name="Normal 12 2" xfId="469" xr:uid="{00000000-0005-0000-0000-000090010000}"/>
    <cellStyle name="Normal 13" xfId="69" xr:uid="{00000000-0005-0000-0000-000091010000}"/>
    <cellStyle name="Normal 14" xfId="89" xr:uid="{00000000-0005-0000-0000-000092010000}"/>
    <cellStyle name="Normal 15" xfId="90" xr:uid="{00000000-0005-0000-0000-000093010000}"/>
    <cellStyle name="Normal 16" xfId="91" xr:uid="{00000000-0005-0000-0000-000094010000}"/>
    <cellStyle name="Normal 17" xfId="92" xr:uid="{00000000-0005-0000-0000-000095010000}"/>
    <cellStyle name="Normal 18" xfId="93" xr:uid="{00000000-0005-0000-0000-000096010000}"/>
    <cellStyle name="Normal 19" xfId="94" xr:uid="{00000000-0005-0000-0000-000097010000}"/>
    <cellStyle name="Normal 2" xfId="1" xr:uid="{00000000-0005-0000-0000-000098010000}"/>
    <cellStyle name="Normal 2 10" xfId="96" xr:uid="{00000000-0005-0000-0000-000099010000}"/>
    <cellStyle name="Normal 2 11" xfId="97" xr:uid="{00000000-0005-0000-0000-00009A010000}"/>
    <cellStyle name="Normal 2 12" xfId="98" xr:uid="{00000000-0005-0000-0000-00009B010000}"/>
    <cellStyle name="Normal 2 13" xfId="99" xr:uid="{00000000-0005-0000-0000-00009C010000}"/>
    <cellStyle name="Normal 2 14" xfId="100" xr:uid="{00000000-0005-0000-0000-00009D010000}"/>
    <cellStyle name="Normal 2 14 2" xfId="75" xr:uid="{00000000-0005-0000-0000-00009E010000}"/>
    <cellStyle name="Normal 2 15" xfId="101" xr:uid="{00000000-0005-0000-0000-00009F010000}"/>
    <cellStyle name="Normal 2 16" xfId="102" xr:uid="{00000000-0005-0000-0000-0000A0010000}"/>
    <cellStyle name="Normal 2 17" xfId="103" xr:uid="{00000000-0005-0000-0000-0000A1010000}"/>
    <cellStyle name="Normal 2 18" xfId="104" xr:uid="{00000000-0005-0000-0000-0000A2010000}"/>
    <cellStyle name="Normal 2 19" xfId="105" xr:uid="{00000000-0005-0000-0000-0000A3010000}"/>
    <cellStyle name="Normal 2 2" xfId="10" xr:uid="{00000000-0005-0000-0000-0000A4010000}"/>
    <cellStyle name="Normal 2 2 10" xfId="107" xr:uid="{00000000-0005-0000-0000-0000A5010000}"/>
    <cellStyle name="Normal 2 2 11" xfId="108" xr:uid="{00000000-0005-0000-0000-0000A6010000}"/>
    <cellStyle name="Normal 2 2 12" xfId="109" xr:uid="{00000000-0005-0000-0000-0000A7010000}"/>
    <cellStyle name="Normal 2 2 13" xfId="110" xr:uid="{00000000-0005-0000-0000-0000A8010000}"/>
    <cellStyle name="Normal 2 2 14" xfId="111" xr:uid="{00000000-0005-0000-0000-0000A9010000}"/>
    <cellStyle name="Normal 2 2 15" xfId="112" xr:uid="{00000000-0005-0000-0000-0000AA010000}"/>
    <cellStyle name="Normal 2 2 16" xfId="113" xr:uid="{00000000-0005-0000-0000-0000AB010000}"/>
    <cellStyle name="Normal 2 2 17" xfId="114" xr:uid="{00000000-0005-0000-0000-0000AC010000}"/>
    <cellStyle name="Normal 2 2 18" xfId="115" xr:uid="{00000000-0005-0000-0000-0000AD010000}"/>
    <cellStyle name="Normal 2 2 19" xfId="116" xr:uid="{00000000-0005-0000-0000-0000AE010000}"/>
    <cellStyle name="Normal 2 2 2" xfId="65" xr:uid="{00000000-0005-0000-0000-0000AF010000}"/>
    <cellStyle name="Normal 2 2 2 2" xfId="118" xr:uid="{00000000-0005-0000-0000-0000B0010000}"/>
    <cellStyle name="Normal 2 2 2 3" xfId="117" xr:uid="{00000000-0005-0000-0000-0000B1010000}"/>
    <cellStyle name="Normal 2 2 2 4" xfId="473" xr:uid="{00000000-0005-0000-0000-0000B2010000}"/>
    <cellStyle name="Normal 2 2 20" xfId="119" xr:uid="{00000000-0005-0000-0000-0000B3010000}"/>
    <cellStyle name="Normal 2 2 21" xfId="120" xr:uid="{00000000-0005-0000-0000-0000B4010000}"/>
    <cellStyle name="Normal 2 2 22" xfId="121" xr:uid="{00000000-0005-0000-0000-0000B5010000}"/>
    <cellStyle name="Normal 2 2 23" xfId="122" xr:uid="{00000000-0005-0000-0000-0000B6010000}"/>
    <cellStyle name="Normal 2 2 24" xfId="123" xr:uid="{00000000-0005-0000-0000-0000B7010000}"/>
    <cellStyle name="Normal 2 2 25" xfId="124" xr:uid="{00000000-0005-0000-0000-0000B8010000}"/>
    <cellStyle name="Normal 2 2 26" xfId="125" xr:uid="{00000000-0005-0000-0000-0000B9010000}"/>
    <cellStyle name="Normal 2 2 27" xfId="126" xr:uid="{00000000-0005-0000-0000-0000BA010000}"/>
    <cellStyle name="Normal 2 2 28" xfId="127" xr:uid="{00000000-0005-0000-0000-0000BB010000}"/>
    <cellStyle name="Normal 2 2 29" xfId="128" xr:uid="{00000000-0005-0000-0000-0000BC010000}"/>
    <cellStyle name="Normal 2 2 3" xfId="70" xr:uid="{00000000-0005-0000-0000-0000BD010000}"/>
    <cellStyle name="Normal 2 2 3 2" xfId="129" xr:uid="{00000000-0005-0000-0000-0000BE010000}"/>
    <cellStyle name="Normal 2 2 3 3" xfId="474" xr:uid="{00000000-0005-0000-0000-0000BF010000}"/>
    <cellStyle name="Normal 2 2 30" xfId="130" xr:uid="{00000000-0005-0000-0000-0000C0010000}"/>
    <cellStyle name="Normal 2 2 31" xfId="131" xr:uid="{00000000-0005-0000-0000-0000C1010000}"/>
    <cellStyle name="Normal 2 2 32" xfId="132" xr:uid="{00000000-0005-0000-0000-0000C2010000}"/>
    <cellStyle name="Normal 2 2 33" xfId="133" xr:uid="{00000000-0005-0000-0000-0000C3010000}"/>
    <cellStyle name="Normal 2 2 34" xfId="134" xr:uid="{00000000-0005-0000-0000-0000C4010000}"/>
    <cellStyle name="Normal 2 2 35" xfId="135" xr:uid="{00000000-0005-0000-0000-0000C5010000}"/>
    <cellStyle name="Normal 2 2 36" xfId="136" xr:uid="{00000000-0005-0000-0000-0000C6010000}"/>
    <cellStyle name="Normal 2 2 37" xfId="137" xr:uid="{00000000-0005-0000-0000-0000C7010000}"/>
    <cellStyle name="Normal 2 2 38" xfId="138" xr:uid="{00000000-0005-0000-0000-0000C8010000}"/>
    <cellStyle name="Normal 2 2 39" xfId="139" xr:uid="{00000000-0005-0000-0000-0000C9010000}"/>
    <cellStyle name="Normal 2 2 4" xfId="73" xr:uid="{00000000-0005-0000-0000-0000CA010000}"/>
    <cellStyle name="Normal 2 2 4 2" xfId="140" xr:uid="{00000000-0005-0000-0000-0000CB010000}"/>
    <cellStyle name="Normal 2 2 4 3" xfId="475" xr:uid="{00000000-0005-0000-0000-0000CC010000}"/>
    <cellStyle name="Normal 2 2 40" xfId="141" xr:uid="{00000000-0005-0000-0000-0000CD010000}"/>
    <cellStyle name="Normal 2 2 41" xfId="106" xr:uid="{00000000-0005-0000-0000-0000CE010000}"/>
    <cellStyle name="Normal 2 2 42" xfId="472" xr:uid="{00000000-0005-0000-0000-0000CF010000}"/>
    <cellStyle name="Normal 2 2 43" xfId="604" xr:uid="{00000000-0005-0000-0000-0000D0010000}"/>
    <cellStyle name="Normal 2 2 5" xfId="74" xr:uid="{00000000-0005-0000-0000-0000D1010000}"/>
    <cellStyle name="Normal 2 2 5 2" xfId="142" xr:uid="{00000000-0005-0000-0000-0000D2010000}"/>
    <cellStyle name="Normal 2 2 6" xfId="143" xr:uid="{00000000-0005-0000-0000-0000D3010000}"/>
    <cellStyle name="Normal 2 2 7" xfId="144" xr:uid="{00000000-0005-0000-0000-0000D4010000}"/>
    <cellStyle name="Normal 2 2 8" xfId="145" xr:uid="{00000000-0005-0000-0000-0000D5010000}"/>
    <cellStyle name="Normal 2 2 9" xfId="146" xr:uid="{00000000-0005-0000-0000-0000D6010000}"/>
    <cellStyle name="Normal 2 20" xfId="147" xr:uid="{00000000-0005-0000-0000-0000D7010000}"/>
    <cellStyle name="Normal 2 21" xfId="148" xr:uid="{00000000-0005-0000-0000-0000D8010000}"/>
    <cellStyle name="Normal 2 22" xfId="149" xr:uid="{00000000-0005-0000-0000-0000D9010000}"/>
    <cellStyle name="Normal 2 23" xfId="150" xr:uid="{00000000-0005-0000-0000-0000DA010000}"/>
    <cellStyle name="Normal 2 24" xfId="151" xr:uid="{00000000-0005-0000-0000-0000DB010000}"/>
    <cellStyle name="Normal 2 25" xfId="152" xr:uid="{00000000-0005-0000-0000-0000DC010000}"/>
    <cellStyle name="Normal 2 26" xfId="153" xr:uid="{00000000-0005-0000-0000-0000DD010000}"/>
    <cellStyle name="Normal 2 27" xfId="154" xr:uid="{00000000-0005-0000-0000-0000DE010000}"/>
    <cellStyle name="Normal 2 28" xfId="155" xr:uid="{00000000-0005-0000-0000-0000DF010000}"/>
    <cellStyle name="Normal 2 29" xfId="156" xr:uid="{00000000-0005-0000-0000-0000E0010000}"/>
    <cellStyle name="Normal 2 3" xfId="2" xr:uid="{00000000-0005-0000-0000-0000E1010000}"/>
    <cellStyle name="Normal 2 3 2" xfId="63" xr:uid="{00000000-0005-0000-0000-0000E2010000}"/>
    <cellStyle name="Normal 2 3 2 2" xfId="476" xr:uid="{00000000-0005-0000-0000-0000E3010000}"/>
    <cellStyle name="Normal 2 3 3" xfId="603" xr:uid="{00000000-0005-0000-0000-0000E4010000}"/>
    <cellStyle name="Normal 2 30" xfId="158" xr:uid="{00000000-0005-0000-0000-0000E5010000}"/>
    <cellStyle name="Normal 2 31" xfId="159" xr:uid="{00000000-0005-0000-0000-0000E6010000}"/>
    <cellStyle name="Normal 2 32" xfId="160" xr:uid="{00000000-0005-0000-0000-0000E7010000}"/>
    <cellStyle name="Normal 2 33" xfId="161" xr:uid="{00000000-0005-0000-0000-0000E8010000}"/>
    <cellStyle name="Normal 2 34" xfId="162" xr:uid="{00000000-0005-0000-0000-0000E9010000}"/>
    <cellStyle name="Normal 2 35" xfId="163" xr:uid="{00000000-0005-0000-0000-0000EA010000}"/>
    <cellStyle name="Normal 2 36" xfId="164" xr:uid="{00000000-0005-0000-0000-0000EB010000}"/>
    <cellStyle name="Normal 2 37" xfId="165" xr:uid="{00000000-0005-0000-0000-0000EC010000}"/>
    <cellStyle name="Normal 2 38" xfId="166" xr:uid="{00000000-0005-0000-0000-0000ED010000}"/>
    <cellStyle name="Normal 2 39" xfId="167" xr:uid="{00000000-0005-0000-0000-0000EE010000}"/>
    <cellStyle name="Normal 2 4" xfId="66" xr:uid="{00000000-0005-0000-0000-0000EF010000}"/>
    <cellStyle name="Normal 2 4 2" xfId="168" xr:uid="{00000000-0005-0000-0000-0000F0010000}"/>
    <cellStyle name="Normal 2 4 2 2" xfId="689" xr:uid="{00000000-0005-0000-0000-0000F1010000}"/>
    <cellStyle name="Normal 2 4 3" xfId="602" xr:uid="{00000000-0005-0000-0000-0000F2010000}"/>
    <cellStyle name="Normal 2 4 7 7" xfId="67" xr:uid="{00000000-0005-0000-0000-0000F3010000}"/>
    <cellStyle name="Normal 2 40" xfId="169" xr:uid="{00000000-0005-0000-0000-0000F4010000}"/>
    <cellStyle name="Normal 2 41" xfId="170" xr:uid="{00000000-0005-0000-0000-0000F5010000}"/>
    <cellStyle name="Normal 2 42" xfId="605" xr:uid="{00000000-0005-0000-0000-0000F6010000}"/>
    <cellStyle name="Normal 2 5" xfId="71" xr:uid="{00000000-0005-0000-0000-0000F7010000}"/>
    <cellStyle name="Normal 2 5 2" xfId="171" xr:uid="{00000000-0005-0000-0000-0000F8010000}"/>
    <cellStyle name="Normal 2 5 3" xfId="601" xr:uid="{00000000-0005-0000-0000-0000F9010000}"/>
    <cellStyle name="Normal 2 6" xfId="172" xr:uid="{00000000-0005-0000-0000-0000FA010000}"/>
    <cellStyle name="Normal 2 6 2" xfId="600" xr:uid="{00000000-0005-0000-0000-0000FB010000}"/>
    <cellStyle name="Normal 2 7" xfId="173" xr:uid="{00000000-0005-0000-0000-0000FC010000}"/>
    <cellStyle name="Normal 2 8" xfId="174" xr:uid="{00000000-0005-0000-0000-0000FD010000}"/>
    <cellStyle name="Normal 2 9" xfId="175" xr:uid="{00000000-0005-0000-0000-0000FE010000}"/>
    <cellStyle name="Normal 20" xfId="176" xr:uid="{00000000-0005-0000-0000-0000FF010000}"/>
    <cellStyle name="Normal 21" xfId="177" xr:uid="{00000000-0005-0000-0000-000000020000}"/>
    <cellStyle name="Normal 22" xfId="178" xr:uid="{00000000-0005-0000-0000-000001020000}"/>
    <cellStyle name="Normal 23" xfId="179" xr:uid="{00000000-0005-0000-0000-000002020000}"/>
    <cellStyle name="Normal 24" xfId="180" xr:uid="{00000000-0005-0000-0000-000003020000}"/>
    <cellStyle name="Normal 25" xfId="181" xr:uid="{00000000-0005-0000-0000-000004020000}"/>
    <cellStyle name="Normal 26" xfId="182" xr:uid="{00000000-0005-0000-0000-000005020000}"/>
    <cellStyle name="Normal 27" xfId="183" xr:uid="{00000000-0005-0000-0000-000006020000}"/>
    <cellStyle name="Normal 28" xfId="184" xr:uid="{00000000-0005-0000-0000-000007020000}"/>
    <cellStyle name="Normal 29" xfId="185" xr:uid="{00000000-0005-0000-0000-000008020000}"/>
    <cellStyle name="Normal 3" xfId="3" xr:uid="{00000000-0005-0000-0000-000009020000}"/>
    <cellStyle name="Normal 3 2" xfId="54" xr:uid="{00000000-0005-0000-0000-00000A020000}"/>
    <cellStyle name="Normal 3 2 2" xfId="188" xr:uid="{00000000-0005-0000-0000-00000B020000}"/>
    <cellStyle name="Normal 3 2 3" xfId="187" xr:uid="{00000000-0005-0000-0000-00000C020000}"/>
    <cellStyle name="Normal 3 3" xfId="186" xr:uid="{00000000-0005-0000-0000-00000D020000}"/>
    <cellStyle name="Normal 3 4" xfId="599" xr:uid="{00000000-0005-0000-0000-00000E020000}"/>
    <cellStyle name="Normal 30" xfId="189" xr:uid="{00000000-0005-0000-0000-00000F020000}"/>
    <cellStyle name="Normal 31" xfId="190" xr:uid="{00000000-0005-0000-0000-000010020000}"/>
    <cellStyle name="Normal 32" xfId="191" xr:uid="{00000000-0005-0000-0000-000011020000}"/>
    <cellStyle name="Normal 33" xfId="192" xr:uid="{00000000-0005-0000-0000-000012020000}"/>
    <cellStyle name="Normal 34" xfId="193" xr:uid="{00000000-0005-0000-0000-000013020000}"/>
    <cellStyle name="Normal 35" xfId="194" xr:uid="{00000000-0005-0000-0000-000014020000}"/>
    <cellStyle name="Normal 36" xfId="195" xr:uid="{00000000-0005-0000-0000-000015020000}"/>
    <cellStyle name="Normal 37" xfId="196" xr:uid="{00000000-0005-0000-0000-000016020000}"/>
    <cellStyle name="Normal 38" xfId="197" xr:uid="{00000000-0005-0000-0000-000017020000}"/>
    <cellStyle name="Normal 39" xfId="198" xr:uid="{00000000-0005-0000-0000-000018020000}"/>
    <cellStyle name="Normal 4" xfId="8" xr:uid="{00000000-0005-0000-0000-000019020000}"/>
    <cellStyle name="Normal 4 2" xfId="72" xr:uid="{00000000-0005-0000-0000-00001A020000}"/>
    <cellStyle name="Normal 4 2 2" xfId="200" xr:uid="{00000000-0005-0000-0000-00001B020000}"/>
    <cellStyle name="Normal 4 2 3" xfId="478" xr:uid="{00000000-0005-0000-0000-00001C020000}"/>
    <cellStyle name="Normal 4 3" xfId="55" xr:uid="{00000000-0005-0000-0000-00001D020000}"/>
    <cellStyle name="Normal 4 3 2" xfId="479" xr:uid="{00000000-0005-0000-0000-00001E020000}"/>
    <cellStyle name="Normal 4 4" xfId="199" xr:uid="{00000000-0005-0000-0000-00001F020000}"/>
    <cellStyle name="Normal 4 4 2" xfId="480" xr:uid="{00000000-0005-0000-0000-000020020000}"/>
    <cellStyle name="Normal 4 5" xfId="477" xr:uid="{00000000-0005-0000-0000-000021020000}"/>
    <cellStyle name="Normal 40" xfId="201" xr:uid="{00000000-0005-0000-0000-000022020000}"/>
    <cellStyle name="Normal 41" xfId="202" xr:uid="{00000000-0005-0000-0000-000023020000}"/>
    <cellStyle name="Normal 42" xfId="203" xr:uid="{00000000-0005-0000-0000-000024020000}"/>
    <cellStyle name="Normal 43" xfId="204" xr:uid="{00000000-0005-0000-0000-000025020000}"/>
    <cellStyle name="Normal 44" xfId="205" xr:uid="{00000000-0005-0000-0000-000026020000}"/>
    <cellStyle name="Normal 45" xfId="206" xr:uid="{00000000-0005-0000-0000-000027020000}"/>
    <cellStyle name="Normal 46" xfId="207" xr:uid="{00000000-0005-0000-0000-000028020000}"/>
    <cellStyle name="Normal 47" xfId="682" xr:uid="{00000000-0005-0000-0000-000029020000}"/>
    <cellStyle name="Normal 48" xfId="686" xr:uid="{00000000-0005-0000-0000-00002A020000}"/>
    <cellStyle name="Normal 49" xfId="688" xr:uid="{00000000-0005-0000-0000-00002B020000}"/>
    <cellStyle name="Normal 5" xfId="9" xr:uid="{00000000-0005-0000-0000-00002C020000}"/>
    <cellStyle name="Normal 5 2" xfId="64" xr:uid="{00000000-0005-0000-0000-00002D020000}"/>
    <cellStyle name="Normal 5 3" xfId="481" xr:uid="{00000000-0005-0000-0000-00002E020000}"/>
    <cellStyle name="Normal 5 4" xfId="598" xr:uid="{00000000-0005-0000-0000-00002F020000}"/>
    <cellStyle name="Normal 53" xfId="685" xr:uid="{00000000-0005-0000-0000-000030020000}"/>
    <cellStyle name="Normal 6" xfId="6" xr:uid="{00000000-0005-0000-0000-000031020000}"/>
    <cellStyle name="Normal 6 2" xfId="210" xr:uid="{00000000-0005-0000-0000-000032020000}"/>
    <cellStyle name="Normal 6 3" xfId="211" xr:uid="{00000000-0005-0000-0000-000033020000}"/>
    <cellStyle name="Normal 6 4" xfId="209" xr:uid="{00000000-0005-0000-0000-000034020000}"/>
    <cellStyle name="Normal 6 5" xfId="482" xr:uid="{00000000-0005-0000-0000-000035020000}"/>
    <cellStyle name="Normal 7" xfId="212" xr:uid="{00000000-0005-0000-0000-000036020000}"/>
    <cellStyle name="Normal 7 2" xfId="213" xr:uid="{00000000-0005-0000-0000-000037020000}"/>
    <cellStyle name="Normal 7 3" xfId="483" xr:uid="{00000000-0005-0000-0000-000038020000}"/>
    <cellStyle name="Normal 8" xfId="214" xr:uid="{00000000-0005-0000-0000-000039020000}"/>
    <cellStyle name="Normal 8 2" xfId="215" xr:uid="{00000000-0005-0000-0000-00003A020000}"/>
    <cellStyle name="Normal 8 3" xfId="484" xr:uid="{00000000-0005-0000-0000-00003B020000}"/>
    <cellStyle name="Normal 8 4" xfId="597" xr:uid="{00000000-0005-0000-0000-00003C020000}"/>
    <cellStyle name="Normal 9" xfId="4" xr:uid="{00000000-0005-0000-0000-00003D020000}"/>
    <cellStyle name="Normal 9 10" xfId="596" xr:uid="{00000000-0005-0000-0000-00003E020000}"/>
    <cellStyle name="Normal 9 2" xfId="216" xr:uid="{00000000-0005-0000-0000-00003F020000}"/>
    <cellStyle name="Normal 9 2 2" xfId="5" xr:uid="{00000000-0005-0000-0000-000040020000}"/>
    <cellStyle name="Normal 9 3" xfId="485" xr:uid="{00000000-0005-0000-0000-000041020000}"/>
    <cellStyle name="Normal 9 3 2" xfId="486" xr:uid="{00000000-0005-0000-0000-000042020000}"/>
    <cellStyle name="Normal 9 4" xfId="487" xr:uid="{00000000-0005-0000-0000-000043020000}"/>
    <cellStyle name="Normal 9 4 2" xfId="488" xr:uid="{00000000-0005-0000-0000-000044020000}"/>
    <cellStyle name="Normal 9 5" xfId="489" xr:uid="{00000000-0005-0000-0000-000045020000}"/>
    <cellStyle name="Normal 9 6" xfId="490" xr:uid="{00000000-0005-0000-0000-000046020000}"/>
    <cellStyle name="Normal 9 7" xfId="491" xr:uid="{00000000-0005-0000-0000-000047020000}"/>
    <cellStyle name="Normal 9 8" xfId="492" xr:uid="{00000000-0005-0000-0000-000048020000}"/>
    <cellStyle name="Normal 9 9" xfId="493" xr:uid="{00000000-0005-0000-0000-000049020000}"/>
    <cellStyle name="Note 10" xfId="669" xr:uid="{00000000-0005-0000-0000-00004A020000}"/>
    <cellStyle name="Note 2" xfId="56" xr:uid="{00000000-0005-0000-0000-00004B020000}"/>
    <cellStyle name="Note 2 2" xfId="496" xr:uid="{00000000-0005-0000-0000-00004C020000}"/>
    <cellStyle name="Note 2 2 2" xfId="534" xr:uid="{00000000-0005-0000-0000-00004D020000}"/>
    <cellStyle name="Note 2 2 3" xfId="632" xr:uid="{00000000-0005-0000-0000-00004E020000}"/>
    <cellStyle name="Note 2 2 4" xfId="667" xr:uid="{00000000-0005-0000-0000-00004F020000}"/>
    <cellStyle name="Note 2 3" xfId="497" xr:uid="{00000000-0005-0000-0000-000050020000}"/>
    <cellStyle name="Note 2 3 2" xfId="533" xr:uid="{00000000-0005-0000-0000-000051020000}"/>
    <cellStyle name="Note 2 3 3" xfId="633" xr:uid="{00000000-0005-0000-0000-000052020000}"/>
    <cellStyle name="Note 2 3 4" xfId="666" xr:uid="{00000000-0005-0000-0000-000053020000}"/>
    <cellStyle name="Note 2 4" xfId="498" xr:uid="{00000000-0005-0000-0000-000054020000}"/>
    <cellStyle name="Note 2 4 2" xfId="532" xr:uid="{00000000-0005-0000-0000-000055020000}"/>
    <cellStyle name="Note 2 4 3" xfId="634" xr:uid="{00000000-0005-0000-0000-000056020000}"/>
    <cellStyle name="Note 2 4 4" xfId="665" xr:uid="{00000000-0005-0000-0000-000057020000}"/>
    <cellStyle name="Note 2 5" xfId="495" xr:uid="{00000000-0005-0000-0000-000058020000}"/>
    <cellStyle name="Note 2 6" xfId="535" xr:uid="{00000000-0005-0000-0000-000059020000}"/>
    <cellStyle name="Note 2 7" xfId="593" xr:uid="{00000000-0005-0000-0000-00005A020000}"/>
    <cellStyle name="Note 2 8" xfId="631" xr:uid="{00000000-0005-0000-0000-00005B020000}"/>
    <cellStyle name="Note 2 9" xfId="668" xr:uid="{00000000-0005-0000-0000-00005C020000}"/>
    <cellStyle name="Note 3" xfId="499" xr:uid="{00000000-0005-0000-0000-00005D020000}"/>
    <cellStyle name="Note 3 2" xfId="531" xr:uid="{00000000-0005-0000-0000-00005E020000}"/>
    <cellStyle name="Note 3 3" xfId="635" xr:uid="{00000000-0005-0000-0000-00005F020000}"/>
    <cellStyle name="Note 3 4" xfId="664" xr:uid="{00000000-0005-0000-0000-000060020000}"/>
    <cellStyle name="Note 4" xfId="494" xr:uid="{00000000-0005-0000-0000-000061020000}"/>
    <cellStyle name="Note 5" xfId="536" xr:uid="{00000000-0005-0000-0000-000062020000}"/>
    <cellStyle name="Note 6" xfId="553" xr:uid="{00000000-0005-0000-0000-000063020000}"/>
    <cellStyle name="Note 7" xfId="551" xr:uid="{00000000-0005-0000-0000-000064020000}"/>
    <cellStyle name="Note 8" xfId="630" xr:uid="{00000000-0005-0000-0000-000065020000}"/>
    <cellStyle name="Note 9" xfId="649" xr:uid="{00000000-0005-0000-0000-000066020000}"/>
    <cellStyle name="Output 10" xfId="650" xr:uid="{00000000-0005-0000-0000-000067020000}"/>
    <cellStyle name="Output 11" xfId="663" xr:uid="{00000000-0005-0000-0000-000068020000}"/>
    <cellStyle name="Output 2" xfId="57" xr:uid="{00000000-0005-0000-0000-000069020000}"/>
    <cellStyle name="Output 2 2" xfId="502" xr:uid="{00000000-0005-0000-0000-00006A020000}"/>
    <cellStyle name="Output 2 2 2" xfId="528" xr:uid="{00000000-0005-0000-0000-00006B020000}"/>
    <cellStyle name="Output 2 2 3" xfId="638" xr:uid="{00000000-0005-0000-0000-00006C020000}"/>
    <cellStyle name="Output 2 2 4" xfId="661" xr:uid="{00000000-0005-0000-0000-00006D020000}"/>
    <cellStyle name="Output 2 3" xfId="503" xr:uid="{00000000-0005-0000-0000-00006E020000}"/>
    <cellStyle name="Output 2 3 2" xfId="527" xr:uid="{00000000-0005-0000-0000-00006F020000}"/>
    <cellStyle name="Output 2 3 3" xfId="639" xr:uid="{00000000-0005-0000-0000-000070020000}"/>
    <cellStyle name="Output 2 3 4" xfId="660" xr:uid="{00000000-0005-0000-0000-000071020000}"/>
    <cellStyle name="Output 2 4" xfId="504" xr:uid="{00000000-0005-0000-0000-000072020000}"/>
    <cellStyle name="Output 2 4 2" xfId="526" xr:uid="{00000000-0005-0000-0000-000073020000}"/>
    <cellStyle name="Output 2 4 3" xfId="640" xr:uid="{00000000-0005-0000-0000-000074020000}"/>
    <cellStyle name="Output 2 4 4" xfId="659" xr:uid="{00000000-0005-0000-0000-000075020000}"/>
    <cellStyle name="Output 2 5" xfId="501" xr:uid="{00000000-0005-0000-0000-000076020000}"/>
    <cellStyle name="Output 2 6" xfId="529" xr:uid="{00000000-0005-0000-0000-000077020000}"/>
    <cellStyle name="Output 2 7" xfId="594" xr:uid="{00000000-0005-0000-0000-000078020000}"/>
    <cellStyle name="Output 2 8" xfId="637" xr:uid="{00000000-0005-0000-0000-000079020000}"/>
    <cellStyle name="Output 2 9" xfId="662" xr:uid="{00000000-0005-0000-0000-00007A020000}"/>
    <cellStyle name="Output 3" xfId="505" xr:uid="{00000000-0005-0000-0000-00007B020000}"/>
    <cellStyle name="Output 3 2" xfId="525" xr:uid="{00000000-0005-0000-0000-00007C020000}"/>
    <cellStyle name="Output 3 3" xfId="641" xr:uid="{00000000-0005-0000-0000-00007D020000}"/>
    <cellStyle name="Output 3 4" xfId="658" xr:uid="{00000000-0005-0000-0000-00007E020000}"/>
    <cellStyle name="Output 4" xfId="500" xr:uid="{00000000-0005-0000-0000-00007F020000}"/>
    <cellStyle name="Output 5" xfId="530" xr:uid="{00000000-0005-0000-0000-000080020000}"/>
    <cellStyle name="Output 6" xfId="554" xr:uid="{00000000-0005-0000-0000-000081020000}"/>
    <cellStyle name="Output 7" xfId="558" xr:uid="{00000000-0005-0000-0000-000082020000}"/>
    <cellStyle name="Output 8" xfId="560" xr:uid="{00000000-0005-0000-0000-000083020000}"/>
    <cellStyle name="Output 9" xfId="636" xr:uid="{00000000-0005-0000-0000-000084020000}"/>
    <cellStyle name="Percent" xfId="652" builtinId="5"/>
    <cellStyle name="Percent 2" xfId="11" xr:uid="{00000000-0005-0000-0000-000086020000}"/>
    <cellStyle name="Percent 2 2" xfId="58" xr:uid="{00000000-0005-0000-0000-000087020000}"/>
    <cellStyle name="Percent 2 3" xfId="217" xr:uid="{00000000-0005-0000-0000-000088020000}"/>
    <cellStyle name="Percent 2 3 2" xfId="506" xr:uid="{00000000-0005-0000-0000-000089020000}"/>
    <cellStyle name="Percent 2 4" xfId="507" xr:uid="{00000000-0005-0000-0000-00008A020000}"/>
    <cellStyle name="Percent 3" xfId="59" xr:uid="{00000000-0005-0000-0000-00008B020000}"/>
    <cellStyle name="Percent 3 2" xfId="508" xr:uid="{00000000-0005-0000-0000-00008C020000}"/>
    <cellStyle name="Percent 3 3" xfId="509" xr:uid="{00000000-0005-0000-0000-00008D020000}"/>
    <cellStyle name="Style 1" xfId="218" xr:uid="{00000000-0005-0000-0000-00008E020000}"/>
    <cellStyle name="Title 2" xfId="60" xr:uid="{00000000-0005-0000-0000-00008F020000}"/>
    <cellStyle name="Title 2 2" xfId="512" xr:uid="{00000000-0005-0000-0000-000090020000}"/>
    <cellStyle name="Title 2 3" xfId="513" xr:uid="{00000000-0005-0000-0000-000091020000}"/>
    <cellStyle name="Title 2 4" xfId="511" xr:uid="{00000000-0005-0000-0000-000092020000}"/>
    <cellStyle name="Title 2 5" xfId="595" xr:uid="{00000000-0005-0000-0000-000093020000}"/>
    <cellStyle name="Title 3" xfId="514" xr:uid="{00000000-0005-0000-0000-000094020000}"/>
    <cellStyle name="Title 4" xfId="510" xr:uid="{00000000-0005-0000-0000-000095020000}"/>
    <cellStyle name="Title 5" xfId="683" xr:uid="{00000000-0005-0000-0000-000096020000}"/>
    <cellStyle name="Total 10" xfId="651" xr:uid="{00000000-0005-0000-0000-000097020000}"/>
    <cellStyle name="Total 11" xfId="657" xr:uid="{00000000-0005-0000-0000-000098020000}"/>
    <cellStyle name="Total 2" xfId="61" xr:uid="{00000000-0005-0000-0000-000099020000}"/>
    <cellStyle name="Total 2 2" xfId="517" xr:uid="{00000000-0005-0000-0000-00009A020000}"/>
    <cellStyle name="Total 2 2 2" xfId="242" xr:uid="{00000000-0005-0000-0000-00009B020000}"/>
    <cellStyle name="Total 2 2 3" xfId="644" xr:uid="{00000000-0005-0000-0000-00009C020000}"/>
    <cellStyle name="Total 2 2 4" xfId="655" xr:uid="{00000000-0005-0000-0000-00009D020000}"/>
    <cellStyle name="Total 2 3" xfId="518" xr:uid="{00000000-0005-0000-0000-00009E020000}"/>
    <cellStyle name="Total 2 3 2" xfId="470" xr:uid="{00000000-0005-0000-0000-00009F020000}"/>
    <cellStyle name="Total 2 3 3" xfId="645" xr:uid="{00000000-0005-0000-0000-0000A0020000}"/>
    <cellStyle name="Total 2 3 4" xfId="653" xr:uid="{00000000-0005-0000-0000-0000A1020000}"/>
    <cellStyle name="Total 2 4" xfId="516" xr:uid="{00000000-0005-0000-0000-0000A2020000}"/>
    <cellStyle name="Total 2 5" xfId="411" xr:uid="{00000000-0005-0000-0000-0000A3020000}"/>
    <cellStyle name="Total 2 6" xfId="643" xr:uid="{00000000-0005-0000-0000-0000A4020000}"/>
    <cellStyle name="Total 2 7" xfId="656" xr:uid="{00000000-0005-0000-0000-0000A5020000}"/>
    <cellStyle name="Total 3" xfId="519" xr:uid="{00000000-0005-0000-0000-0000A6020000}"/>
    <cellStyle name="Total 3 2" xfId="471" xr:uid="{00000000-0005-0000-0000-0000A7020000}"/>
    <cellStyle name="Total 3 3" xfId="646" xr:uid="{00000000-0005-0000-0000-0000A8020000}"/>
    <cellStyle name="Total 3 4" xfId="654" xr:uid="{00000000-0005-0000-0000-0000A9020000}"/>
    <cellStyle name="Total 4" xfId="515" xr:uid="{00000000-0005-0000-0000-0000AA020000}"/>
    <cellStyle name="Total 5" xfId="408" xr:uid="{00000000-0005-0000-0000-0000AB020000}"/>
    <cellStyle name="Total 6" xfId="555" xr:uid="{00000000-0005-0000-0000-0000AC020000}"/>
    <cellStyle name="Total 7" xfId="559" xr:uid="{00000000-0005-0000-0000-0000AD020000}"/>
    <cellStyle name="Total 8" xfId="562" xr:uid="{00000000-0005-0000-0000-0000AE020000}"/>
    <cellStyle name="Total 9" xfId="642" xr:uid="{00000000-0005-0000-0000-0000AF020000}"/>
    <cellStyle name="Warning Text 2" xfId="62" xr:uid="{00000000-0005-0000-0000-0000B0020000}"/>
    <cellStyle name="Warning Text 2 2" xfId="522" xr:uid="{00000000-0005-0000-0000-0000B1020000}"/>
    <cellStyle name="Warning Text 2 3" xfId="523" xr:uid="{00000000-0005-0000-0000-0000B2020000}"/>
    <cellStyle name="Warning Text 2 4" xfId="521" xr:uid="{00000000-0005-0000-0000-0000B3020000}"/>
    <cellStyle name="Warning Text 3" xfId="524" xr:uid="{00000000-0005-0000-0000-0000B4020000}"/>
    <cellStyle name="Warning Text 4" xfId="520" xr:uid="{00000000-0005-0000-0000-0000B5020000}"/>
  </cellStyles>
  <dxfs count="369">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ill>
        <patternFill>
          <bgColor rgb="FFCC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CCFFCC"/>
        </patternFill>
      </fill>
    </dxf>
    <dxf>
      <fill>
        <patternFill>
          <bgColor rgb="FF99FFCC"/>
        </patternFill>
      </fill>
    </dxf>
    <dxf>
      <fill>
        <patternFill>
          <bgColor rgb="FFCCFFCC"/>
        </patternFill>
      </fill>
    </dxf>
    <dxf>
      <fill>
        <patternFill>
          <bgColor rgb="FFCCFFCC"/>
        </patternFill>
      </fill>
    </dxf>
    <dxf>
      <fill>
        <patternFill>
          <bgColor rgb="FF99FFCC"/>
        </patternFill>
      </fill>
    </dxf>
    <dxf>
      <fill>
        <patternFill>
          <bgColor rgb="FFCCFFCC"/>
        </patternFill>
      </fill>
    </dxf>
    <dxf>
      <fill>
        <patternFill>
          <bgColor rgb="FFCC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ill>
        <patternFill>
          <bgColor rgb="FFCCFFCC"/>
        </patternFill>
      </fill>
    </dxf>
    <dxf>
      <fill>
        <patternFill>
          <bgColor rgb="FF99FFCC"/>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theme="0"/>
      </font>
      <fill>
        <patternFill>
          <bgColor rgb="FFFF0000"/>
        </patternFill>
      </fill>
    </dxf>
    <dxf>
      <fill>
        <patternFill>
          <bgColor theme="6" tint="0.39994506668294322"/>
        </patternFill>
      </fill>
    </dxf>
    <dxf>
      <fill>
        <patternFill>
          <bgColor rgb="FFFFFF00"/>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3FADA"/>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pivotCacheDefinition" Target="pivotCache/pivotCacheDefinition3.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pivotCacheDefinition" Target="pivotCache/pivotCacheDefinition2.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5.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SHE Legal</a:t>
            </a:r>
            <a:r>
              <a:rPr lang="en-US" baseline="0"/>
              <a:t> YTD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19-4514-8974-6F96B77AA8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19-4514-8974-6F96B77AA8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Monthly (2)'!$B$17:$B$18</c:f>
              <c:strCache>
                <c:ptCount val="2"/>
                <c:pt idx="0">
                  <c:v>Patuh </c:v>
                </c:pt>
                <c:pt idx="1">
                  <c:v>Tidak Patuh </c:v>
                </c:pt>
              </c:strCache>
            </c:strRef>
          </c:cat>
          <c:val>
            <c:numRef>
              <c:f>'Dashboard Monthly (2)'!$C$17:$C$18</c:f>
              <c:numCache>
                <c:formatCode>0%</c:formatCode>
                <c:ptCount val="2"/>
                <c:pt idx="0">
                  <c:v>0.97</c:v>
                </c:pt>
                <c:pt idx="1">
                  <c:v>0.03</c:v>
                </c:pt>
              </c:numCache>
            </c:numRef>
          </c:val>
          <c:extLst>
            <c:ext xmlns:c16="http://schemas.microsoft.com/office/drawing/2014/chart" uri="{C3380CC4-5D6E-409C-BE32-E72D297353CC}">
              <c16:uniqueId val="{00000004-5419-4514-8974-6F96B77AA81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Audit SMKP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3E-4B15-8A7D-B2607834D5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3E-4B15-8A7D-B2607834D5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Monthly (2)'!$E$17:$E$18</c:f>
              <c:strCache>
                <c:ptCount val="2"/>
                <c:pt idx="0">
                  <c:v>Patuh </c:v>
                </c:pt>
                <c:pt idx="1">
                  <c:v>Tidak Patuh </c:v>
                </c:pt>
              </c:strCache>
            </c:strRef>
          </c:cat>
          <c:val>
            <c:numRef>
              <c:f>'Dashboard Monthly (2)'!$F$17:$F$18</c:f>
              <c:numCache>
                <c:formatCode>0%</c:formatCode>
                <c:ptCount val="2"/>
                <c:pt idx="0">
                  <c:v>0.71</c:v>
                </c:pt>
                <c:pt idx="1">
                  <c:v>0.28999999999999998</c:v>
                </c:pt>
              </c:numCache>
            </c:numRef>
          </c:val>
          <c:extLst>
            <c:ext xmlns:c16="http://schemas.microsoft.com/office/drawing/2014/chart" uri="{C3380CC4-5D6E-409C-BE32-E72D297353CC}">
              <c16:uniqueId val="{00000004-EC3E-4B15-8A7D-B2607834D5C1}"/>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 YTD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(2)'!$I$17:$I$19</c:f>
              <c:strCache>
                <c:ptCount val="3"/>
                <c:pt idx="0">
                  <c:v>Observasi </c:v>
                </c:pt>
                <c:pt idx="1">
                  <c:v>Hazard </c:v>
                </c:pt>
                <c:pt idx="2">
                  <c:v>Inspeksi</c:v>
                </c:pt>
              </c:strCache>
            </c:strRef>
          </c:cat>
          <c:val>
            <c:numRef>
              <c:f>'Dashboard Monthly (2)'!$J$17:$J$19</c:f>
              <c:numCache>
                <c:formatCode>0%</c:formatCode>
                <c:ptCount val="3"/>
                <c:pt idx="0">
                  <c:v>0.88</c:v>
                </c:pt>
                <c:pt idx="1">
                  <c:v>0.74</c:v>
                </c:pt>
                <c:pt idx="2">
                  <c:v>0.98</c:v>
                </c:pt>
              </c:numCache>
            </c:numRef>
          </c:val>
          <c:extLst>
            <c:ext xmlns:c16="http://schemas.microsoft.com/office/drawing/2014/chart" uri="{C3380CC4-5D6E-409C-BE32-E72D297353CC}">
              <c16:uniqueId val="{00000000-115D-4818-A05E-30B43B3503D6}"/>
            </c:ext>
          </c:extLst>
        </c:ser>
        <c:dLbls>
          <c:showLegendKey val="0"/>
          <c:showVal val="0"/>
          <c:showCatName val="0"/>
          <c:showSerName val="0"/>
          <c:showPercent val="0"/>
          <c:showBubbleSize val="0"/>
        </c:dLbls>
        <c:gapWidth val="219"/>
        <c:overlap val="-27"/>
        <c:axId val="1966785168"/>
        <c:axId val="1966787344"/>
      </c:barChart>
      <c:catAx>
        <c:axId val="196678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87344"/>
        <c:crosses val="autoZero"/>
        <c:auto val="1"/>
        <c:lblAlgn val="ctr"/>
        <c:lblOffset val="100"/>
        <c:noMultiLvlLbl val="0"/>
      </c:catAx>
      <c:valAx>
        <c:axId val="1966787344"/>
        <c:scaling>
          <c:orientation val="minMax"/>
        </c:scaling>
        <c:delete val="1"/>
        <c:axPos val="l"/>
        <c:numFmt formatCode="0%" sourceLinked="1"/>
        <c:majorTickMark val="none"/>
        <c:minorTickMark val="none"/>
        <c:tickLblPos val="nextTo"/>
        <c:crossAx val="196678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(2)'!$E$33:$F$33</c:f>
              <c:strCache>
                <c:ptCount val="2"/>
                <c:pt idx="0">
                  <c:v>Okt-21</c:v>
                </c:pt>
                <c:pt idx="1">
                  <c:v>Okt-22</c:v>
                </c:pt>
              </c:strCache>
            </c:strRef>
          </c:cat>
          <c:val>
            <c:numRef>
              <c:f>'Dashboard Monthly (2)'!$E$39:$F$39</c:f>
              <c:numCache>
                <c:formatCode>General</c:formatCode>
                <c:ptCount val="2"/>
                <c:pt idx="0">
                  <c:v>5</c:v>
                </c:pt>
                <c:pt idx="1">
                  <c:v>0</c:v>
                </c:pt>
              </c:numCache>
            </c:numRef>
          </c:val>
          <c:extLst>
            <c:ext xmlns:c16="http://schemas.microsoft.com/office/drawing/2014/chart" uri="{C3380CC4-5D6E-409C-BE32-E72D297353CC}">
              <c16:uniqueId val="{00000000-78B3-4DA2-969E-7EFD1CC81CCA}"/>
            </c:ext>
          </c:extLst>
        </c:ser>
        <c:dLbls>
          <c:showLegendKey val="0"/>
          <c:showVal val="0"/>
          <c:showCatName val="0"/>
          <c:showSerName val="0"/>
          <c:showPercent val="0"/>
          <c:showBubbleSize val="0"/>
        </c:dLbls>
        <c:gapWidth val="219"/>
        <c:overlap val="-27"/>
        <c:axId val="1966780816"/>
        <c:axId val="1966782992"/>
      </c:barChart>
      <c:catAx>
        <c:axId val="196678081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6782992"/>
        <c:crosses val="autoZero"/>
        <c:auto val="1"/>
        <c:lblAlgn val="ctr"/>
        <c:lblOffset val="100"/>
        <c:noMultiLvlLbl val="1"/>
      </c:catAx>
      <c:valAx>
        <c:axId val="1966782992"/>
        <c:scaling>
          <c:orientation val="minMax"/>
        </c:scaling>
        <c:delete val="1"/>
        <c:axPos val="l"/>
        <c:numFmt formatCode="General" sourceLinked="1"/>
        <c:majorTickMark val="none"/>
        <c:minorTickMark val="none"/>
        <c:tickLblPos val="nextTo"/>
        <c:crossAx val="1966780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(2)'!$E$33:$F$33</c:f>
              <c:strCache>
                <c:ptCount val="2"/>
                <c:pt idx="0">
                  <c:v>Okt-21</c:v>
                </c:pt>
                <c:pt idx="1">
                  <c:v>Okt-22</c:v>
                </c:pt>
              </c:strCache>
            </c:strRef>
          </c:cat>
          <c:val>
            <c:numRef>
              <c:f>'Dashboard Monthly (2)'!$E$41:$F$41</c:f>
              <c:numCache>
                <c:formatCode>General</c:formatCode>
                <c:ptCount val="2"/>
                <c:pt idx="0">
                  <c:v>21</c:v>
                </c:pt>
                <c:pt idx="1">
                  <c:v>38</c:v>
                </c:pt>
              </c:numCache>
            </c:numRef>
          </c:val>
          <c:extLst>
            <c:ext xmlns:c16="http://schemas.microsoft.com/office/drawing/2014/chart" uri="{C3380CC4-5D6E-409C-BE32-E72D297353CC}">
              <c16:uniqueId val="{00000000-13FD-40AF-A447-422304F0C980}"/>
            </c:ext>
          </c:extLst>
        </c:ser>
        <c:dLbls>
          <c:showLegendKey val="0"/>
          <c:showVal val="0"/>
          <c:showCatName val="0"/>
          <c:showSerName val="0"/>
          <c:showPercent val="0"/>
          <c:showBubbleSize val="0"/>
        </c:dLbls>
        <c:gapWidth val="219"/>
        <c:overlap val="-27"/>
        <c:axId val="1966786800"/>
        <c:axId val="1966785712"/>
      </c:barChart>
      <c:catAx>
        <c:axId val="196678680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6785712"/>
        <c:crosses val="autoZero"/>
        <c:auto val="1"/>
        <c:lblAlgn val="ctr"/>
        <c:lblOffset val="100"/>
        <c:noMultiLvlLbl val="1"/>
      </c:catAx>
      <c:valAx>
        <c:axId val="1966785712"/>
        <c:scaling>
          <c:orientation val="minMax"/>
        </c:scaling>
        <c:delete val="1"/>
        <c:axPos val="l"/>
        <c:numFmt formatCode="General" sourceLinked="1"/>
        <c:majorTickMark val="none"/>
        <c:minorTickMark val="none"/>
        <c:tickLblPos val="nextTo"/>
        <c:crossAx val="196678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18-4891-97D9-1D28D79346F2}"/>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18-4891-97D9-1D28D79346F2}"/>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(2)'!$E$33:$F$33</c:f>
              <c:strCache>
                <c:ptCount val="2"/>
                <c:pt idx="0">
                  <c:v>Okt-21</c:v>
                </c:pt>
                <c:pt idx="1">
                  <c:v>Okt-22</c:v>
                </c:pt>
              </c:strCache>
            </c:strRef>
          </c:cat>
          <c:val>
            <c:numRef>
              <c:f>'Dashboard Monthly (2)'!$E$44:$F$44</c:f>
              <c:numCache>
                <c:formatCode>General</c:formatCode>
                <c:ptCount val="2"/>
                <c:pt idx="0">
                  <c:v>12</c:v>
                </c:pt>
                <c:pt idx="1">
                  <c:v>25</c:v>
                </c:pt>
              </c:numCache>
            </c:numRef>
          </c:val>
          <c:extLst>
            <c:ext xmlns:c16="http://schemas.microsoft.com/office/drawing/2014/chart" uri="{C3380CC4-5D6E-409C-BE32-E72D297353CC}">
              <c16:uniqueId val="{00000002-4B18-4891-97D9-1D28D79346F2}"/>
            </c:ext>
          </c:extLst>
        </c:ser>
        <c:dLbls>
          <c:showLegendKey val="0"/>
          <c:showVal val="0"/>
          <c:showCatName val="0"/>
          <c:showSerName val="0"/>
          <c:showPercent val="0"/>
          <c:showBubbleSize val="0"/>
        </c:dLbls>
        <c:gapWidth val="219"/>
        <c:overlap val="-27"/>
        <c:axId val="1966786256"/>
        <c:axId val="1966775920"/>
      </c:barChart>
      <c:catAx>
        <c:axId val="19667862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6775920"/>
        <c:crosses val="autoZero"/>
        <c:auto val="1"/>
        <c:lblAlgn val="ctr"/>
        <c:lblOffset val="100"/>
        <c:noMultiLvlLbl val="1"/>
      </c:catAx>
      <c:valAx>
        <c:axId val="1966775920"/>
        <c:scaling>
          <c:orientation val="minMax"/>
        </c:scaling>
        <c:delete val="1"/>
        <c:axPos val="l"/>
        <c:numFmt formatCode="General" sourceLinked="1"/>
        <c:majorTickMark val="none"/>
        <c:minorTickMark val="none"/>
        <c:tickLblPos val="nextTo"/>
        <c:crossAx val="1966786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r>
              <a:rPr lang="en-ID"/>
              <a:t>Long Term Insiden</a:t>
            </a:r>
          </a:p>
        </c:rich>
      </c:tx>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'Dashboard Monthly (2)'!$J$33</c:f>
              <c:strCache>
                <c:ptCount val="1"/>
                <c:pt idx="0">
                  <c:v>2021</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(2)'!$B$37:$B$44</c:f>
              <c:strCache>
                <c:ptCount val="8"/>
                <c:pt idx="0">
                  <c:v>Fatality </c:v>
                </c:pt>
                <c:pt idx="1">
                  <c:v>LTI</c:v>
                </c:pt>
                <c:pt idx="2">
                  <c:v>FA</c:v>
                </c:pt>
                <c:pt idx="3">
                  <c:v>MTI</c:v>
                </c:pt>
                <c:pt idx="4">
                  <c:v>PD</c:v>
                </c:pt>
                <c:pt idx="5">
                  <c:v>FC</c:v>
                </c:pt>
                <c:pt idx="6">
                  <c:v>EI</c:v>
                </c:pt>
                <c:pt idx="7">
                  <c:v>NM</c:v>
                </c:pt>
              </c:strCache>
            </c:strRef>
          </c:cat>
          <c:val>
            <c:numRef>
              <c:f>'Dashboard Monthly (2)'!$J$37:$J$44</c:f>
              <c:numCache>
                <c:formatCode>General</c:formatCode>
                <c:ptCount val="8"/>
                <c:pt idx="0">
                  <c:v>1</c:v>
                </c:pt>
                <c:pt idx="1">
                  <c:v>1</c:v>
                </c:pt>
                <c:pt idx="2">
                  <c:v>5</c:v>
                </c:pt>
                <c:pt idx="3">
                  <c:v>0</c:v>
                </c:pt>
                <c:pt idx="4">
                  <c:v>25</c:v>
                </c:pt>
                <c:pt idx="5">
                  <c:v>0</c:v>
                </c:pt>
                <c:pt idx="6">
                  <c:v>2</c:v>
                </c:pt>
                <c:pt idx="7">
                  <c:v>14</c:v>
                </c:pt>
              </c:numCache>
            </c:numRef>
          </c:val>
          <c:extLst>
            <c:ext xmlns:c16="http://schemas.microsoft.com/office/drawing/2014/chart" uri="{C3380CC4-5D6E-409C-BE32-E72D297353CC}">
              <c16:uniqueId val="{00000000-A62E-48C0-B8DC-89275706385F}"/>
            </c:ext>
          </c:extLst>
        </c:ser>
        <c:ser>
          <c:idx val="1"/>
          <c:order val="1"/>
          <c:tx>
            <c:strRef>
              <c:f>'Dashboard Monthly (2)'!$K$33</c:f>
              <c:strCache>
                <c:ptCount val="1"/>
                <c:pt idx="0">
                  <c:v>2022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(2)'!$B$37:$B$44</c:f>
              <c:strCache>
                <c:ptCount val="8"/>
                <c:pt idx="0">
                  <c:v>Fatality </c:v>
                </c:pt>
                <c:pt idx="1">
                  <c:v>LTI</c:v>
                </c:pt>
                <c:pt idx="2">
                  <c:v>FA</c:v>
                </c:pt>
                <c:pt idx="3">
                  <c:v>MTI</c:v>
                </c:pt>
                <c:pt idx="4">
                  <c:v>PD</c:v>
                </c:pt>
                <c:pt idx="5">
                  <c:v>FC</c:v>
                </c:pt>
                <c:pt idx="6">
                  <c:v>EI</c:v>
                </c:pt>
                <c:pt idx="7">
                  <c:v>NM</c:v>
                </c:pt>
              </c:strCache>
            </c:strRef>
          </c:cat>
          <c:val>
            <c:numRef>
              <c:f>'Dashboard Monthly (2)'!$K$37:$K$44</c:f>
              <c:numCache>
                <c:formatCode>General</c:formatCode>
                <c:ptCount val="8"/>
                <c:pt idx="0">
                  <c:v>0</c:v>
                </c:pt>
                <c:pt idx="1">
                  <c:v>0</c:v>
                </c:pt>
                <c:pt idx="2">
                  <c:v>0</c:v>
                </c:pt>
                <c:pt idx="3">
                  <c:v>3</c:v>
                </c:pt>
                <c:pt idx="4">
                  <c:v>38</c:v>
                </c:pt>
                <c:pt idx="5">
                  <c:v>0</c:v>
                </c:pt>
                <c:pt idx="6">
                  <c:v>7</c:v>
                </c:pt>
                <c:pt idx="7">
                  <c:v>25</c:v>
                </c:pt>
              </c:numCache>
            </c:numRef>
          </c:val>
          <c:extLst>
            <c:ext xmlns:c16="http://schemas.microsoft.com/office/drawing/2014/chart" uri="{C3380CC4-5D6E-409C-BE32-E72D297353CC}">
              <c16:uniqueId val="{00000001-A62E-48C0-B8DC-89275706385F}"/>
            </c:ext>
          </c:extLst>
        </c:ser>
        <c:dLbls>
          <c:showLegendKey val="0"/>
          <c:showVal val="0"/>
          <c:showCatName val="0"/>
          <c:showSerName val="0"/>
          <c:showPercent val="0"/>
          <c:showBubbleSize val="0"/>
        </c:dLbls>
        <c:gapWidth val="219"/>
        <c:overlap val="-27"/>
        <c:axId val="1966787888"/>
        <c:axId val="1966788432"/>
      </c:barChart>
      <c:catAx>
        <c:axId val="196678788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66788432"/>
        <c:crosses val="autoZero"/>
        <c:auto val="1"/>
        <c:lblAlgn val="ctr"/>
        <c:lblOffset val="100"/>
        <c:noMultiLvlLbl val="0"/>
      </c:catAx>
      <c:valAx>
        <c:axId val="1966788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66787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(2)'!$E$33:$F$33</c:f>
              <c:strCache>
                <c:ptCount val="2"/>
                <c:pt idx="0">
                  <c:v>Okt-21</c:v>
                </c:pt>
                <c:pt idx="1">
                  <c:v>Okt-22</c:v>
                </c:pt>
              </c:strCache>
            </c:strRef>
          </c:cat>
          <c:val>
            <c:numRef>
              <c:f>'Dashboard Monthly (2)'!$E$42:$F$42</c:f>
              <c:numCache>
                <c:formatCode>General</c:formatCode>
                <c:ptCount val="2"/>
                <c:pt idx="0">
                  <c:v>0</c:v>
                </c:pt>
                <c:pt idx="1">
                  <c:v>0</c:v>
                </c:pt>
              </c:numCache>
            </c:numRef>
          </c:val>
          <c:extLst>
            <c:ext xmlns:c16="http://schemas.microsoft.com/office/drawing/2014/chart" uri="{C3380CC4-5D6E-409C-BE32-E72D297353CC}">
              <c16:uniqueId val="{00000000-EC31-41E9-8476-8A67D8512378}"/>
            </c:ext>
          </c:extLst>
        </c:ser>
        <c:dLbls>
          <c:showLegendKey val="0"/>
          <c:showVal val="0"/>
          <c:showCatName val="0"/>
          <c:showSerName val="0"/>
          <c:showPercent val="0"/>
          <c:showBubbleSize val="0"/>
        </c:dLbls>
        <c:gapWidth val="219"/>
        <c:overlap val="-27"/>
        <c:axId val="1966788976"/>
        <c:axId val="1966791152"/>
      </c:barChart>
      <c:catAx>
        <c:axId val="19667889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6791152"/>
        <c:crosses val="autoZero"/>
        <c:auto val="1"/>
        <c:lblAlgn val="ctr"/>
        <c:lblOffset val="100"/>
        <c:noMultiLvlLbl val="0"/>
      </c:catAx>
      <c:valAx>
        <c:axId val="1966791152"/>
        <c:scaling>
          <c:orientation val="minMax"/>
        </c:scaling>
        <c:delete val="1"/>
        <c:axPos val="l"/>
        <c:numFmt formatCode="General" sourceLinked="1"/>
        <c:majorTickMark val="none"/>
        <c:minorTickMark val="none"/>
        <c:tickLblPos val="nextTo"/>
        <c:crossAx val="1966788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Long</a:t>
            </a:r>
            <a:r>
              <a:rPr lang="en-ID" baseline="0"/>
              <a:t> Term Insiden YTD 2019 - 2022</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Monthly (2)'!$N$33</c:f>
              <c:strCache>
                <c:ptCount val="1"/>
                <c:pt idx="0">
                  <c:v>Total Incident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Monthly (2)'!$N$34:$N$37</c:f>
              <c:numCache>
                <c:formatCode>General</c:formatCode>
                <c:ptCount val="4"/>
                <c:pt idx="0">
                  <c:v>5</c:v>
                </c:pt>
                <c:pt idx="1">
                  <c:v>28</c:v>
                </c:pt>
                <c:pt idx="2">
                  <c:v>48</c:v>
                </c:pt>
                <c:pt idx="3">
                  <c:v>73</c:v>
                </c:pt>
              </c:numCache>
            </c:numRef>
          </c:val>
          <c:extLst>
            <c:ext xmlns:c15="http://schemas.microsoft.com/office/drawing/2012/chart" uri="{02D57815-91ED-43cb-92C2-25804820EDAC}">
              <c15:filteredCategoryTitle>
                <c15:cat>
                  <c:numRef>
                    <c:extLst>
                      <c:ext uri="{02D57815-91ED-43cb-92C2-25804820EDAC}">
                        <c15:formulaRef>
                          <c15:sqref>'Dashboard Monthly (2)'!$M$34:$M$37</c15:sqref>
                        </c15:formulaRef>
                      </c:ext>
                    </c:extLst>
                    <c:numCache>
                      <c:formatCode>General</c:formatCode>
                      <c:ptCount val="4"/>
                      <c:pt idx="0">
                        <c:v>2019</c:v>
                      </c:pt>
                      <c:pt idx="1">
                        <c:v>2020</c:v>
                      </c:pt>
                      <c:pt idx="2">
                        <c:v>2021</c:v>
                      </c:pt>
                      <c:pt idx="3">
                        <c:v>2022</c:v>
                      </c:pt>
                    </c:numCache>
                  </c:numRef>
                </c15:cat>
              </c15:filteredCategoryTitle>
            </c:ext>
            <c:ext xmlns:c16="http://schemas.microsoft.com/office/drawing/2014/chart" uri="{C3380CC4-5D6E-409C-BE32-E72D297353CC}">
              <c16:uniqueId val="{00000000-A105-4242-BC6C-6FF64551B90E}"/>
            </c:ext>
          </c:extLst>
        </c:ser>
        <c:ser>
          <c:idx val="1"/>
          <c:order val="1"/>
          <c:tx>
            <c:strRef>
              <c:f>'Dashboard Monthly (2)'!$O$33</c:f>
              <c:strCache>
                <c:ptCount val="1"/>
                <c:pt idx="0">
                  <c:v>HPRI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Monthly (2)'!$O$34:$O$37</c:f>
              <c:numCache>
                <c:formatCode>General</c:formatCode>
                <c:ptCount val="4"/>
                <c:pt idx="0">
                  <c:v>2</c:v>
                </c:pt>
                <c:pt idx="1">
                  <c:v>13</c:v>
                </c:pt>
                <c:pt idx="2">
                  <c:v>11</c:v>
                </c:pt>
                <c:pt idx="3">
                  <c:v>34</c:v>
                </c:pt>
              </c:numCache>
            </c:numRef>
          </c:val>
          <c:extLst>
            <c:ext xmlns:c15="http://schemas.microsoft.com/office/drawing/2012/chart" uri="{02D57815-91ED-43cb-92C2-25804820EDAC}">
              <c15:filteredCategoryTitle>
                <c15:cat>
                  <c:numRef>
                    <c:extLst>
                      <c:ext uri="{02D57815-91ED-43cb-92C2-25804820EDAC}">
                        <c15:formulaRef>
                          <c15:sqref>'Dashboard Monthly (2)'!$M$34:$M$37</c15:sqref>
                        </c15:formulaRef>
                      </c:ext>
                    </c:extLst>
                    <c:numCache>
                      <c:formatCode>General</c:formatCode>
                      <c:ptCount val="4"/>
                      <c:pt idx="0">
                        <c:v>2019</c:v>
                      </c:pt>
                      <c:pt idx="1">
                        <c:v>2020</c:v>
                      </c:pt>
                      <c:pt idx="2">
                        <c:v>2021</c:v>
                      </c:pt>
                      <c:pt idx="3">
                        <c:v>2022</c:v>
                      </c:pt>
                    </c:numCache>
                  </c:numRef>
                </c15:cat>
              </c15:filteredCategoryTitle>
            </c:ext>
            <c:ext xmlns:c16="http://schemas.microsoft.com/office/drawing/2014/chart" uri="{C3380CC4-5D6E-409C-BE32-E72D297353CC}">
              <c16:uniqueId val="{00000001-A105-4242-BC6C-6FF64551B90E}"/>
            </c:ext>
          </c:extLst>
        </c:ser>
        <c:ser>
          <c:idx val="2"/>
          <c:order val="2"/>
          <c:tx>
            <c:strRef>
              <c:f>'Dashboard Monthly (2)'!$P$33</c:f>
              <c:strCache>
                <c:ptCount val="1"/>
                <c:pt idx="0">
                  <c:v>NON HPRI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 Monthly (2)'!$P$34:$P$37</c:f>
              <c:numCache>
                <c:formatCode>General</c:formatCode>
                <c:ptCount val="4"/>
                <c:pt idx="0">
                  <c:v>3</c:v>
                </c:pt>
                <c:pt idx="1">
                  <c:v>15</c:v>
                </c:pt>
                <c:pt idx="2">
                  <c:v>37</c:v>
                </c:pt>
                <c:pt idx="3">
                  <c:v>39</c:v>
                </c:pt>
              </c:numCache>
            </c:numRef>
          </c:val>
          <c:extLst>
            <c:ext xmlns:c15="http://schemas.microsoft.com/office/drawing/2012/chart" uri="{02D57815-91ED-43cb-92C2-25804820EDAC}">
              <c15:filteredCategoryTitle>
                <c15:cat>
                  <c:numRef>
                    <c:extLst>
                      <c:ext uri="{02D57815-91ED-43cb-92C2-25804820EDAC}">
                        <c15:formulaRef>
                          <c15:sqref>'Dashboard Monthly (2)'!$M$34:$M$37</c15:sqref>
                        </c15:formulaRef>
                      </c:ext>
                    </c:extLst>
                    <c:numCache>
                      <c:formatCode>General</c:formatCode>
                      <c:ptCount val="4"/>
                      <c:pt idx="0">
                        <c:v>2019</c:v>
                      </c:pt>
                      <c:pt idx="1">
                        <c:v>2020</c:v>
                      </c:pt>
                      <c:pt idx="2">
                        <c:v>2021</c:v>
                      </c:pt>
                      <c:pt idx="3">
                        <c:v>2022</c:v>
                      </c:pt>
                    </c:numCache>
                  </c:numRef>
                </c15:cat>
              </c15:filteredCategoryTitle>
            </c:ext>
            <c:ext xmlns:c16="http://schemas.microsoft.com/office/drawing/2014/chart" uri="{C3380CC4-5D6E-409C-BE32-E72D297353CC}">
              <c16:uniqueId val="{00000002-A105-4242-BC6C-6FF64551B90E}"/>
            </c:ext>
          </c:extLst>
        </c:ser>
        <c:dLbls>
          <c:showLegendKey val="0"/>
          <c:showVal val="0"/>
          <c:showCatName val="0"/>
          <c:showSerName val="0"/>
          <c:showPercent val="0"/>
          <c:showBubbleSize val="0"/>
        </c:dLbls>
        <c:gapWidth val="150"/>
        <c:overlap val="100"/>
        <c:axId val="1966781360"/>
        <c:axId val="1966790064"/>
      </c:barChart>
      <c:catAx>
        <c:axId val="196678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90064"/>
        <c:crosses val="autoZero"/>
        <c:auto val="1"/>
        <c:lblAlgn val="ctr"/>
        <c:lblOffset val="100"/>
        <c:noMultiLvlLbl val="0"/>
      </c:catAx>
      <c:valAx>
        <c:axId val="196679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8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Area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Monthly (2)'!$M$41</c:f>
              <c:strCache>
                <c:ptCount val="1"/>
                <c:pt idx="0">
                  <c:v>Total Incident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(2)'!$N$40:$Q$40</c:f>
              <c:strCache>
                <c:ptCount val="4"/>
                <c:pt idx="0">
                  <c:v>Hauling </c:v>
                </c:pt>
                <c:pt idx="1">
                  <c:v>Mining </c:v>
                </c:pt>
                <c:pt idx="2">
                  <c:v>Workshop </c:v>
                </c:pt>
                <c:pt idx="3">
                  <c:v>Mess</c:v>
                </c:pt>
              </c:strCache>
            </c:strRef>
          </c:cat>
          <c:val>
            <c:numRef>
              <c:f>'Dashboard Monthly (2)'!$N$41:$Q$41</c:f>
              <c:numCache>
                <c:formatCode>General</c:formatCode>
                <c:ptCount val="4"/>
                <c:pt idx="0">
                  <c:v>59</c:v>
                </c:pt>
                <c:pt idx="1">
                  <c:v>9</c:v>
                </c:pt>
                <c:pt idx="2">
                  <c:v>4</c:v>
                </c:pt>
                <c:pt idx="3">
                  <c:v>1</c:v>
                </c:pt>
              </c:numCache>
            </c:numRef>
          </c:val>
          <c:extLst>
            <c:ext xmlns:c16="http://schemas.microsoft.com/office/drawing/2014/chart" uri="{C3380CC4-5D6E-409C-BE32-E72D297353CC}">
              <c16:uniqueId val="{00000000-A776-4A91-8FB0-9D9A547CC27A}"/>
            </c:ext>
          </c:extLst>
        </c:ser>
        <c:ser>
          <c:idx val="1"/>
          <c:order val="1"/>
          <c:tx>
            <c:strRef>
              <c:f>'Dashboard Monthly (2)'!$M$42</c:f>
              <c:strCache>
                <c:ptCount val="1"/>
                <c:pt idx="0">
                  <c:v>HPRI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(2)'!$N$40:$Q$40</c:f>
              <c:strCache>
                <c:ptCount val="4"/>
                <c:pt idx="0">
                  <c:v>Hauling </c:v>
                </c:pt>
                <c:pt idx="1">
                  <c:v>Mining </c:v>
                </c:pt>
                <c:pt idx="2">
                  <c:v>Workshop </c:v>
                </c:pt>
                <c:pt idx="3">
                  <c:v>Mess</c:v>
                </c:pt>
              </c:strCache>
            </c:strRef>
          </c:cat>
          <c:val>
            <c:numRef>
              <c:f>'Dashboard Monthly (2)'!$N$42:$Q$42</c:f>
              <c:numCache>
                <c:formatCode>General</c:formatCode>
                <c:ptCount val="4"/>
                <c:pt idx="0">
                  <c:v>29</c:v>
                </c:pt>
                <c:pt idx="1">
                  <c:v>4</c:v>
                </c:pt>
                <c:pt idx="2">
                  <c:v>0</c:v>
                </c:pt>
                <c:pt idx="3">
                  <c:v>1</c:v>
                </c:pt>
              </c:numCache>
            </c:numRef>
          </c:val>
          <c:extLst>
            <c:ext xmlns:c16="http://schemas.microsoft.com/office/drawing/2014/chart" uri="{C3380CC4-5D6E-409C-BE32-E72D297353CC}">
              <c16:uniqueId val="{00000001-A776-4A91-8FB0-9D9A547CC27A}"/>
            </c:ext>
          </c:extLst>
        </c:ser>
        <c:ser>
          <c:idx val="2"/>
          <c:order val="2"/>
          <c:tx>
            <c:strRef>
              <c:f>'Dashboard Monthly (2)'!$M$43</c:f>
              <c:strCache>
                <c:ptCount val="1"/>
                <c:pt idx="0">
                  <c:v>NON HPRI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(2)'!$N$40:$Q$40</c:f>
              <c:strCache>
                <c:ptCount val="4"/>
                <c:pt idx="0">
                  <c:v>Hauling </c:v>
                </c:pt>
                <c:pt idx="1">
                  <c:v>Mining </c:v>
                </c:pt>
                <c:pt idx="2">
                  <c:v>Workshop </c:v>
                </c:pt>
                <c:pt idx="3">
                  <c:v>Mess</c:v>
                </c:pt>
              </c:strCache>
            </c:strRef>
          </c:cat>
          <c:val>
            <c:numRef>
              <c:f>'Dashboard Monthly (2)'!$N$43:$Q$43</c:f>
              <c:numCache>
                <c:formatCode>General</c:formatCode>
                <c:ptCount val="4"/>
                <c:pt idx="0">
                  <c:v>30</c:v>
                </c:pt>
                <c:pt idx="1">
                  <c:v>5</c:v>
                </c:pt>
                <c:pt idx="2">
                  <c:v>4</c:v>
                </c:pt>
                <c:pt idx="3">
                  <c:v>0</c:v>
                </c:pt>
              </c:numCache>
            </c:numRef>
          </c:val>
          <c:extLst>
            <c:ext xmlns:c16="http://schemas.microsoft.com/office/drawing/2014/chart" uri="{C3380CC4-5D6E-409C-BE32-E72D297353CC}">
              <c16:uniqueId val="{00000002-A776-4A91-8FB0-9D9A547CC27A}"/>
            </c:ext>
          </c:extLst>
        </c:ser>
        <c:dLbls>
          <c:dLblPos val="ctr"/>
          <c:showLegendKey val="0"/>
          <c:showVal val="1"/>
          <c:showCatName val="0"/>
          <c:showSerName val="0"/>
          <c:showPercent val="0"/>
          <c:showBubbleSize val="0"/>
        </c:dLbls>
        <c:gapWidth val="150"/>
        <c:overlap val="100"/>
        <c:axId val="1966781904"/>
        <c:axId val="1966782448"/>
      </c:barChart>
      <c:catAx>
        <c:axId val="196678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82448"/>
        <c:crosses val="autoZero"/>
        <c:auto val="1"/>
        <c:lblAlgn val="ctr"/>
        <c:lblOffset val="100"/>
        <c:noMultiLvlLbl val="0"/>
      </c:catAx>
      <c:valAx>
        <c:axId val="196678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78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Penyebab Dasar Insiden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F6-4D80-83F7-8FFA3A279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F6-4D80-83F7-8FFA3A279C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F6-4D80-83F7-8FFA3A279C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Monthly (2)'!$B$60:$B$62</c:f>
              <c:strCache>
                <c:ptCount val="3"/>
                <c:pt idx="0">
                  <c:v>Employee Awareness</c:v>
                </c:pt>
                <c:pt idx="1">
                  <c:v>SOP Compliance</c:v>
                </c:pt>
                <c:pt idx="2">
                  <c:v>Supervisory Skill</c:v>
                </c:pt>
              </c:strCache>
            </c:strRef>
          </c:cat>
          <c:val>
            <c:numRef>
              <c:f>'Dashboard Monthly (2)'!$D$60:$D$62</c:f>
              <c:numCache>
                <c:formatCode>0%</c:formatCode>
                <c:ptCount val="3"/>
                <c:pt idx="0">
                  <c:v>0.8571428571428571</c:v>
                </c:pt>
                <c:pt idx="1">
                  <c:v>0</c:v>
                </c:pt>
                <c:pt idx="2">
                  <c:v>0.14285714285714285</c:v>
                </c:pt>
              </c:numCache>
            </c:numRef>
          </c:val>
          <c:extLst>
            <c:ext xmlns:c16="http://schemas.microsoft.com/office/drawing/2014/chart" uri="{C3380CC4-5D6E-409C-BE32-E72D297353CC}">
              <c16:uniqueId val="{00000006-DFF6-4D80-83F7-8FFA3A279CC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Monthly (2)'!$D$86</c:f>
              <c:strCache>
                <c:ptCount val="1"/>
                <c:pt idx="0">
                  <c:v>YTD Okt 2021</c:v>
                </c:pt>
              </c:strCache>
            </c:strRef>
          </c:tx>
          <c:spPr>
            <a:solidFill>
              <a:schemeClr val="accent1"/>
            </a:solidFill>
            <a:ln>
              <a:noFill/>
            </a:ln>
            <a:effectLst/>
          </c:spPr>
          <c:invertIfNegative val="0"/>
          <c:cat>
            <c:strRef>
              <c:f>'Dashboard Monthly (2)'!$C$87:$C$88</c:f>
              <c:strCache>
                <c:ptCount val="2"/>
                <c:pt idx="0">
                  <c:v>MP </c:v>
                </c:pt>
                <c:pt idx="1">
                  <c:v>Populasi alat </c:v>
                </c:pt>
              </c:strCache>
            </c:strRef>
          </c:cat>
          <c:val>
            <c:numRef>
              <c:f>'Dashboard Monthly (2)'!$D$87:$D$88</c:f>
              <c:numCache>
                <c:formatCode>General</c:formatCode>
                <c:ptCount val="2"/>
                <c:pt idx="0">
                  <c:v>931</c:v>
                </c:pt>
                <c:pt idx="1">
                  <c:v>293</c:v>
                </c:pt>
              </c:numCache>
            </c:numRef>
          </c:val>
          <c:extLst>
            <c:ext xmlns:c16="http://schemas.microsoft.com/office/drawing/2014/chart" uri="{C3380CC4-5D6E-409C-BE32-E72D297353CC}">
              <c16:uniqueId val="{00000000-7FAB-4863-8AE2-24AF691AFBE7}"/>
            </c:ext>
          </c:extLst>
        </c:ser>
        <c:ser>
          <c:idx val="1"/>
          <c:order val="1"/>
          <c:tx>
            <c:strRef>
              <c:f>'Dashboard Monthly (2)'!$E$86</c:f>
              <c:strCache>
                <c:ptCount val="1"/>
                <c:pt idx="0">
                  <c:v>YTD Okt 2022 </c:v>
                </c:pt>
              </c:strCache>
            </c:strRef>
          </c:tx>
          <c:spPr>
            <a:solidFill>
              <a:schemeClr val="accent2"/>
            </a:solidFill>
            <a:ln>
              <a:noFill/>
            </a:ln>
            <a:effectLst/>
          </c:spPr>
          <c:invertIfNegative val="0"/>
          <c:cat>
            <c:strRef>
              <c:f>'Dashboard Monthly (2)'!$C$87:$C$88</c:f>
              <c:strCache>
                <c:ptCount val="2"/>
                <c:pt idx="0">
                  <c:v>MP </c:v>
                </c:pt>
                <c:pt idx="1">
                  <c:v>Populasi alat </c:v>
                </c:pt>
              </c:strCache>
            </c:strRef>
          </c:cat>
          <c:val>
            <c:numRef>
              <c:f>'Dashboard Monthly (2)'!$E$87:$E$88</c:f>
              <c:numCache>
                <c:formatCode>General</c:formatCode>
                <c:ptCount val="2"/>
                <c:pt idx="0">
                  <c:v>1810</c:v>
                </c:pt>
                <c:pt idx="1">
                  <c:v>308</c:v>
                </c:pt>
              </c:numCache>
            </c:numRef>
          </c:val>
          <c:extLst>
            <c:ext xmlns:c16="http://schemas.microsoft.com/office/drawing/2014/chart" uri="{C3380CC4-5D6E-409C-BE32-E72D297353CC}">
              <c16:uniqueId val="{00000001-7FAB-4863-8AE2-24AF691AFBE7}"/>
            </c:ext>
          </c:extLst>
        </c:ser>
        <c:dLbls>
          <c:showLegendKey val="0"/>
          <c:showVal val="0"/>
          <c:showCatName val="0"/>
          <c:showSerName val="0"/>
          <c:showPercent val="0"/>
          <c:showBubbleSize val="0"/>
        </c:dLbls>
        <c:gapWidth val="219"/>
        <c:overlap val="-27"/>
        <c:axId val="1966558928"/>
        <c:axId val="1966556208"/>
      </c:barChart>
      <c:catAx>
        <c:axId val="196655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6208"/>
        <c:crosses val="autoZero"/>
        <c:auto val="1"/>
        <c:lblAlgn val="ctr"/>
        <c:lblOffset val="100"/>
        <c:noMultiLvlLbl val="0"/>
      </c:catAx>
      <c:valAx>
        <c:axId val="196655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 Monthly (2)'!$C$87</c:f>
              <c:strCache>
                <c:ptCount val="1"/>
                <c:pt idx="0">
                  <c:v>MP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(2)'!$D$86:$E$86</c:f>
              <c:strCache>
                <c:ptCount val="2"/>
                <c:pt idx="0">
                  <c:v>YTD Okt 2021</c:v>
                </c:pt>
                <c:pt idx="1">
                  <c:v>YTD Okt 2022 </c:v>
                </c:pt>
              </c:strCache>
            </c:strRef>
          </c:cat>
          <c:val>
            <c:numRef>
              <c:f>'Dashboard Monthly (2)'!$D$87:$E$87</c:f>
              <c:numCache>
                <c:formatCode>General</c:formatCode>
                <c:ptCount val="2"/>
                <c:pt idx="0">
                  <c:v>931</c:v>
                </c:pt>
                <c:pt idx="1">
                  <c:v>1810</c:v>
                </c:pt>
              </c:numCache>
            </c:numRef>
          </c:val>
          <c:extLst>
            <c:ext xmlns:c16="http://schemas.microsoft.com/office/drawing/2014/chart" uri="{C3380CC4-5D6E-409C-BE32-E72D297353CC}">
              <c16:uniqueId val="{00000000-EFC0-4FEC-9E85-004036E78B7C}"/>
            </c:ext>
          </c:extLst>
        </c:ser>
        <c:ser>
          <c:idx val="1"/>
          <c:order val="1"/>
          <c:tx>
            <c:strRef>
              <c:f>'Dashboard Monthly (2)'!$C$88</c:f>
              <c:strCache>
                <c:ptCount val="1"/>
                <c:pt idx="0">
                  <c:v>Populasi alat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(2)'!$D$86:$E$86</c:f>
              <c:strCache>
                <c:ptCount val="2"/>
                <c:pt idx="0">
                  <c:v>YTD Okt 2021</c:v>
                </c:pt>
                <c:pt idx="1">
                  <c:v>YTD Okt 2022 </c:v>
                </c:pt>
              </c:strCache>
            </c:strRef>
          </c:cat>
          <c:val>
            <c:numRef>
              <c:f>'Dashboard Monthly (2)'!$D$88:$E$88</c:f>
              <c:numCache>
                <c:formatCode>General</c:formatCode>
                <c:ptCount val="2"/>
                <c:pt idx="0">
                  <c:v>293</c:v>
                </c:pt>
                <c:pt idx="1">
                  <c:v>308</c:v>
                </c:pt>
              </c:numCache>
            </c:numRef>
          </c:val>
          <c:extLst>
            <c:ext xmlns:c16="http://schemas.microsoft.com/office/drawing/2014/chart" uri="{C3380CC4-5D6E-409C-BE32-E72D297353CC}">
              <c16:uniqueId val="{00000001-EFC0-4FEC-9E85-004036E78B7C}"/>
            </c:ext>
          </c:extLst>
        </c:ser>
        <c:dLbls>
          <c:showLegendKey val="0"/>
          <c:showVal val="0"/>
          <c:showCatName val="0"/>
          <c:showSerName val="0"/>
          <c:showPercent val="0"/>
          <c:showBubbleSize val="0"/>
        </c:dLbls>
        <c:gapWidth val="182"/>
        <c:axId val="1966562736"/>
        <c:axId val="1966563280"/>
      </c:barChart>
      <c:catAx>
        <c:axId val="196656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3280"/>
        <c:crosses val="autoZero"/>
        <c:auto val="1"/>
        <c:lblAlgn val="ctr"/>
        <c:lblOffset val="100"/>
        <c:noMultiLvlLbl val="0"/>
      </c:catAx>
      <c:valAx>
        <c:axId val="1966563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'Dashboard Monthly (2)'!$C$91</c:f>
              <c:strCache>
                <c:ptCount val="1"/>
                <c:pt idx="0">
                  <c:v>YTD Sep 2021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(2)'!$D$90:$E$90</c:f>
              <c:strCache>
                <c:ptCount val="2"/>
                <c:pt idx="0">
                  <c:v>MP </c:v>
                </c:pt>
                <c:pt idx="1">
                  <c:v>Populasi alat </c:v>
                </c:pt>
              </c:strCache>
            </c:strRef>
          </c:cat>
          <c:val>
            <c:numRef>
              <c:f>'Dashboard Monthly (2)'!$D$91:$E$91</c:f>
              <c:numCache>
                <c:formatCode>General</c:formatCode>
                <c:ptCount val="2"/>
                <c:pt idx="0">
                  <c:v>970</c:v>
                </c:pt>
                <c:pt idx="1">
                  <c:v>293</c:v>
                </c:pt>
              </c:numCache>
            </c:numRef>
          </c:val>
          <c:extLst>
            <c:ext xmlns:c16="http://schemas.microsoft.com/office/drawing/2014/chart" uri="{C3380CC4-5D6E-409C-BE32-E72D297353CC}">
              <c16:uniqueId val="{00000000-D975-4997-86ED-0148BE9CAC75}"/>
            </c:ext>
          </c:extLst>
        </c:ser>
        <c:ser>
          <c:idx val="1"/>
          <c:order val="1"/>
          <c:tx>
            <c:strRef>
              <c:f>'Dashboard Monthly (2)'!$C$92</c:f>
              <c:strCache>
                <c:ptCount val="1"/>
                <c:pt idx="0">
                  <c:v>YTD Sep 2022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 (2)'!$D$90:$E$90</c:f>
              <c:strCache>
                <c:ptCount val="2"/>
                <c:pt idx="0">
                  <c:v>MP </c:v>
                </c:pt>
                <c:pt idx="1">
                  <c:v>Populasi alat </c:v>
                </c:pt>
              </c:strCache>
            </c:strRef>
          </c:cat>
          <c:val>
            <c:numRef>
              <c:f>'Dashboard Monthly (2)'!$D$92:$E$92</c:f>
              <c:numCache>
                <c:formatCode>General</c:formatCode>
                <c:ptCount val="2"/>
                <c:pt idx="0">
                  <c:v>1809</c:v>
                </c:pt>
                <c:pt idx="1">
                  <c:v>350</c:v>
                </c:pt>
              </c:numCache>
            </c:numRef>
          </c:val>
          <c:extLst>
            <c:ext xmlns:c16="http://schemas.microsoft.com/office/drawing/2014/chart" uri="{C3380CC4-5D6E-409C-BE32-E72D297353CC}">
              <c16:uniqueId val="{00000001-D975-4997-86ED-0148BE9CAC75}"/>
            </c:ext>
          </c:extLst>
        </c:ser>
        <c:dLbls>
          <c:showLegendKey val="0"/>
          <c:showVal val="0"/>
          <c:showCatName val="0"/>
          <c:showSerName val="0"/>
          <c:showPercent val="0"/>
          <c:showBubbleSize val="0"/>
        </c:dLbls>
        <c:gapWidth val="182"/>
        <c:axId val="1966563824"/>
        <c:axId val="1966540896"/>
      </c:barChart>
      <c:catAx>
        <c:axId val="196656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40896"/>
        <c:crosses val="autoZero"/>
        <c:auto val="1"/>
        <c:lblAlgn val="ctr"/>
        <c:lblOffset val="100"/>
        <c:noMultiLvlLbl val="0"/>
      </c:catAx>
      <c:valAx>
        <c:axId val="1966540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'Dashboard Monthly (2)'!$N$33</c:f>
              <c:strCache>
                <c:ptCount val="1"/>
                <c:pt idx="0">
                  <c:v>Total Incident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 (2)'!$M$34:$M$37</c:f>
              <c:numCache>
                <c:formatCode>General</c:formatCode>
                <c:ptCount val="4"/>
                <c:pt idx="0">
                  <c:v>2019</c:v>
                </c:pt>
                <c:pt idx="1">
                  <c:v>2020</c:v>
                </c:pt>
                <c:pt idx="2">
                  <c:v>2021</c:v>
                </c:pt>
                <c:pt idx="3">
                  <c:v>2022</c:v>
                </c:pt>
              </c:numCache>
            </c:numRef>
          </c:cat>
          <c:val>
            <c:numRef>
              <c:f>'Dashboard Monthly (2)'!$N$34:$N$37</c:f>
              <c:numCache>
                <c:formatCode>General</c:formatCode>
                <c:ptCount val="4"/>
                <c:pt idx="0">
                  <c:v>5</c:v>
                </c:pt>
                <c:pt idx="1">
                  <c:v>28</c:v>
                </c:pt>
                <c:pt idx="2">
                  <c:v>48</c:v>
                </c:pt>
                <c:pt idx="3">
                  <c:v>73</c:v>
                </c:pt>
              </c:numCache>
            </c:numRef>
          </c:val>
          <c:extLst>
            <c:ext xmlns:c16="http://schemas.microsoft.com/office/drawing/2014/chart" uri="{C3380CC4-5D6E-409C-BE32-E72D297353CC}">
              <c16:uniqueId val="{00000000-F02F-4503-B3F8-C57449CFE3CD}"/>
            </c:ext>
          </c:extLst>
        </c:ser>
        <c:ser>
          <c:idx val="1"/>
          <c:order val="1"/>
          <c:tx>
            <c:strRef>
              <c:f>'Dashboard Monthly (2)'!$O$33</c:f>
              <c:strCache>
                <c:ptCount val="1"/>
                <c:pt idx="0">
                  <c:v>HPRI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 (2)'!$M$34:$M$37</c:f>
              <c:numCache>
                <c:formatCode>General</c:formatCode>
                <c:ptCount val="4"/>
                <c:pt idx="0">
                  <c:v>2019</c:v>
                </c:pt>
                <c:pt idx="1">
                  <c:v>2020</c:v>
                </c:pt>
                <c:pt idx="2">
                  <c:v>2021</c:v>
                </c:pt>
                <c:pt idx="3">
                  <c:v>2022</c:v>
                </c:pt>
              </c:numCache>
            </c:numRef>
          </c:cat>
          <c:val>
            <c:numRef>
              <c:f>'Dashboard Monthly (2)'!$O$34:$O$37</c:f>
              <c:numCache>
                <c:formatCode>General</c:formatCode>
                <c:ptCount val="4"/>
                <c:pt idx="0">
                  <c:v>2</c:v>
                </c:pt>
                <c:pt idx="1">
                  <c:v>13</c:v>
                </c:pt>
                <c:pt idx="2">
                  <c:v>11</c:v>
                </c:pt>
                <c:pt idx="3">
                  <c:v>34</c:v>
                </c:pt>
              </c:numCache>
            </c:numRef>
          </c:val>
          <c:extLst>
            <c:ext xmlns:c16="http://schemas.microsoft.com/office/drawing/2014/chart" uri="{C3380CC4-5D6E-409C-BE32-E72D297353CC}">
              <c16:uniqueId val="{00000001-F02F-4503-B3F8-C57449CFE3CD}"/>
            </c:ext>
          </c:extLst>
        </c:ser>
        <c:ser>
          <c:idx val="2"/>
          <c:order val="2"/>
          <c:tx>
            <c:strRef>
              <c:f>'Dashboard Monthly (2)'!$P$33</c:f>
              <c:strCache>
                <c:ptCount val="1"/>
                <c:pt idx="0">
                  <c:v>NON HPRI</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 (2)'!$M$34:$M$37</c:f>
              <c:numCache>
                <c:formatCode>General</c:formatCode>
                <c:ptCount val="4"/>
                <c:pt idx="0">
                  <c:v>2019</c:v>
                </c:pt>
                <c:pt idx="1">
                  <c:v>2020</c:v>
                </c:pt>
                <c:pt idx="2">
                  <c:v>2021</c:v>
                </c:pt>
                <c:pt idx="3">
                  <c:v>2022</c:v>
                </c:pt>
              </c:numCache>
            </c:numRef>
          </c:cat>
          <c:val>
            <c:numRef>
              <c:f>'Dashboard Monthly (2)'!$P$34:$P$37</c:f>
              <c:numCache>
                <c:formatCode>General</c:formatCode>
                <c:ptCount val="4"/>
                <c:pt idx="0">
                  <c:v>3</c:v>
                </c:pt>
                <c:pt idx="1">
                  <c:v>15</c:v>
                </c:pt>
                <c:pt idx="2">
                  <c:v>37</c:v>
                </c:pt>
                <c:pt idx="3">
                  <c:v>39</c:v>
                </c:pt>
              </c:numCache>
            </c:numRef>
          </c:val>
          <c:extLst>
            <c:ext xmlns:c16="http://schemas.microsoft.com/office/drawing/2014/chart" uri="{C3380CC4-5D6E-409C-BE32-E72D297353CC}">
              <c16:uniqueId val="{00000002-F02F-4503-B3F8-C57449CFE3CD}"/>
            </c:ext>
          </c:extLst>
        </c:ser>
        <c:dLbls>
          <c:showLegendKey val="0"/>
          <c:showVal val="0"/>
          <c:showCatName val="0"/>
          <c:showSerName val="0"/>
          <c:showPercent val="0"/>
          <c:showBubbleSize val="0"/>
        </c:dLbls>
        <c:gapWidth val="150"/>
        <c:overlap val="100"/>
        <c:axId val="1223506608"/>
        <c:axId val="1223507024"/>
      </c:barChart>
      <c:catAx>
        <c:axId val="122350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7024"/>
        <c:crosses val="autoZero"/>
        <c:auto val="1"/>
        <c:lblAlgn val="ctr"/>
        <c:lblOffset val="100"/>
        <c:noMultiLvlLbl val="0"/>
      </c:catAx>
      <c:valAx>
        <c:axId val="1223507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SHE Legal</a:t>
            </a:r>
            <a:r>
              <a:rPr lang="en-US" baseline="0"/>
              <a:t> YTD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76-4378-87FB-7140EDEF5F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76-4378-87FB-7140EDEF5F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Monthly'!$B$17:$B$18</c:f>
              <c:strCache>
                <c:ptCount val="2"/>
                <c:pt idx="0">
                  <c:v>Patuh </c:v>
                </c:pt>
                <c:pt idx="1">
                  <c:v>Tidak Patuh </c:v>
                </c:pt>
              </c:strCache>
            </c:strRef>
          </c:cat>
          <c:val>
            <c:numRef>
              <c:f>'Dashboard Monthly'!$C$17:$C$18</c:f>
              <c:numCache>
                <c:formatCode>0%</c:formatCode>
                <c:ptCount val="2"/>
                <c:pt idx="0">
                  <c:v>0.97</c:v>
                </c:pt>
                <c:pt idx="1">
                  <c:v>0.05</c:v>
                </c:pt>
              </c:numCache>
            </c:numRef>
          </c:val>
          <c:extLst>
            <c:ext xmlns:c16="http://schemas.microsoft.com/office/drawing/2014/chart" uri="{C3380CC4-5D6E-409C-BE32-E72D297353CC}">
              <c16:uniqueId val="{00000004-AF76-4378-87FB-7140EDEF5FB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Audit SMKP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91-44F8-90AD-52452A67D1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91-44F8-90AD-52452A67D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Monthly'!$E$17:$E$18</c:f>
              <c:strCache>
                <c:ptCount val="2"/>
                <c:pt idx="0">
                  <c:v>Patuh </c:v>
                </c:pt>
                <c:pt idx="1">
                  <c:v>Tidak Patuh </c:v>
                </c:pt>
              </c:strCache>
            </c:strRef>
          </c:cat>
          <c:val>
            <c:numRef>
              <c:f>'Dashboard Monthly'!$F$17:$F$18</c:f>
              <c:numCache>
                <c:formatCode>0%</c:formatCode>
                <c:ptCount val="2"/>
                <c:pt idx="0">
                  <c:v>0.65</c:v>
                </c:pt>
                <c:pt idx="1">
                  <c:v>0.35</c:v>
                </c:pt>
              </c:numCache>
            </c:numRef>
          </c:val>
          <c:extLst>
            <c:ext xmlns:c16="http://schemas.microsoft.com/office/drawing/2014/chart" uri="{C3380CC4-5D6E-409C-BE32-E72D297353CC}">
              <c16:uniqueId val="{00000004-7D91-44F8-90AD-52452A67D1F5}"/>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SAP YTD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Monthly'!$I$17:$I$19</c:f>
              <c:strCache>
                <c:ptCount val="3"/>
                <c:pt idx="0">
                  <c:v>Observasi </c:v>
                </c:pt>
                <c:pt idx="1">
                  <c:v>Hazard </c:v>
                </c:pt>
                <c:pt idx="2">
                  <c:v>Inspeksi</c:v>
                </c:pt>
              </c:strCache>
            </c:strRef>
          </c:cat>
          <c:val>
            <c:numRef>
              <c:f>'Dashboard Monthly'!$J$17:$J$19</c:f>
              <c:numCache>
                <c:formatCode>0%</c:formatCode>
                <c:ptCount val="3"/>
                <c:pt idx="0">
                  <c:v>0.88</c:v>
                </c:pt>
                <c:pt idx="1">
                  <c:v>0.74</c:v>
                </c:pt>
                <c:pt idx="2">
                  <c:v>0.98</c:v>
                </c:pt>
              </c:numCache>
            </c:numRef>
          </c:val>
          <c:extLst>
            <c:ext xmlns:c16="http://schemas.microsoft.com/office/drawing/2014/chart" uri="{C3380CC4-5D6E-409C-BE32-E72D297353CC}">
              <c16:uniqueId val="{00000000-D4F8-4D5F-84C2-4384567762F9}"/>
            </c:ext>
          </c:extLst>
        </c:ser>
        <c:dLbls>
          <c:showLegendKey val="0"/>
          <c:showVal val="0"/>
          <c:showCatName val="0"/>
          <c:showSerName val="0"/>
          <c:showPercent val="0"/>
          <c:showBubbleSize val="0"/>
        </c:dLbls>
        <c:gapWidth val="219"/>
        <c:overlap val="-27"/>
        <c:axId val="1965769664"/>
        <c:axId val="1965770208"/>
      </c:barChart>
      <c:catAx>
        <c:axId val="19657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70208"/>
        <c:crosses val="autoZero"/>
        <c:auto val="1"/>
        <c:lblAlgn val="ctr"/>
        <c:lblOffset val="100"/>
        <c:noMultiLvlLbl val="0"/>
      </c:catAx>
      <c:valAx>
        <c:axId val="1965770208"/>
        <c:scaling>
          <c:orientation val="minMax"/>
        </c:scaling>
        <c:delete val="1"/>
        <c:axPos val="l"/>
        <c:numFmt formatCode="0%" sourceLinked="1"/>
        <c:majorTickMark val="none"/>
        <c:minorTickMark val="none"/>
        <c:tickLblPos val="nextTo"/>
        <c:crossAx val="1965769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Monthly'!$E$33:$F$33</c:f>
              <c:strCache>
                <c:ptCount val="2"/>
                <c:pt idx="0">
                  <c:v>Jul-21</c:v>
                </c:pt>
                <c:pt idx="1">
                  <c:v>Jul-22</c:v>
                </c:pt>
              </c:strCache>
            </c:strRef>
          </c:cat>
          <c:val>
            <c:numRef>
              <c:f>'Dashboard Monthly'!$E$38:$F$38</c:f>
              <c:numCache>
                <c:formatCode>General</c:formatCode>
                <c:ptCount val="2"/>
                <c:pt idx="0">
                  <c:v>0</c:v>
                </c:pt>
                <c:pt idx="1">
                  <c:v>0</c:v>
                </c:pt>
              </c:numCache>
            </c:numRef>
          </c:val>
          <c:extLst>
            <c:ext xmlns:c16="http://schemas.microsoft.com/office/drawing/2014/chart" uri="{C3380CC4-5D6E-409C-BE32-E72D297353CC}">
              <c16:uniqueId val="{00000000-1637-409D-A0C2-B5F87CE7A208}"/>
            </c:ext>
          </c:extLst>
        </c:ser>
        <c:dLbls>
          <c:showLegendKey val="0"/>
          <c:showVal val="0"/>
          <c:showCatName val="0"/>
          <c:showSerName val="0"/>
          <c:showPercent val="0"/>
          <c:showBubbleSize val="0"/>
        </c:dLbls>
        <c:gapWidth val="219"/>
        <c:overlap val="-27"/>
        <c:axId val="1965770752"/>
        <c:axId val="1965780000"/>
      </c:barChart>
      <c:catAx>
        <c:axId val="196577075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80000"/>
        <c:crosses val="autoZero"/>
        <c:auto val="1"/>
        <c:lblAlgn val="ctr"/>
        <c:lblOffset val="100"/>
        <c:noMultiLvlLbl val="1"/>
      </c:catAx>
      <c:valAx>
        <c:axId val="1965780000"/>
        <c:scaling>
          <c:orientation val="minMax"/>
        </c:scaling>
        <c:delete val="1"/>
        <c:axPos val="l"/>
        <c:numFmt formatCode="General" sourceLinked="1"/>
        <c:majorTickMark val="none"/>
        <c:minorTickMark val="none"/>
        <c:tickLblPos val="nextTo"/>
        <c:crossAx val="196577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Monthly'!$E$33:$F$33</c:f>
              <c:strCache>
                <c:ptCount val="2"/>
                <c:pt idx="0">
                  <c:v>Jul-21</c:v>
                </c:pt>
                <c:pt idx="1">
                  <c:v>Jul-22</c:v>
                </c:pt>
              </c:strCache>
            </c:strRef>
          </c:cat>
          <c:val>
            <c:numRef>
              <c:f>'Dashboard Monthly'!$E$40:$F$40</c:f>
              <c:numCache>
                <c:formatCode>General</c:formatCode>
                <c:ptCount val="2"/>
                <c:pt idx="0">
                  <c:v>28</c:v>
                </c:pt>
                <c:pt idx="1">
                  <c:v>28</c:v>
                </c:pt>
              </c:numCache>
            </c:numRef>
          </c:val>
          <c:extLst>
            <c:ext xmlns:c16="http://schemas.microsoft.com/office/drawing/2014/chart" uri="{C3380CC4-5D6E-409C-BE32-E72D297353CC}">
              <c16:uniqueId val="{00000000-E2E2-4112-89C6-8E7EE50DEC5B}"/>
            </c:ext>
          </c:extLst>
        </c:ser>
        <c:dLbls>
          <c:showLegendKey val="0"/>
          <c:showVal val="0"/>
          <c:showCatName val="0"/>
          <c:showSerName val="0"/>
          <c:showPercent val="0"/>
          <c:showBubbleSize val="0"/>
        </c:dLbls>
        <c:gapWidth val="219"/>
        <c:overlap val="-27"/>
        <c:axId val="1965777280"/>
        <c:axId val="1965768032"/>
      </c:barChart>
      <c:catAx>
        <c:axId val="196577728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68032"/>
        <c:crosses val="autoZero"/>
        <c:auto val="1"/>
        <c:lblAlgn val="ctr"/>
        <c:lblOffset val="100"/>
        <c:noMultiLvlLbl val="1"/>
      </c:catAx>
      <c:valAx>
        <c:axId val="1965768032"/>
        <c:scaling>
          <c:orientation val="minMax"/>
        </c:scaling>
        <c:delete val="1"/>
        <c:axPos val="l"/>
        <c:numFmt formatCode="General" sourceLinked="1"/>
        <c:majorTickMark val="none"/>
        <c:minorTickMark val="none"/>
        <c:tickLblPos val="nextTo"/>
        <c:crossAx val="1965777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FD-41A1-A6AD-E64B420D503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92-45F6-BC97-FEABDF54924E}"/>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Monthly'!$E$33:$F$33</c:f>
              <c:strCache>
                <c:ptCount val="2"/>
                <c:pt idx="0">
                  <c:v>Jul-21</c:v>
                </c:pt>
                <c:pt idx="1">
                  <c:v>Jul-22</c:v>
                </c:pt>
              </c:strCache>
            </c:strRef>
          </c:cat>
          <c:val>
            <c:numRef>
              <c:f>'Dashboard Monthly'!$E$43:$F$43</c:f>
              <c:numCache>
                <c:formatCode>General</c:formatCode>
                <c:ptCount val="2"/>
                <c:pt idx="0">
                  <c:v>22</c:v>
                </c:pt>
                <c:pt idx="1">
                  <c:v>22</c:v>
                </c:pt>
              </c:numCache>
            </c:numRef>
          </c:val>
          <c:extLst>
            <c:ext xmlns:c16="http://schemas.microsoft.com/office/drawing/2014/chart" uri="{C3380CC4-5D6E-409C-BE32-E72D297353CC}">
              <c16:uniqueId val="{00000001-9B92-45F6-BC97-FEABDF54924E}"/>
            </c:ext>
          </c:extLst>
        </c:ser>
        <c:dLbls>
          <c:showLegendKey val="0"/>
          <c:showVal val="0"/>
          <c:showCatName val="0"/>
          <c:showSerName val="0"/>
          <c:showPercent val="0"/>
          <c:showBubbleSize val="0"/>
        </c:dLbls>
        <c:gapWidth val="219"/>
        <c:overlap val="-27"/>
        <c:axId val="1965771296"/>
        <c:axId val="1965768576"/>
      </c:barChart>
      <c:catAx>
        <c:axId val="196577129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68576"/>
        <c:crosses val="autoZero"/>
        <c:auto val="1"/>
        <c:lblAlgn val="ctr"/>
        <c:lblOffset val="100"/>
        <c:noMultiLvlLbl val="1"/>
      </c:catAx>
      <c:valAx>
        <c:axId val="1965768576"/>
        <c:scaling>
          <c:orientation val="minMax"/>
        </c:scaling>
        <c:delete val="1"/>
        <c:axPos val="l"/>
        <c:numFmt formatCode="General" sourceLinked="1"/>
        <c:majorTickMark val="none"/>
        <c:minorTickMark val="none"/>
        <c:tickLblPos val="nextTo"/>
        <c:crossAx val="196577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r>
              <a:rPr lang="en-ID"/>
              <a:t>Long Term Insiden</a:t>
            </a:r>
          </a:p>
        </c:rich>
      </c:tx>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'Dashboard Monthly'!$H$33</c:f>
              <c:strCache>
                <c:ptCount val="1"/>
                <c:pt idx="0">
                  <c:v>2019</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Monthly'!$B$36:$B$43</c:f>
              <c:strCache>
                <c:ptCount val="8"/>
                <c:pt idx="0">
                  <c:v>Fatality </c:v>
                </c:pt>
                <c:pt idx="1">
                  <c:v>LTI</c:v>
                </c:pt>
                <c:pt idx="2">
                  <c:v>FA</c:v>
                </c:pt>
                <c:pt idx="3">
                  <c:v>MTI</c:v>
                </c:pt>
                <c:pt idx="4">
                  <c:v>PD</c:v>
                </c:pt>
                <c:pt idx="5">
                  <c:v>FC</c:v>
                </c:pt>
                <c:pt idx="6">
                  <c:v>EI</c:v>
                </c:pt>
                <c:pt idx="7">
                  <c:v>NM</c:v>
                </c:pt>
              </c:strCache>
            </c:strRef>
          </c:cat>
          <c:val>
            <c:numRef>
              <c:f>'Dashboard Monthly'!$H$36:$H$43</c:f>
              <c:numCache>
                <c:formatCode>General</c:formatCode>
                <c:ptCount val="8"/>
                <c:pt idx="0">
                  <c:v>0</c:v>
                </c:pt>
                <c:pt idx="1">
                  <c:v>0</c:v>
                </c:pt>
                <c:pt idx="2">
                  <c:v>1</c:v>
                </c:pt>
                <c:pt idx="3">
                  <c:v>0</c:v>
                </c:pt>
                <c:pt idx="4">
                  <c:v>4</c:v>
                </c:pt>
                <c:pt idx="5">
                  <c:v>0</c:v>
                </c:pt>
                <c:pt idx="6">
                  <c:v>0</c:v>
                </c:pt>
                <c:pt idx="7">
                  <c:v>0</c:v>
                </c:pt>
              </c:numCache>
            </c:numRef>
          </c:val>
          <c:extLst>
            <c:ext xmlns:c16="http://schemas.microsoft.com/office/drawing/2014/chart" uri="{C3380CC4-5D6E-409C-BE32-E72D297353CC}">
              <c16:uniqueId val="{00000000-40CE-4C0C-8506-D2BE04EF01AE}"/>
            </c:ext>
          </c:extLst>
        </c:ser>
        <c:ser>
          <c:idx val="1"/>
          <c:order val="1"/>
          <c:tx>
            <c:strRef>
              <c:f>'Dashboard Monthly'!$I$33</c:f>
              <c:strCache>
                <c:ptCount val="1"/>
                <c:pt idx="0">
                  <c:v>2020</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Monthly'!$B$36:$B$43</c:f>
              <c:strCache>
                <c:ptCount val="8"/>
                <c:pt idx="0">
                  <c:v>Fatality </c:v>
                </c:pt>
                <c:pt idx="1">
                  <c:v>LTI</c:v>
                </c:pt>
                <c:pt idx="2">
                  <c:v>FA</c:v>
                </c:pt>
                <c:pt idx="3">
                  <c:v>MTI</c:v>
                </c:pt>
                <c:pt idx="4">
                  <c:v>PD</c:v>
                </c:pt>
                <c:pt idx="5">
                  <c:v>FC</c:v>
                </c:pt>
                <c:pt idx="6">
                  <c:v>EI</c:v>
                </c:pt>
                <c:pt idx="7">
                  <c:v>NM</c:v>
                </c:pt>
              </c:strCache>
            </c:strRef>
          </c:cat>
          <c:val>
            <c:numRef>
              <c:f>'Dashboard Monthly'!$I$36:$I$43</c:f>
              <c:numCache>
                <c:formatCode>General</c:formatCode>
                <c:ptCount val="8"/>
                <c:pt idx="0">
                  <c:v>0</c:v>
                </c:pt>
                <c:pt idx="1">
                  <c:v>1</c:v>
                </c:pt>
                <c:pt idx="2">
                  <c:v>9</c:v>
                </c:pt>
                <c:pt idx="3">
                  <c:v>0</c:v>
                </c:pt>
                <c:pt idx="4">
                  <c:v>15</c:v>
                </c:pt>
                <c:pt idx="5">
                  <c:v>0</c:v>
                </c:pt>
                <c:pt idx="6">
                  <c:v>0</c:v>
                </c:pt>
                <c:pt idx="7">
                  <c:v>3</c:v>
                </c:pt>
              </c:numCache>
            </c:numRef>
          </c:val>
          <c:extLst>
            <c:ext xmlns:c16="http://schemas.microsoft.com/office/drawing/2014/chart" uri="{C3380CC4-5D6E-409C-BE32-E72D297353CC}">
              <c16:uniqueId val="{00000001-40CE-4C0C-8506-D2BE04EF01AE}"/>
            </c:ext>
          </c:extLst>
        </c:ser>
        <c:ser>
          <c:idx val="2"/>
          <c:order val="2"/>
          <c:tx>
            <c:strRef>
              <c:f>'Dashboard Monthly'!$J$33</c:f>
              <c:strCache>
                <c:ptCount val="1"/>
                <c:pt idx="0">
                  <c:v>2021</c:v>
                </c:pt>
              </c:strCache>
            </c:strRef>
          </c:tx>
          <c:spPr>
            <a:solidFill>
              <a:schemeClr val="accent3"/>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Monthly'!$B$36:$B$43</c:f>
              <c:strCache>
                <c:ptCount val="8"/>
                <c:pt idx="0">
                  <c:v>Fatality </c:v>
                </c:pt>
                <c:pt idx="1">
                  <c:v>LTI</c:v>
                </c:pt>
                <c:pt idx="2">
                  <c:v>FA</c:v>
                </c:pt>
                <c:pt idx="3">
                  <c:v>MTI</c:v>
                </c:pt>
                <c:pt idx="4">
                  <c:v>PD</c:v>
                </c:pt>
                <c:pt idx="5">
                  <c:v>FC</c:v>
                </c:pt>
                <c:pt idx="6">
                  <c:v>EI</c:v>
                </c:pt>
                <c:pt idx="7">
                  <c:v>NM</c:v>
                </c:pt>
              </c:strCache>
            </c:strRef>
          </c:cat>
          <c:val>
            <c:numRef>
              <c:f>'Dashboard Monthly'!$J$36:$J$43</c:f>
              <c:numCache>
                <c:formatCode>General</c:formatCode>
                <c:ptCount val="8"/>
                <c:pt idx="0">
                  <c:v>1</c:v>
                </c:pt>
                <c:pt idx="1">
                  <c:v>1</c:v>
                </c:pt>
                <c:pt idx="2">
                  <c:v>5</c:v>
                </c:pt>
                <c:pt idx="3">
                  <c:v>0</c:v>
                </c:pt>
                <c:pt idx="4">
                  <c:v>25</c:v>
                </c:pt>
                <c:pt idx="5">
                  <c:v>0</c:v>
                </c:pt>
                <c:pt idx="6">
                  <c:v>2</c:v>
                </c:pt>
                <c:pt idx="7">
                  <c:v>14</c:v>
                </c:pt>
              </c:numCache>
            </c:numRef>
          </c:val>
          <c:extLst>
            <c:ext xmlns:c16="http://schemas.microsoft.com/office/drawing/2014/chart" uri="{C3380CC4-5D6E-409C-BE32-E72D297353CC}">
              <c16:uniqueId val="{00000002-40CE-4C0C-8506-D2BE04EF01AE}"/>
            </c:ext>
          </c:extLst>
        </c:ser>
        <c:ser>
          <c:idx val="3"/>
          <c:order val="3"/>
          <c:tx>
            <c:strRef>
              <c:f>'Dashboard Monthly'!$K$33</c:f>
              <c:strCache>
                <c:ptCount val="1"/>
                <c:pt idx="0">
                  <c:v>2022</c:v>
                </c:pt>
              </c:strCache>
            </c:strRef>
          </c:tx>
          <c:spPr>
            <a:solidFill>
              <a:schemeClr val="accent4"/>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Monthly'!$B$36:$B$43</c:f>
              <c:strCache>
                <c:ptCount val="8"/>
                <c:pt idx="0">
                  <c:v>Fatality </c:v>
                </c:pt>
                <c:pt idx="1">
                  <c:v>LTI</c:v>
                </c:pt>
                <c:pt idx="2">
                  <c:v>FA</c:v>
                </c:pt>
                <c:pt idx="3">
                  <c:v>MTI</c:v>
                </c:pt>
                <c:pt idx="4">
                  <c:v>PD</c:v>
                </c:pt>
                <c:pt idx="5">
                  <c:v>FC</c:v>
                </c:pt>
                <c:pt idx="6">
                  <c:v>EI</c:v>
                </c:pt>
                <c:pt idx="7">
                  <c:v>NM</c:v>
                </c:pt>
              </c:strCache>
            </c:strRef>
          </c:cat>
          <c:val>
            <c:numRef>
              <c:f>'Dashboard Monthly'!$K$36:$K$43</c:f>
              <c:numCache>
                <c:formatCode>General</c:formatCode>
                <c:ptCount val="8"/>
                <c:pt idx="0">
                  <c:v>0</c:v>
                </c:pt>
                <c:pt idx="1">
                  <c:v>0</c:v>
                </c:pt>
                <c:pt idx="2">
                  <c:v>0</c:v>
                </c:pt>
                <c:pt idx="3">
                  <c:v>3</c:v>
                </c:pt>
                <c:pt idx="4">
                  <c:v>28</c:v>
                </c:pt>
                <c:pt idx="5">
                  <c:v>0</c:v>
                </c:pt>
                <c:pt idx="6">
                  <c:v>4</c:v>
                </c:pt>
                <c:pt idx="7">
                  <c:v>22</c:v>
                </c:pt>
              </c:numCache>
            </c:numRef>
          </c:val>
          <c:extLst>
            <c:ext xmlns:c16="http://schemas.microsoft.com/office/drawing/2014/chart" uri="{C3380CC4-5D6E-409C-BE32-E72D297353CC}">
              <c16:uniqueId val="{00000003-40CE-4C0C-8506-D2BE04EF01AE}"/>
            </c:ext>
          </c:extLst>
        </c:ser>
        <c:dLbls>
          <c:showLegendKey val="0"/>
          <c:showVal val="0"/>
          <c:showCatName val="0"/>
          <c:showSerName val="0"/>
          <c:showPercent val="0"/>
          <c:showBubbleSize val="0"/>
        </c:dLbls>
        <c:gapWidth val="219"/>
        <c:overlap val="-27"/>
        <c:axId val="1965766944"/>
        <c:axId val="1965772928"/>
      </c:barChart>
      <c:catAx>
        <c:axId val="19657669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65772928"/>
        <c:crosses val="autoZero"/>
        <c:auto val="1"/>
        <c:lblAlgn val="ctr"/>
        <c:lblOffset val="100"/>
        <c:noMultiLvlLbl val="0"/>
      </c:catAx>
      <c:valAx>
        <c:axId val="196577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96576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Monthly'!$E$33:$F$33</c:f>
              <c:strCache>
                <c:ptCount val="2"/>
                <c:pt idx="0">
                  <c:v>Jul-21</c:v>
                </c:pt>
                <c:pt idx="1">
                  <c:v>Jul-22</c:v>
                </c:pt>
              </c:strCache>
            </c:strRef>
          </c:cat>
          <c:val>
            <c:numRef>
              <c:f>'Dashboard Monthly'!$E$41:$F$41</c:f>
              <c:numCache>
                <c:formatCode>General</c:formatCode>
                <c:ptCount val="2"/>
                <c:pt idx="0">
                  <c:v>0</c:v>
                </c:pt>
                <c:pt idx="1">
                  <c:v>0</c:v>
                </c:pt>
              </c:numCache>
            </c:numRef>
          </c:val>
          <c:extLst>
            <c:ext xmlns:c16="http://schemas.microsoft.com/office/drawing/2014/chart" uri="{C3380CC4-5D6E-409C-BE32-E72D297353CC}">
              <c16:uniqueId val="{00000000-AA5C-4D59-ACEA-6CBAC31BA4D1}"/>
            </c:ext>
          </c:extLst>
        </c:ser>
        <c:dLbls>
          <c:showLegendKey val="0"/>
          <c:showVal val="0"/>
          <c:showCatName val="0"/>
          <c:showSerName val="0"/>
          <c:showPercent val="0"/>
          <c:showBubbleSize val="0"/>
        </c:dLbls>
        <c:gapWidth val="219"/>
        <c:overlap val="-27"/>
        <c:axId val="1965765312"/>
        <c:axId val="1965776736"/>
      </c:barChart>
      <c:catAx>
        <c:axId val="196576531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776736"/>
        <c:crosses val="autoZero"/>
        <c:auto val="1"/>
        <c:lblAlgn val="ctr"/>
        <c:lblOffset val="100"/>
        <c:noMultiLvlLbl val="0"/>
      </c:catAx>
      <c:valAx>
        <c:axId val="1965776736"/>
        <c:scaling>
          <c:orientation val="minMax"/>
        </c:scaling>
        <c:delete val="1"/>
        <c:axPos val="l"/>
        <c:numFmt formatCode="General" sourceLinked="1"/>
        <c:majorTickMark val="none"/>
        <c:minorTickMark val="none"/>
        <c:tickLblPos val="nextTo"/>
        <c:crossAx val="196576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 Monthly'!$K$64</c:f>
              <c:strCache>
                <c:ptCount val="1"/>
                <c:pt idx="0">
                  <c:v>Total Incident</c:v>
                </c:pt>
              </c:strCache>
            </c:strRef>
          </c:tx>
          <c:spPr>
            <a:ln w="28575" cap="rnd">
              <a:solidFill>
                <a:srgbClr val="0070C0"/>
              </a:solidFill>
              <a:round/>
            </a:ln>
            <a:effectLst/>
          </c:spPr>
          <c:marker>
            <c:symbol val="circle"/>
            <c:size val="5"/>
            <c:spPr>
              <a:solidFill>
                <a:schemeClr val="accent1"/>
              </a:solidFill>
              <a:ln w="9525">
                <a:solidFill>
                  <a:srgbClr val="0070C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Monthly'!$J$65:$J$68</c:f>
              <c:numCache>
                <c:formatCode>General</c:formatCode>
                <c:ptCount val="4"/>
                <c:pt idx="0">
                  <c:v>2019</c:v>
                </c:pt>
                <c:pt idx="1">
                  <c:v>2020</c:v>
                </c:pt>
                <c:pt idx="2">
                  <c:v>2021</c:v>
                </c:pt>
                <c:pt idx="3">
                  <c:v>2022</c:v>
                </c:pt>
              </c:numCache>
            </c:numRef>
          </c:cat>
          <c:val>
            <c:numRef>
              <c:f>'Dashboard Monthly'!$K$65:$K$68</c:f>
              <c:numCache>
                <c:formatCode>General</c:formatCode>
                <c:ptCount val="4"/>
                <c:pt idx="0">
                  <c:v>5</c:v>
                </c:pt>
                <c:pt idx="1">
                  <c:v>28</c:v>
                </c:pt>
                <c:pt idx="2">
                  <c:v>49</c:v>
                </c:pt>
                <c:pt idx="3">
                  <c:v>17</c:v>
                </c:pt>
              </c:numCache>
            </c:numRef>
          </c:val>
          <c:smooth val="0"/>
          <c:extLst>
            <c:ext xmlns:c16="http://schemas.microsoft.com/office/drawing/2014/chart" uri="{C3380CC4-5D6E-409C-BE32-E72D297353CC}">
              <c16:uniqueId val="{00000000-C652-4ECD-AE25-58B1A1158A4D}"/>
            </c:ext>
          </c:extLst>
        </c:ser>
        <c:ser>
          <c:idx val="1"/>
          <c:order val="1"/>
          <c:tx>
            <c:strRef>
              <c:f>'Dashboard Monthly'!$L$64</c:f>
              <c:strCache>
                <c:ptCount val="1"/>
                <c:pt idx="0">
                  <c:v>Fatality </c:v>
                </c:pt>
              </c:strCache>
            </c:strRef>
          </c:tx>
          <c:spPr>
            <a:ln w="28575" cap="rnd">
              <a:noFill/>
              <a:round/>
            </a:ln>
            <a:effectLst/>
          </c:spPr>
          <c:marker>
            <c:symbol val="circle"/>
            <c:size val="5"/>
            <c:spPr>
              <a:solidFill>
                <a:schemeClr val="accent2"/>
              </a:solidFill>
              <a:ln w="9525">
                <a:noFill/>
              </a:ln>
              <a:effectLst/>
            </c:spPr>
          </c:marker>
          <c:dLbls>
            <c:dLbl>
              <c:idx val="2"/>
              <c:layout>
                <c:manualLayout>
                  <c:x val="-4.1062244704789131E-3"/>
                  <c:y val="-6.9982888173589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52-4ECD-AE25-58B1A1158A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Monthly'!$J$65:$J$68</c:f>
              <c:numCache>
                <c:formatCode>General</c:formatCode>
                <c:ptCount val="4"/>
                <c:pt idx="0">
                  <c:v>2019</c:v>
                </c:pt>
                <c:pt idx="1">
                  <c:v>2020</c:v>
                </c:pt>
                <c:pt idx="2">
                  <c:v>2021</c:v>
                </c:pt>
                <c:pt idx="3">
                  <c:v>2022</c:v>
                </c:pt>
              </c:numCache>
            </c:numRef>
          </c:cat>
          <c:val>
            <c:numRef>
              <c:f>'Dashboard Monthly'!$L$65:$L$68</c:f>
              <c:numCache>
                <c:formatCode>General</c:formatCode>
                <c:ptCount val="4"/>
                <c:pt idx="0">
                  <c:v>0</c:v>
                </c:pt>
                <c:pt idx="1">
                  <c:v>0</c:v>
                </c:pt>
                <c:pt idx="2">
                  <c:v>1</c:v>
                </c:pt>
                <c:pt idx="3">
                  <c:v>0</c:v>
                </c:pt>
              </c:numCache>
            </c:numRef>
          </c:val>
          <c:smooth val="0"/>
          <c:extLst>
            <c:ext xmlns:c16="http://schemas.microsoft.com/office/drawing/2014/chart" uri="{C3380CC4-5D6E-409C-BE32-E72D297353CC}">
              <c16:uniqueId val="{00000001-C652-4ECD-AE25-58B1A1158A4D}"/>
            </c:ext>
          </c:extLst>
        </c:ser>
        <c:ser>
          <c:idx val="2"/>
          <c:order val="2"/>
          <c:tx>
            <c:strRef>
              <c:f>'Dashboard Monthly'!$M$64</c:f>
              <c:strCache>
                <c:ptCount val="1"/>
                <c:pt idx="0">
                  <c:v>LTI</c:v>
                </c:pt>
              </c:strCache>
            </c:strRef>
          </c:tx>
          <c:spPr>
            <a:ln w="28575" cap="rnd">
              <a:noFill/>
              <a:round/>
            </a:ln>
            <a:effectLst/>
          </c:spPr>
          <c:marker>
            <c:symbol val="circle"/>
            <c:size val="5"/>
            <c:spPr>
              <a:solidFill>
                <a:schemeClr val="accent3"/>
              </a:solidFill>
              <a:ln w="9525">
                <a:noFill/>
              </a:ln>
              <a:effectLst/>
            </c:spPr>
          </c:marker>
          <c:dLbls>
            <c:dLbl>
              <c:idx val="2"/>
              <c:layout>
                <c:manualLayout>
                  <c:x val="6.1593367057182951E-3"/>
                  <c:y val="-8.553365300899587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52-4ECD-AE25-58B1A1158A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FFC000"/>
                      </a:solidFill>
                      <a:round/>
                    </a:ln>
                    <a:effectLst/>
                  </c:spPr>
                </c15:leaderLines>
              </c:ext>
            </c:extLst>
          </c:dLbls>
          <c:cat>
            <c:numRef>
              <c:f>'Dashboard Monthly'!$J$65:$J$68</c:f>
              <c:numCache>
                <c:formatCode>General</c:formatCode>
                <c:ptCount val="4"/>
                <c:pt idx="0">
                  <c:v>2019</c:v>
                </c:pt>
                <c:pt idx="1">
                  <c:v>2020</c:v>
                </c:pt>
                <c:pt idx="2">
                  <c:v>2021</c:v>
                </c:pt>
                <c:pt idx="3">
                  <c:v>2022</c:v>
                </c:pt>
              </c:numCache>
            </c:numRef>
          </c:cat>
          <c:val>
            <c:numRef>
              <c:f>'Dashboard Monthly'!$M$65:$M$68</c:f>
              <c:numCache>
                <c:formatCode>General</c:formatCode>
                <c:ptCount val="4"/>
                <c:pt idx="0">
                  <c:v>0</c:v>
                </c:pt>
                <c:pt idx="1">
                  <c:v>1</c:v>
                </c:pt>
                <c:pt idx="2">
                  <c:v>1</c:v>
                </c:pt>
                <c:pt idx="3">
                  <c:v>0</c:v>
                </c:pt>
              </c:numCache>
            </c:numRef>
          </c:val>
          <c:smooth val="0"/>
          <c:extLst>
            <c:ext xmlns:c16="http://schemas.microsoft.com/office/drawing/2014/chart" uri="{C3380CC4-5D6E-409C-BE32-E72D297353CC}">
              <c16:uniqueId val="{00000002-C652-4ECD-AE25-58B1A1158A4D}"/>
            </c:ext>
          </c:extLst>
        </c:ser>
        <c:dLbls>
          <c:showLegendKey val="0"/>
          <c:showVal val="0"/>
          <c:showCatName val="0"/>
          <c:showSerName val="0"/>
          <c:showPercent val="0"/>
          <c:showBubbleSize val="0"/>
        </c:dLbls>
        <c:marker val="1"/>
        <c:smooth val="0"/>
        <c:axId val="1965774016"/>
        <c:axId val="1965771840"/>
      </c:lineChart>
      <c:catAx>
        <c:axId val="196577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71840"/>
        <c:crosses val="autoZero"/>
        <c:auto val="1"/>
        <c:lblAlgn val="ctr"/>
        <c:lblOffset val="100"/>
        <c:noMultiLvlLbl val="0"/>
      </c:catAx>
      <c:valAx>
        <c:axId val="1965771840"/>
        <c:scaling>
          <c:orientation val="minMax"/>
        </c:scaling>
        <c:delete val="1"/>
        <c:axPos val="l"/>
        <c:numFmt formatCode="General" sourceLinked="1"/>
        <c:majorTickMark val="none"/>
        <c:minorTickMark val="none"/>
        <c:tickLblPos val="nextTo"/>
        <c:crossAx val="1965774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f>'Dashboard Monthly'!$B$76:$B$79</c:f>
              <c:numCache>
                <c:formatCode>General</c:formatCode>
                <c:ptCount val="4"/>
                <c:pt idx="0">
                  <c:v>2019</c:v>
                </c:pt>
                <c:pt idx="1">
                  <c:v>2020</c:v>
                </c:pt>
                <c:pt idx="2">
                  <c:v>2021</c:v>
                </c:pt>
                <c:pt idx="3" formatCode="d\-mmm\-yy">
                  <c:v>44749</c:v>
                </c:pt>
              </c:numCache>
            </c:numRef>
          </c:cat>
          <c:val>
            <c:numRef>
              <c:f>'Dashboard Monthly'!$C$76:$C$79</c:f>
              <c:numCache>
                <c:formatCode>General</c:formatCode>
                <c:ptCount val="4"/>
                <c:pt idx="0">
                  <c:v>5</c:v>
                </c:pt>
                <c:pt idx="1">
                  <c:v>28</c:v>
                </c:pt>
                <c:pt idx="2">
                  <c:v>48</c:v>
                </c:pt>
                <c:pt idx="3">
                  <c:v>57</c:v>
                </c:pt>
              </c:numCache>
            </c:numRef>
          </c:val>
          <c:extLst>
            <c:ext xmlns:c16="http://schemas.microsoft.com/office/drawing/2014/chart" uri="{C3380CC4-5D6E-409C-BE32-E72D297353CC}">
              <c16:uniqueId val="{00000000-F300-4CD4-A34A-84938593D97F}"/>
            </c:ext>
          </c:extLst>
        </c:ser>
        <c:dLbls>
          <c:showLegendKey val="0"/>
          <c:showVal val="0"/>
          <c:showCatName val="0"/>
          <c:showSerName val="0"/>
          <c:showPercent val="0"/>
          <c:showBubbleSize val="0"/>
        </c:dLbls>
        <c:gapWidth val="267"/>
        <c:overlap val="-43"/>
        <c:axId val="1965772384"/>
        <c:axId val="1965773472"/>
      </c:barChart>
      <c:catAx>
        <c:axId val="19657723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cap="none" spc="0" normalizeH="0" baseline="0">
                <a:solidFill>
                  <a:schemeClr val="tx1"/>
                </a:solidFill>
                <a:latin typeface="+mn-lt"/>
                <a:ea typeface="+mn-ea"/>
                <a:cs typeface="+mn-cs"/>
              </a:defRPr>
            </a:pPr>
            <a:endParaRPr lang="en-US"/>
          </a:p>
        </c:txPr>
        <c:crossAx val="1965773472"/>
        <c:crosses val="autoZero"/>
        <c:auto val="1"/>
        <c:lblAlgn val="ctr"/>
        <c:lblOffset val="100"/>
        <c:noMultiLvlLbl val="0"/>
      </c:catAx>
      <c:valAx>
        <c:axId val="1965773472"/>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96577238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'Dashboard Monthly'!$C$81</c:f>
              <c:strCache>
                <c:ptCount val="1"/>
                <c:pt idx="0">
                  <c:v>HPRI</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f>'Dashboard Monthly'!$B$82:$B$85</c:f>
              <c:numCache>
                <c:formatCode>General</c:formatCode>
                <c:ptCount val="4"/>
                <c:pt idx="0">
                  <c:v>2019</c:v>
                </c:pt>
                <c:pt idx="1">
                  <c:v>2020</c:v>
                </c:pt>
                <c:pt idx="2">
                  <c:v>2021</c:v>
                </c:pt>
                <c:pt idx="3">
                  <c:v>2022</c:v>
                </c:pt>
              </c:numCache>
            </c:numRef>
          </c:cat>
          <c:val>
            <c:numRef>
              <c:f>'Dashboard Monthly'!$C$82:$C$85</c:f>
              <c:numCache>
                <c:formatCode>General</c:formatCode>
                <c:ptCount val="4"/>
                <c:pt idx="0">
                  <c:v>2</c:v>
                </c:pt>
                <c:pt idx="1">
                  <c:v>13</c:v>
                </c:pt>
                <c:pt idx="2">
                  <c:v>11</c:v>
                </c:pt>
                <c:pt idx="3">
                  <c:v>29</c:v>
                </c:pt>
              </c:numCache>
            </c:numRef>
          </c:val>
          <c:extLst>
            <c:ext xmlns:c16="http://schemas.microsoft.com/office/drawing/2014/chart" uri="{C3380CC4-5D6E-409C-BE32-E72D297353CC}">
              <c16:uniqueId val="{00000000-BE6B-4512-9646-988D8E66C03E}"/>
            </c:ext>
          </c:extLst>
        </c:ser>
        <c:ser>
          <c:idx val="1"/>
          <c:order val="1"/>
          <c:tx>
            <c:strRef>
              <c:f>'Dashboard Monthly'!$D$81</c:f>
              <c:strCache>
                <c:ptCount val="1"/>
                <c:pt idx="0">
                  <c:v>NONHPRI</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f>'Dashboard Monthly'!$B$82:$B$85</c:f>
              <c:numCache>
                <c:formatCode>General</c:formatCode>
                <c:ptCount val="4"/>
                <c:pt idx="0">
                  <c:v>2019</c:v>
                </c:pt>
                <c:pt idx="1">
                  <c:v>2020</c:v>
                </c:pt>
                <c:pt idx="2">
                  <c:v>2021</c:v>
                </c:pt>
                <c:pt idx="3">
                  <c:v>2022</c:v>
                </c:pt>
              </c:numCache>
            </c:numRef>
          </c:cat>
          <c:val>
            <c:numRef>
              <c:f>'Dashboard Monthly'!$D$82:$D$85</c:f>
              <c:numCache>
                <c:formatCode>General</c:formatCode>
                <c:ptCount val="4"/>
                <c:pt idx="0">
                  <c:v>3</c:v>
                </c:pt>
                <c:pt idx="1">
                  <c:v>15</c:v>
                </c:pt>
                <c:pt idx="2">
                  <c:v>37</c:v>
                </c:pt>
                <c:pt idx="3">
                  <c:v>28</c:v>
                </c:pt>
              </c:numCache>
            </c:numRef>
          </c:val>
          <c:extLst>
            <c:ext xmlns:c16="http://schemas.microsoft.com/office/drawing/2014/chart" uri="{C3380CC4-5D6E-409C-BE32-E72D297353CC}">
              <c16:uniqueId val="{00000001-BE6B-4512-9646-988D8E66C03E}"/>
            </c:ext>
          </c:extLst>
        </c:ser>
        <c:dLbls>
          <c:showLegendKey val="0"/>
          <c:showVal val="0"/>
          <c:showCatName val="0"/>
          <c:showSerName val="0"/>
          <c:showPercent val="0"/>
          <c:showBubbleSize val="0"/>
        </c:dLbls>
        <c:gapWidth val="150"/>
        <c:overlap val="100"/>
        <c:axId val="1965774560"/>
        <c:axId val="1965769120"/>
      </c:barChart>
      <c:catAx>
        <c:axId val="19657745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cap="none" spc="0" normalizeH="0" baseline="0">
                <a:solidFill>
                  <a:schemeClr val="tx1"/>
                </a:solidFill>
                <a:latin typeface="+mn-lt"/>
                <a:ea typeface="+mn-ea"/>
                <a:cs typeface="+mn-cs"/>
              </a:defRPr>
            </a:pPr>
            <a:endParaRPr lang="en-US"/>
          </a:p>
        </c:txPr>
        <c:crossAx val="1965769120"/>
        <c:crosses val="autoZero"/>
        <c:auto val="1"/>
        <c:lblAlgn val="ctr"/>
        <c:lblOffset val="100"/>
        <c:noMultiLvlLbl val="0"/>
      </c:catAx>
      <c:valAx>
        <c:axId val="1965769120"/>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96577456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Monthly'!$E$33:$F$33</c:f>
              <c:strCache>
                <c:ptCount val="2"/>
                <c:pt idx="0">
                  <c:v>Jul-21</c:v>
                </c:pt>
                <c:pt idx="1">
                  <c:v>Jul-22</c:v>
                </c:pt>
              </c:strCache>
            </c:strRef>
          </c:cat>
          <c:val>
            <c:numRef>
              <c:f>'Dashboard Monthly'!$E$39:$F$39</c:f>
              <c:numCache>
                <c:formatCode>General</c:formatCode>
                <c:ptCount val="2"/>
                <c:pt idx="0">
                  <c:v>3</c:v>
                </c:pt>
                <c:pt idx="1">
                  <c:v>3</c:v>
                </c:pt>
              </c:numCache>
            </c:numRef>
          </c:val>
          <c:extLst>
            <c:ext xmlns:c16="http://schemas.microsoft.com/office/drawing/2014/chart" uri="{C3380CC4-5D6E-409C-BE32-E72D297353CC}">
              <c16:uniqueId val="{00000000-1290-4AF9-A5D7-2AF2D46E535B}"/>
            </c:ext>
          </c:extLst>
        </c:ser>
        <c:dLbls>
          <c:showLegendKey val="0"/>
          <c:showVal val="0"/>
          <c:showCatName val="0"/>
          <c:showSerName val="0"/>
          <c:showPercent val="0"/>
          <c:showBubbleSize val="0"/>
        </c:dLbls>
        <c:gapWidth val="219"/>
        <c:overlap val="-27"/>
        <c:axId val="1965765856"/>
        <c:axId val="1965777824"/>
      </c:barChart>
      <c:catAx>
        <c:axId val="19657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77824"/>
        <c:crosses val="autoZero"/>
        <c:auto val="1"/>
        <c:lblAlgn val="ctr"/>
        <c:lblOffset val="100"/>
        <c:noMultiLvlLbl val="0"/>
      </c:catAx>
      <c:valAx>
        <c:axId val="1965777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65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'Dashboard Monthly'!$C$81</c:f>
              <c:strCache>
                <c:ptCount val="1"/>
                <c:pt idx="0">
                  <c:v>HPRI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Monthly'!$B$82:$B$85</c:f>
              <c:numCache>
                <c:formatCode>General</c:formatCode>
                <c:ptCount val="4"/>
                <c:pt idx="0">
                  <c:v>2019</c:v>
                </c:pt>
                <c:pt idx="1">
                  <c:v>2020</c:v>
                </c:pt>
                <c:pt idx="2">
                  <c:v>2021</c:v>
                </c:pt>
                <c:pt idx="3">
                  <c:v>2022</c:v>
                </c:pt>
              </c:numCache>
            </c:numRef>
          </c:cat>
          <c:val>
            <c:numRef>
              <c:f>'Dashboard Monthly'!$C$82:$C$85</c:f>
              <c:numCache>
                <c:formatCode>General</c:formatCode>
                <c:ptCount val="4"/>
                <c:pt idx="0">
                  <c:v>2</c:v>
                </c:pt>
                <c:pt idx="1">
                  <c:v>13</c:v>
                </c:pt>
                <c:pt idx="2">
                  <c:v>11</c:v>
                </c:pt>
                <c:pt idx="3">
                  <c:v>29</c:v>
                </c:pt>
              </c:numCache>
            </c:numRef>
          </c:val>
          <c:extLst>
            <c:ext xmlns:c16="http://schemas.microsoft.com/office/drawing/2014/chart" uri="{C3380CC4-5D6E-409C-BE32-E72D297353CC}">
              <c16:uniqueId val="{00000000-AAB2-4E7F-9168-9B431032A356}"/>
            </c:ext>
          </c:extLst>
        </c:ser>
        <c:ser>
          <c:idx val="1"/>
          <c:order val="1"/>
          <c:tx>
            <c:strRef>
              <c:f>'Dashboard Monthly'!$D$81</c:f>
              <c:strCache>
                <c:ptCount val="1"/>
                <c:pt idx="0">
                  <c:v>NONHPRI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 Monthly'!$B$82:$B$85</c:f>
              <c:numCache>
                <c:formatCode>General</c:formatCode>
                <c:ptCount val="4"/>
                <c:pt idx="0">
                  <c:v>2019</c:v>
                </c:pt>
                <c:pt idx="1">
                  <c:v>2020</c:v>
                </c:pt>
                <c:pt idx="2">
                  <c:v>2021</c:v>
                </c:pt>
                <c:pt idx="3">
                  <c:v>2022</c:v>
                </c:pt>
              </c:numCache>
            </c:numRef>
          </c:cat>
          <c:val>
            <c:numRef>
              <c:f>'Dashboard Monthly'!$D$82:$D$85</c:f>
              <c:numCache>
                <c:formatCode>General</c:formatCode>
                <c:ptCount val="4"/>
                <c:pt idx="0">
                  <c:v>3</c:v>
                </c:pt>
                <c:pt idx="1">
                  <c:v>15</c:v>
                </c:pt>
                <c:pt idx="2">
                  <c:v>37</c:v>
                </c:pt>
                <c:pt idx="3">
                  <c:v>28</c:v>
                </c:pt>
              </c:numCache>
            </c:numRef>
          </c:val>
          <c:extLst>
            <c:ext xmlns:c16="http://schemas.microsoft.com/office/drawing/2014/chart" uri="{C3380CC4-5D6E-409C-BE32-E72D297353CC}">
              <c16:uniqueId val="{00000001-AAB2-4E7F-9168-9B431032A356}"/>
            </c:ext>
          </c:extLst>
        </c:ser>
        <c:dLbls>
          <c:showLegendKey val="0"/>
          <c:showVal val="0"/>
          <c:showCatName val="0"/>
          <c:showSerName val="0"/>
          <c:showPercent val="0"/>
          <c:showBubbleSize val="0"/>
        </c:dLbls>
        <c:gapWidth val="150"/>
        <c:overlap val="100"/>
        <c:axId val="1965767488"/>
        <c:axId val="1965775104"/>
      </c:barChart>
      <c:catAx>
        <c:axId val="196576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75104"/>
        <c:crosses val="autoZero"/>
        <c:auto val="1"/>
        <c:lblAlgn val="ctr"/>
        <c:lblOffset val="100"/>
        <c:noMultiLvlLbl val="0"/>
      </c:catAx>
      <c:valAx>
        <c:axId val="1965775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6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600" b="1"/>
              <a:t>BASIC CAUSE INSIDEN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A8DC-4E77-9BEC-73C5FD5B7871}"/>
              </c:ext>
            </c:extLst>
          </c:dPt>
          <c:dPt>
            <c:idx val="1"/>
            <c:bubble3D val="0"/>
            <c:explosion val="7"/>
            <c:spPr>
              <a:solidFill>
                <a:schemeClr val="accent6">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DC-4E77-9BEC-73C5FD5B7871}"/>
              </c:ext>
            </c:extLst>
          </c:dPt>
          <c:dPt>
            <c:idx val="2"/>
            <c:bubble3D val="0"/>
            <c:explosion val="12"/>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A8DC-4E77-9BEC-73C5FD5B787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DC-4E77-9BEC-73C5FD5B78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DASHBOARD!$E$73:$H$73</c:f>
              <c:strCache>
                <c:ptCount val="4"/>
                <c:pt idx="0">
                  <c:v>Supervisory Skill</c:v>
                </c:pt>
                <c:pt idx="1">
                  <c:v>SOP Compliance</c:v>
                </c:pt>
                <c:pt idx="2">
                  <c:v>Employee Awareness</c:v>
                </c:pt>
                <c:pt idx="3">
                  <c:v>Management of Change</c:v>
                </c:pt>
              </c:strCache>
            </c:strRef>
          </c:cat>
          <c:val>
            <c:numRef>
              <c:f>DASHBOARD!$E$87:$H$87</c:f>
              <c:numCache>
                <c:formatCode>0%</c:formatCode>
                <c:ptCount val="4"/>
                <c:pt idx="0">
                  <c:v>0.13953488372093023</c:v>
                </c:pt>
                <c:pt idx="1">
                  <c:v>6.9767441860465115E-2</c:v>
                </c:pt>
                <c:pt idx="2">
                  <c:v>0.79069767441860461</c:v>
                </c:pt>
                <c:pt idx="3">
                  <c:v>0</c:v>
                </c:pt>
              </c:numCache>
            </c:numRef>
          </c:val>
          <c:extLst>
            <c:ext xmlns:c16="http://schemas.microsoft.com/office/drawing/2014/chart" uri="{C3380CC4-5D6E-409C-BE32-E72D297353CC}">
              <c16:uniqueId val="{00000000-A8DC-4E77-9BEC-73C5FD5B7871}"/>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2000" b="1"/>
              <a:t>Jumlah</a:t>
            </a:r>
            <a:r>
              <a:rPr lang="en-ID" sz="2000" b="1" baseline="0"/>
              <a:t> Insiden YTD 2022</a:t>
            </a:r>
            <a:endParaRPr lang="en-ID"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DASHBOARD!$J$12</c:f>
              <c:strCache>
                <c:ptCount val="1"/>
                <c:pt idx="0">
                  <c:v>NM</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DASHBOARD!$J$13:$J$24</c:f>
              <c:numCache>
                <c:formatCode>_(* #,##0_);_(* \(#,##0\);_(* "-"??_);_(@_)</c:formatCode>
                <c:ptCount val="12"/>
                <c:pt idx="0">
                  <c:v>5</c:v>
                </c:pt>
                <c:pt idx="1">
                  <c:v>2</c:v>
                </c:pt>
                <c:pt idx="2">
                  <c:v>2</c:v>
                </c:pt>
                <c:pt idx="3">
                  <c:v>2</c:v>
                </c:pt>
                <c:pt idx="4">
                  <c:v>5</c:v>
                </c:pt>
                <c:pt idx="5">
                  <c:v>2</c:v>
                </c:pt>
                <c:pt idx="6">
                  <c:v>1</c:v>
                </c:pt>
                <c:pt idx="7">
                  <c:v>5</c:v>
                </c:pt>
                <c:pt idx="8">
                  <c:v>1</c:v>
                </c:pt>
                <c:pt idx="9">
                  <c:v>1</c:v>
                </c:pt>
                <c:pt idx="10">
                  <c:v>0</c:v>
                </c:pt>
                <c:pt idx="11">
                  <c:v>0</c:v>
                </c:pt>
              </c:numCache>
            </c:numRef>
          </c:val>
          <c:extLst>
            <c:ext xmlns:c16="http://schemas.microsoft.com/office/drawing/2014/chart" uri="{C3380CC4-5D6E-409C-BE32-E72D297353CC}">
              <c16:uniqueId val="{00000000-C65B-4F95-A652-B2A4CBF97BB4}"/>
            </c:ext>
          </c:extLst>
        </c:ser>
        <c:ser>
          <c:idx val="1"/>
          <c:order val="1"/>
          <c:tx>
            <c:strRef>
              <c:f>DASHBOARD!$K$12</c:f>
              <c:strCache>
                <c:ptCount val="1"/>
                <c:pt idx="0">
                  <c:v>PD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DASHBOARD!$K$13:$K$24</c:f>
              <c:numCache>
                <c:formatCode>_(* #,##0_);_(* \(#,##0\);_(* "-"??_);_(@_)</c:formatCode>
                <c:ptCount val="12"/>
                <c:pt idx="0">
                  <c:v>6</c:v>
                </c:pt>
                <c:pt idx="1">
                  <c:v>2</c:v>
                </c:pt>
                <c:pt idx="2">
                  <c:v>5</c:v>
                </c:pt>
                <c:pt idx="3">
                  <c:v>6</c:v>
                </c:pt>
                <c:pt idx="4">
                  <c:v>4</c:v>
                </c:pt>
                <c:pt idx="5">
                  <c:v>5</c:v>
                </c:pt>
                <c:pt idx="6">
                  <c:v>3</c:v>
                </c:pt>
                <c:pt idx="7">
                  <c:v>3</c:v>
                </c:pt>
                <c:pt idx="8">
                  <c:v>2</c:v>
                </c:pt>
                <c:pt idx="9">
                  <c:v>2</c:v>
                </c:pt>
                <c:pt idx="10">
                  <c:v>0</c:v>
                </c:pt>
                <c:pt idx="11">
                  <c:v>0</c:v>
                </c:pt>
              </c:numCache>
            </c:numRef>
          </c:val>
          <c:extLst>
            <c:ext xmlns:c16="http://schemas.microsoft.com/office/drawing/2014/chart" uri="{C3380CC4-5D6E-409C-BE32-E72D297353CC}">
              <c16:uniqueId val="{00000001-C65B-4F95-A652-B2A4CBF97BB4}"/>
            </c:ext>
          </c:extLst>
        </c:ser>
        <c:ser>
          <c:idx val="2"/>
          <c:order val="2"/>
          <c:tx>
            <c:strRef>
              <c:f>DASHBOARD!$L$12</c:f>
              <c:strCache>
                <c:ptCount val="1"/>
                <c:pt idx="0">
                  <c:v>FAI</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DASHBOARD!$L$13:$L$24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65B-4F95-A652-B2A4CBF97BB4}"/>
            </c:ext>
          </c:extLst>
        </c:ser>
        <c:ser>
          <c:idx val="3"/>
          <c:order val="3"/>
          <c:tx>
            <c:strRef>
              <c:f>DASHBOARD!$M$12</c:f>
              <c:strCache>
                <c:ptCount val="1"/>
                <c:pt idx="0">
                  <c:v>MTI</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DASHBOARD!$M$13:$M$24</c:f>
              <c:numCache>
                <c:formatCode>_(* #,##0_);_(* \(#,##0\);_(* "-"??_);_(@_)</c:formatCode>
                <c:ptCount val="12"/>
                <c:pt idx="0">
                  <c:v>0</c:v>
                </c:pt>
                <c:pt idx="1">
                  <c:v>1</c:v>
                </c:pt>
                <c:pt idx="2">
                  <c:v>0</c:v>
                </c:pt>
                <c:pt idx="3">
                  <c:v>0</c:v>
                </c:pt>
                <c:pt idx="4">
                  <c:v>0</c:v>
                </c:pt>
                <c:pt idx="5">
                  <c:v>0</c:v>
                </c:pt>
                <c:pt idx="6">
                  <c:v>2</c:v>
                </c:pt>
                <c:pt idx="7">
                  <c:v>0</c:v>
                </c:pt>
                <c:pt idx="8">
                  <c:v>0</c:v>
                </c:pt>
                <c:pt idx="9">
                  <c:v>0</c:v>
                </c:pt>
                <c:pt idx="10">
                  <c:v>0</c:v>
                </c:pt>
                <c:pt idx="11">
                  <c:v>0</c:v>
                </c:pt>
              </c:numCache>
            </c:numRef>
          </c:val>
          <c:extLst>
            <c:ext xmlns:c16="http://schemas.microsoft.com/office/drawing/2014/chart" uri="{C3380CC4-5D6E-409C-BE32-E72D297353CC}">
              <c16:uniqueId val="{00000003-C65B-4F95-A652-B2A4CBF97BB4}"/>
            </c:ext>
          </c:extLst>
        </c:ser>
        <c:ser>
          <c:idx val="4"/>
          <c:order val="4"/>
          <c:tx>
            <c:strRef>
              <c:f>DASHBOARD!$N$12</c:f>
              <c:strCache>
                <c:ptCount val="1"/>
                <c:pt idx="0">
                  <c:v>RWI</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DASHBOARD!$N$13:$N$24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C65B-4F95-A652-B2A4CBF97BB4}"/>
            </c:ext>
          </c:extLst>
        </c:ser>
        <c:ser>
          <c:idx val="5"/>
          <c:order val="5"/>
          <c:tx>
            <c:strRef>
              <c:f>DASHBOARD!$O$12</c:f>
              <c:strCache>
                <c:ptCount val="1"/>
                <c:pt idx="0">
                  <c:v>LTI</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DASHBOARD!$O$13:$O$24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C65B-4F95-A652-B2A4CBF97BB4}"/>
            </c:ext>
          </c:extLst>
        </c:ser>
        <c:ser>
          <c:idx val="6"/>
          <c:order val="6"/>
          <c:tx>
            <c:strRef>
              <c:f>DASHBOARD!$P$12</c:f>
              <c:strCache>
                <c:ptCount val="1"/>
                <c:pt idx="0">
                  <c:v>FATAL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DASHBOARD!$P$13:$P$24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65B-4F95-A652-B2A4CBF97BB4}"/>
            </c:ext>
          </c:extLst>
        </c:ser>
        <c:ser>
          <c:idx val="7"/>
          <c:order val="7"/>
          <c:tx>
            <c:strRef>
              <c:f>DASHBOARD!$Q$12</c:f>
              <c:strCache>
                <c:ptCount val="1"/>
                <c:pt idx="0">
                  <c:v>EI</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DASHBOARD!$Q$13:$Q$24</c:f>
              <c:numCache>
                <c:formatCode>_(* #,##0_);_(* \(#,##0\);_(* "-"??_);_(@_)</c:formatCode>
                <c:ptCount val="12"/>
                <c:pt idx="0">
                  <c:v>1</c:v>
                </c:pt>
                <c:pt idx="1">
                  <c:v>0</c:v>
                </c:pt>
                <c:pt idx="2">
                  <c:v>0</c:v>
                </c:pt>
                <c:pt idx="3">
                  <c:v>1</c:v>
                </c:pt>
                <c:pt idx="4">
                  <c:v>1</c:v>
                </c:pt>
                <c:pt idx="5">
                  <c:v>1</c:v>
                </c:pt>
                <c:pt idx="6">
                  <c:v>1</c:v>
                </c:pt>
                <c:pt idx="7">
                  <c:v>1</c:v>
                </c:pt>
                <c:pt idx="8">
                  <c:v>0</c:v>
                </c:pt>
                <c:pt idx="9">
                  <c:v>1</c:v>
                </c:pt>
                <c:pt idx="10">
                  <c:v>0</c:v>
                </c:pt>
                <c:pt idx="11">
                  <c:v>0</c:v>
                </c:pt>
              </c:numCache>
            </c:numRef>
          </c:val>
          <c:extLst>
            <c:ext xmlns:c16="http://schemas.microsoft.com/office/drawing/2014/chart" uri="{C3380CC4-5D6E-409C-BE32-E72D297353CC}">
              <c16:uniqueId val="{00000007-C65B-4F95-A652-B2A4CBF97BB4}"/>
            </c:ext>
          </c:extLst>
        </c:ser>
        <c:dLbls>
          <c:dLblPos val="ctr"/>
          <c:showLegendKey val="0"/>
          <c:showVal val="1"/>
          <c:showCatName val="0"/>
          <c:showSerName val="0"/>
          <c:showPercent val="0"/>
          <c:showBubbleSize val="0"/>
        </c:dLbls>
        <c:gapWidth val="65"/>
        <c:overlap val="100"/>
        <c:axId val="1965775648"/>
        <c:axId val="1965776192"/>
      </c:barChart>
      <c:catAx>
        <c:axId val="19657756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76192"/>
        <c:crosses val="autoZero"/>
        <c:auto val="1"/>
        <c:lblAlgn val="ctr"/>
        <c:lblOffset val="100"/>
        <c:noMultiLvlLbl val="0"/>
      </c:catAx>
      <c:valAx>
        <c:axId val="1965776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75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b="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800" b="1"/>
              <a:t>Jumlah Insiden VS Man Hours YTD 2022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strRef>
              <c:f>DASHBOARD!$R$12</c:f>
              <c:strCache>
                <c:ptCount val="1"/>
                <c:pt idx="0">
                  <c:v>TOTAL INSIDEN</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DASHBOARD!$R$13:$R$24</c:f>
              <c:numCache>
                <c:formatCode>_(* #,##0_);_(* \(#,##0\);_(* "-"??_);_(@_)</c:formatCode>
                <c:ptCount val="12"/>
                <c:pt idx="0">
                  <c:v>12</c:v>
                </c:pt>
                <c:pt idx="1">
                  <c:v>5</c:v>
                </c:pt>
                <c:pt idx="2">
                  <c:v>7</c:v>
                </c:pt>
                <c:pt idx="3">
                  <c:v>9</c:v>
                </c:pt>
                <c:pt idx="4">
                  <c:v>10</c:v>
                </c:pt>
                <c:pt idx="5">
                  <c:v>8</c:v>
                </c:pt>
                <c:pt idx="6">
                  <c:v>7</c:v>
                </c:pt>
                <c:pt idx="7">
                  <c:v>9</c:v>
                </c:pt>
                <c:pt idx="8">
                  <c:v>3</c:v>
                </c:pt>
                <c:pt idx="9">
                  <c:v>4</c:v>
                </c:pt>
                <c:pt idx="10">
                  <c:v>0</c:v>
                </c:pt>
                <c:pt idx="11">
                  <c:v>0</c:v>
                </c:pt>
              </c:numCache>
            </c:numRef>
          </c:val>
          <c:extLst>
            <c:ext xmlns:c16="http://schemas.microsoft.com/office/drawing/2014/chart" uri="{C3380CC4-5D6E-409C-BE32-E72D297353CC}">
              <c16:uniqueId val="{00000001-BA86-457A-A412-D164E6BED868}"/>
            </c:ext>
          </c:extLst>
        </c:ser>
        <c:dLbls>
          <c:showLegendKey val="0"/>
          <c:showVal val="0"/>
          <c:showCatName val="0"/>
          <c:showSerName val="0"/>
          <c:showPercent val="0"/>
          <c:showBubbleSize val="0"/>
        </c:dLbls>
        <c:gapWidth val="65"/>
        <c:axId val="1965766400"/>
        <c:axId val="1965778368"/>
      </c:barChart>
      <c:lineChart>
        <c:grouping val="percentStacked"/>
        <c:varyColors val="0"/>
        <c:ser>
          <c:idx val="0"/>
          <c:order val="0"/>
          <c:tx>
            <c:strRef>
              <c:f>DASHBOARD!$F$11</c:f>
              <c:strCache>
                <c:ptCount val="1"/>
                <c:pt idx="0">
                  <c:v>MAN HOURS</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dLbls>
            <c:spPr>
              <a:solidFill>
                <a:schemeClr val="accent4">
                  <a:lumMod val="20000"/>
                  <a:lumOff val="80000"/>
                </a:schemeClr>
              </a:solid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DASHBOARD!$F$13:$F$24</c:f>
              <c:numCache>
                <c:formatCode>_(* #,##0_);_(* \(#,##0\);_(* "-"_);_(@_)</c:formatCode>
                <c:ptCount val="12"/>
                <c:pt idx="0">
                  <c:v>307708</c:v>
                </c:pt>
                <c:pt idx="1">
                  <c:v>260112</c:v>
                </c:pt>
                <c:pt idx="2">
                  <c:v>247068</c:v>
                </c:pt>
                <c:pt idx="3">
                  <c:v>256839</c:v>
                </c:pt>
                <c:pt idx="4">
                  <c:v>327786</c:v>
                </c:pt>
                <c:pt idx="5">
                  <c:v>381712.5</c:v>
                </c:pt>
                <c:pt idx="6" formatCode="_(* #,##0_);_(* \(#,##0\);_(* &quot;-&quot;??_);_(@_)">
                  <c:v>418169</c:v>
                </c:pt>
                <c:pt idx="7" formatCode="_(* #,##0_);_(* \(#,##0\);_(* &quot;-&quot;??_);_(@_)">
                  <c:v>421621.5</c:v>
                </c:pt>
                <c:pt idx="8" formatCode="_(* #,##0_);_(* \(#,##0\);_(* &quot;-&quot;??_);_(@_)">
                  <c:v>426966.5</c:v>
                </c:pt>
                <c:pt idx="9" formatCode="_(* #,##0_);_(* \(#,##0\);_(* &quot;-&quot;??_);_(@_)">
                  <c:v>426966.5</c:v>
                </c:pt>
              </c:numCache>
            </c:numRef>
          </c:val>
          <c:smooth val="0"/>
          <c:extLst>
            <c:ext xmlns:c16="http://schemas.microsoft.com/office/drawing/2014/chart" uri="{C3380CC4-5D6E-409C-BE32-E72D297353CC}">
              <c16:uniqueId val="{00000000-BA86-457A-A412-D164E6BED868}"/>
            </c:ext>
          </c:extLst>
        </c:ser>
        <c:dLbls>
          <c:showLegendKey val="0"/>
          <c:showVal val="0"/>
          <c:showCatName val="0"/>
          <c:showSerName val="0"/>
          <c:showPercent val="0"/>
          <c:showBubbleSize val="0"/>
        </c:dLbls>
        <c:marker val="1"/>
        <c:smooth val="0"/>
        <c:axId val="1965779456"/>
        <c:axId val="1965778912"/>
      </c:lineChart>
      <c:catAx>
        <c:axId val="196576640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78368"/>
        <c:crosses val="autoZero"/>
        <c:auto val="1"/>
        <c:lblAlgn val="ctr"/>
        <c:lblOffset val="100"/>
        <c:noMultiLvlLbl val="0"/>
      </c:catAx>
      <c:valAx>
        <c:axId val="19657783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66400"/>
        <c:crosses val="autoZero"/>
        <c:crossBetween val="between"/>
      </c:valAx>
      <c:valAx>
        <c:axId val="1965778912"/>
        <c:scaling>
          <c:orientation val="minMax"/>
        </c:scaling>
        <c:delete val="0"/>
        <c:axPos val="r"/>
        <c:minorGridlines>
          <c:spPr>
            <a:ln w="9525" cap="flat" cmpd="sng" algn="ctr">
              <a:solidFill>
                <a:schemeClr val="tx1">
                  <a:lumMod val="5000"/>
                  <a:lumOff val="9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79456"/>
        <c:crosses val="max"/>
        <c:crossBetween val="between"/>
      </c:valAx>
      <c:catAx>
        <c:axId val="1965779456"/>
        <c:scaling>
          <c:orientation val="minMax"/>
        </c:scaling>
        <c:delete val="1"/>
        <c:axPos val="b"/>
        <c:numFmt formatCode="General" sourceLinked="1"/>
        <c:majorTickMark val="out"/>
        <c:minorTickMark val="none"/>
        <c:tickLblPos val="nextTo"/>
        <c:crossAx val="1965778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800" b="1"/>
              <a:t>Jumlah Insiden VS Man Power YTD 2022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1"/>
          <c:tx>
            <c:strRef>
              <c:f>DASHBOARD!$R$12</c:f>
              <c:strCache>
                <c:ptCount val="1"/>
                <c:pt idx="0">
                  <c:v>TOTAL INSIDEN</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DASHBOARD!$R$13:$R$24</c:f>
              <c:numCache>
                <c:formatCode>_(* #,##0_);_(* \(#,##0\);_(* "-"??_);_(@_)</c:formatCode>
                <c:ptCount val="12"/>
                <c:pt idx="0">
                  <c:v>12</c:v>
                </c:pt>
                <c:pt idx="1">
                  <c:v>5</c:v>
                </c:pt>
                <c:pt idx="2">
                  <c:v>7</c:v>
                </c:pt>
                <c:pt idx="3">
                  <c:v>9</c:v>
                </c:pt>
                <c:pt idx="4">
                  <c:v>10</c:v>
                </c:pt>
                <c:pt idx="5">
                  <c:v>8</c:v>
                </c:pt>
                <c:pt idx="6">
                  <c:v>7</c:v>
                </c:pt>
                <c:pt idx="7">
                  <c:v>9</c:v>
                </c:pt>
                <c:pt idx="8">
                  <c:v>3</c:v>
                </c:pt>
                <c:pt idx="9">
                  <c:v>4</c:v>
                </c:pt>
                <c:pt idx="10">
                  <c:v>0</c:v>
                </c:pt>
                <c:pt idx="11">
                  <c:v>0</c:v>
                </c:pt>
              </c:numCache>
            </c:numRef>
          </c:val>
          <c:extLst>
            <c:ext xmlns:c16="http://schemas.microsoft.com/office/drawing/2014/chart" uri="{C3380CC4-5D6E-409C-BE32-E72D297353CC}">
              <c16:uniqueId val="{00000000-107F-42D1-B8AF-6414FE430C8D}"/>
            </c:ext>
          </c:extLst>
        </c:ser>
        <c:dLbls>
          <c:showLegendKey val="0"/>
          <c:showVal val="0"/>
          <c:showCatName val="0"/>
          <c:showSerName val="0"/>
          <c:showPercent val="0"/>
          <c:showBubbleSize val="0"/>
        </c:dLbls>
        <c:gapWidth val="65"/>
        <c:axId val="1965780544"/>
        <c:axId val="2021235248"/>
      </c:barChart>
      <c:lineChart>
        <c:grouping val="percentStacked"/>
        <c:varyColors val="0"/>
        <c:ser>
          <c:idx val="0"/>
          <c:order val="0"/>
          <c:tx>
            <c:strRef>
              <c:f>DASHBOARD!$E$11</c:f>
              <c:strCache>
                <c:ptCount val="1"/>
                <c:pt idx="0">
                  <c:v>MAN POWER</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DASHBOARD!$E$13:$E$24</c:f>
              <c:numCache>
                <c:formatCode>0</c:formatCode>
                <c:ptCount val="12"/>
                <c:pt idx="0">
                  <c:v>1100</c:v>
                </c:pt>
                <c:pt idx="1">
                  <c:v>1117</c:v>
                </c:pt>
                <c:pt idx="2">
                  <c:v>1513</c:v>
                </c:pt>
                <c:pt idx="3">
                  <c:v>1270</c:v>
                </c:pt>
                <c:pt idx="4">
                  <c:v>1413</c:v>
                </c:pt>
                <c:pt idx="5">
                  <c:v>1513</c:v>
                </c:pt>
                <c:pt idx="6" formatCode="0;[Red]0">
                  <c:v>1721</c:v>
                </c:pt>
                <c:pt idx="7" formatCode="0;[Red]0">
                  <c:v>1809</c:v>
                </c:pt>
                <c:pt idx="8" formatCode="0;[Red]0">
                  <c:v>1810</c:v>
                </c:pt>
                <c:pt idx="9" formatCode="0;[Red]0">
                  <c:v>1810</c:v>
                </c:pt>
              </c:numCache>
            </c:numRef>
          </c:val>
          <c:smooth val="0"/>
          <c:extLst>
            <c:ext xmlns:c16="http://schemas.microsoft.com/office/drawing/2014/chart" uri="{C3380CC4-5D6E-409C-BE32-E72D297353CC}">
              <c16:uniqueId val="{00000001-107F-42D1-B8AF-6414FE430C8D}"/>
            </c:ext>
          </c:extLst>
        </c:ser>
        <c:dLbls>
          <c:showLegendKey val="0"/>
          <c:showVal val="0"/>
          <c:showCatName val="0"/>
          <c:showSerName val="0"/>
          <c:showPercent val="0"/>
          <c:showBubbleSize val="0"/>
        </c:dLbls>
        <c:marker val="1"/>
        <c:smooth val="0"/>
        <c:axId val="2021229264"/>
        <c:axId val="2021232528"/>
      </c:lineChart>
      <c:catAx>
        <c:axId val="196578054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5248"/>
        <c:crosses val="autoZero"/>
        <c:auto val="1"/>
        <c:lblAlgn val="ctr"/>
        <c:lblOffset val="100"/>
        <c:noMultiLvlLbl val="0"/>
      </c:catAx>
      <c:valAx>
        <c:axId val="20212352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65780544"/>
        <c:crosses val="autoZero"/>
        <c:crossBetween val="between"/>
      </c:valAx>
      <c:valAx>
        <c:axId val="2021232528"/>
        <c:scaling>
          <c:orientation val="minMax"/>
        </c:scaling>
        <c:delete val="0"/>
        <c:axPos val="r"/>
        <c:minorGridlines>
          <c:spPr>
            <a:ln w="9525" cap="flat" cmpd="sng" algn="ctr">
              <a:solidFill>
                <a:schemeClr val="tx1">
                  <a:lumMod val="5000"/>
                  <a:lumOff val="9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9264"/>
        <c:crosses val="max"/>
        <c:crossBetween val="between"/>
      </c:valAx>
      <c:catAx>
        <c:axId val="2021229264"/>
        <c:scaling>
          <c:orientation val="minMax"/>
        </c:scaling>
        <c:delete val="1"/>
        <c:axPos val="b"/>
        <c:numFmt formatCode="General" sourceLinked="1"/>
        <c:majorTickMark val="out"/>
        <c:minorTickMark val="none"/>
        <c:tickLblPos val="nextTo"/>
        <c:crossAx val="20212325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800" b="1"/>
              <a:t>Jumlah Insiden VS KTA</a:t>
            </a:r>
            <a:r>
              <a:rPr lang="en-ID" sz="1800" b="1" baseline="0"/>
              <a:t> &amp; TTA</a:t>
            </a:r>
            <a:r>
              <a:rPr lang="en-ID" sz="1800" b="1"/>
              <a:t> YTD 2022</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1"/>
          <c:order val="0"/>
          <c:tx>
            <c:strRef>
              <c:f>DASHBOARD!$R$12</c:f>
              <c:strCache>
                <c:ptCount val="1"/>
                <c:pt idx="0">
                  <c:v>TOTAL INSIDEN</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DASHBOARD!$R$13:$R$24</c:f>
              <c:numCache>
                <c:formatCode>_(* #,##0_);_(* \(#,##0\);_(* "-"??_);_(@_)</c:formatCode>
                <c:ptCount val="12"/>
                <c:pt idx="0">
                  <c:v>12</c:v>
                </c:pt>
                <c:pt idx="1">
                  <c:v>5</c:v>
                </c:pt>
                <c:pt idx="2">
                  <c:v>7</c:v>
                </c:pt>
                <c:pt idx="3">
                  <c:v>9</c:v>
                </c:pt>
                <c:pt idx="4">
                  <c:v>10</c:v>
                </c:pt>
                <c:pt idx="5">
                  <c:v>8</c:v>
                </c:pt>
                <c:pt idx="6">
                  <c:v>7</c:v>
                </c:pt>
                <c:pt idx="7">
                  <c:v>9</c:v>
                </c:pt>
                <c:pt idx="8">
                  <c:v>3</c:v>
                </c:pt>
                <c:pt idx="9">
                  <c:v>4</c:v>
                </c:pt>
                <c:pt idx="10">
                  <c:v>0</c:v>
                </c:pt>
                <c:pt idx="11">
                  <c:v>0</c:v>
                </c:pt>
              </c:numCache>
            </c:numRef>
          </c:val>
          <c:extLst>
            <c:ext xmlns:c16="http://schemas.microsoft.com/office/drawing/2014/chart" uri="{C3380CC4-5D6E-409C-BE32-E72D297353CC}">
              <c16:uniqueId val="{00000000-AE02-4699-933E-E3B78657EC5D}"/>
            </c:ext>
          </c:extLst>
        </c:ser>
        <c:dLbls>
          <c:showLegendKey val="0"/>
          <c:showVal val="0"/>
          <c:showCatName val="0"/>
          <c:showSerName val="0"/>
          <c:showPercent val="0"/>
          <c:showBubbleSize val="0"/>
        </c:dLbls>
        <c:gapWidth val="65"/>
        <c:axId val="2021230896"/>
        <c:axId val="2021225456"/>
      </c:barChart>
      <c:lineChart>
        <c:grouping val="percentStacked"/>
        <c:varyColors val="0"/>
        <c:ser>
          <c:idx val="2"/>
          <c:order val="1"/>
          <c:tx>
            <c:strRef>
              <c:f>DASHBOARD!$I$12</c:f>
              <c:strCache>
                <c:ptCount val="1"/>
                <c:pt idx="0">
                  <c:v>TTA</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DASHBOARD!$I$13:$I$24</c:f>
              <c:numCache>
                <c:formatCode>General</c:formatCode>
                <c:ptCount val="12"/>
                <c:pt idx="0">
                  <c:v>365</c:v>
                </c:pt>
                <c:pt idx="1">
                  <c:v>334</c:v>
                </c:pt>
                <c:pt idx="2">
                  <c:v>256</c:v>
                </c:pt>
                <c:pt idx="3" formatCode="_(* #,##0_);_(* \(#,##0\);_(* &quot;-&quot;??_);_(@_)">
                  <c:v>0</c:v>
                </c:pt>
                <c:pt idx="4" formatCode="_(* #,##0_);_(* \(#,##0\);_(* &quot;-&quot;??_);_(@_)">
                  <c:v>0</c:v>
                </c:pt>
                <c:pt idx="5" formatCode="_(* #,##0_);_(* \(#,##0\);_(* &quot;-&quot;??_);_(@_)">
                  <c:v>0</c:v>
                </c:pt>
                <c:pt idx="6" formatCode="_(* #,##0_);_(* \(#,##0\);_(* &quot;-&quot;??_);_(@_)">
                  <c:v>0</c:v>
                </c:pt>
              </c:numCache>
            </c:numRef>
          </c:val>
          <c:smooth val="0"/>
          <c:extLst>
            <c:ext xmlns:c16="http://schemas.microsoft.com/office/drawing/2014/chart" uri="{C3380CC4-5D6E-409C-BE32-E72D297353CC}">
              <c16:uniqueId val="{00000012-AE02-4699-933E-E3B78657EC5D}"/>
            </c:ext>
          </c:extLst>
        </c:ser>
        <c:ser>
          <c:idx val="0"/>
          <c:order val="2"/>
          <c:tx>
            <c:strRef>
              <c:f>DASHBOARD!$H$11</c:f>
              <c:strCache>
                <c:ptCount val="1"/>
                <c:pt idx="0">
                  <c:v>KTA</c:v>
                </c:pt>
              </c:strCache>
            </c:strRef>
          </c:tx>
          <c:spPr>
            <a:ln w="28575" cap="rnd">
              <a:solidFill>
                <a:srgbClr val="0070C0"/>
              </a:solidFill>
              <a:round/>
            </a:ln>
            <a:effectLst/>
          </c:spPr>
          <c:marker>
            <c:symbol val="circle"/>
            <c:size val="5"/>
            <c:spPr>
              <a:solidFill>
                <a:schemeClr val="bg1"/>
              </a:solidFill>
              <a:ln w="9525">
                <a:solidFill>
                  <a:srgbClr val="0070C0"/>
                </a:solidFill>
              </a:ln>
              <a:effectLst/>
            </c:spPr>
          </c:marker>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DASHBOARD!$H$13:$H$24</c:f>
              <c:numCache>
                <c:formatCode>General</c:formatCode>
                <c:ptCount val="12"/>
                <c:pt idx="0">
                  <c:v>1621</c:v>
                </c:pt>
                <c:pt idx="1">
                  <c:v>1493</c:v>
                </c:pt>
                <c:pt idx="2">
                  <c:v>1203</c:v>
                </c:pt>
                <c:pt idx="3" formatCode="_(* #,##0_);_(* \(#,##0\);_(* &quot;-&quot;??_);_(@_)">
                  <c:v>0</c:v>
                </c:pt>
                <c:pt idx="4" formatCode="_(* #,##0_);_(* \(#,##0\);_(* &quot;-&quot;??_);_(@_)">
                  <c:v>0</c:v>
                </c:pt>
                <c:pt idx="5" formatCode="_(* #,##0_);_(* \(#,##0\);_(* &quot;-&quot;??_);_(@_)">
                  <c:v>0</c:v>
                </c:pt>
                <c:pt idx="6" formatCode="_(* #,##0_);_(* \(#,##0\);_(* &quot;-&quot;??_);_(@_)">
                  <c:v>0</c:v>
                </c:pt>
              </c:numCache>
            </c:numRef>
          </c:val>
          <c:smooth val="0"/>
          <c:extLst>
            <c:ext xmlns:c16="http://schemas.microsoft.com/office/drawing/2014/chart" uri="{C3380CC4-5D6E-409C-BE32-E72D297353CC}">
              <c16:uniqueId val="{00000001-AE02-4699-933E-E3B78657EC5D}"/>
            </c:ext>
          </c:extLst>
        </c:ser>
        <c:dLbls>
          <c:showLegendKey val="0"/>
          <c:showVal val="0"/>
          <c:showCatName val="0"/>
          <c:showSerName val="0"/>
          <c:showPercent val="0"/>
          <c:showBubbleSize val="0"/>
        </c:dLbls>
        <c:marker val="1"/>
        <c:smooth val="0"/>
        <c:axId val="2021220560"/>
        <c:axId val="2021222736"/>
      </c:lineChart>
      <c:catAx>
        <c:axId val="202123089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5456"/>
        <c:crosses val="autoZero"/>
        <c:auto val="1"/>
        <c:lblAlgn val="ctr"/>
        <c:lblOffset val="100"/>
        <c:noMultiLvlLbl val="0"/>
      </c:catAx>
      <c:valAx>
        <c:axId val="2021225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0896"/>
        <c:crosses val="autoZero"/>
        <c:crossBetween val="between"/>
      </c:valAx>
      <c:valAx>
        <c:axId val="2021222736"/>
        <c:scaling>
          <c:orientation val="minMax"/>
        </c:scaling>
        <c:delete val="0"/>
        <c:axPos val="r"/>
        <c:minorGridlines>
          <c:spPr>
            <a:ln w="9525" cap="flat" cmpd="sng" algn="ctr">
              <a:solidFill>
                <a:schemeClr val="tx1">
                  <a:lumMod val="5000"/>
                  <a:lumOff val="95000"/>
                </a:schemeClr>
              </a:solidFill>
              <a:round/>
            </a:ln>
            <a:effectLst/>
          </c:spPr>
        </c:min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0560"/>
        <c:crosses val="max"/>
        <c:crossBetween val="between"/>
      </c:valAx>
      <c:catAx>
        <c:axId val="2021220560"/>
        <c:scaling>
          <c:orientation val="minMax"/>
        </c:scaling>
        <c:delete val="1"/>
        <c:axPos val="b"/>
        <c:numFmt formatCode="General" sourceLinked="1"/>
        <c:majorTickMark val="out"/>
        <c:minorTickMark val="none"/>
        <c:tickLblPos val="nextTo"/>
        <c:crossAx val="2021222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400" b="1"/>
              <a:t>MONITORING FOLLOW-UP REKOMENDASI</a:t>
            </a:r>
            <a:r>
              <a:rPr lang="en-ID" sz="1400" b="1" baseline="0"/>
              <a:t> INSIDEN YTD 2022 </a:t>
            </a:r>
            <a:endParaRPr lang="en-ID"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DASHBOARD!$E$32</c:f>
              <c:strCache>
                <c:ptCount val="1"/>
                <c:pt idx="0">
                  <c:v>REKOMENDASI</c:v>
                </c:pt>
              </c:strCache>
            </c:strRef>
          </c:tx>
          <c:spPr>
            <a:solidFill>
              <a:schemeClr val="accent2">
                <a:lumMod val="50000"/>
              </a:schemeClr>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DASHBOARD!$E$33:$E$44</c:f>
              <c:numCache>
                <c:formatCode>General</c:formatCode>
                <c:ptCount val="12"/>
                <c:pt idx="0">
                  <c:v>57</c:v>
                </c:pt>
                <c:pt idx="1">
                  <c:v>29</c:v>
                </c:pt>
                <c:pt idx="2">
                  <c:v>40</c:v>
                </c:pt>
                <c:pt idx="3">
                  <c:v>59</c:v>
                </c:pt>
                <c:pt idx="4">
                  <c:v>78</c:v>
                </c:pt>
                <c:pt idx="5">
                  <c:v>61</c:v>
                </c:pt>
                <c:pt idx="6">
                  <c:v>63</c:v>
                </c:pt>
                <c:pt idx="7">
                  <c:v>31</c:v>
                </c:pt>
                <c:pt idx="8">
                  <c:v>19</c:v>
                </c:pt>
                <c:pt idx="9">
                  <c:v>6</c:v>
                </c:pt>
              </c:numCache>
            </c:numRef>
          </c:val>
          <c:extLst>
            <c:ext xmlns:c16="http://schemas.microsoft.com/office/drawing/2014/chart" uri="{C3380CC4-5D6E-409C-BE32-E72D297353CC}">
              <c16:uniqueId val="{00000000-B109-45F2-AB5B-FEBE57120016}"/>
            </c:ext>
          </c:extLst>
        </c:ser>
        <c:ser>
          <c:idx val="1"/>
          <c:order val="1"/>
          <c:tx>
            <c:strRef>
              <c:f>DASHBOARD!$F$32</c:f>
              <c:strCache>
                <c:ptCount val="1"/>
                <c:pt idx="0">
                  <c:v>ACTUAL</c:v>
                </c:pt>
              </c:strCache>
            </c:strRef>
          </c:tx>
          <c:spPr>
            <a:solidFill>
              <a:schemeClr val="accent2">
                <a:lumMod val="40000"/>
                <a:lumOff val="60000"/>
              </a:schemeClr>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DASHBOARD!$F$33:$F$44</c:f>
              <c:numCache>
                <c:formatCode>General</c:formatCode>
                <c:ptCount val="12"/>
                <c:pt idx="0">
                  <c:v>57</c:v>
                </c:pt>
                <c:pt idx="1">
                  <c:v>29</c:v>
                </c:pt>
                <c:pt idx="2">
                  <c:v>40</c:v>
                </c:pt>
                <c:pt idx="3">
                  <c:v>59</c:v>
                </c:pt>
                <c:pt idx="4">
                  <c:v>78</c:v>
                </c:pt>
                <c:pt idx="5">
                  <c:v>61</c:v>
                </c:pt>
                <c:pt idx="6">
                  <c:v>63</c:v>
                </c:pt>
                <c:pt idx="7">
                  <c:v>30</c:v>
                </c:pt>
                <c:pt idx="8">
                  <c:v>11</c:v>
                </c:pt>
                <c:pt idx="9">
                  <c:v>6</c:v>
                </c:pt>
              </c:numCache>
            </c:numRef>
          </c:val>
          <c:extLst>
            <c:ext xmlns:c16="http://schemas.microsoft.com/office/drawing/2014/chart" uri="{C3380CC4-5D6E-409C-BE32-E72D297353CC}">
              <c16:uniqueId val="{00000001-B109-45F2-AB5B-FEBE57120016}"/>
            </c:ext>
          </c:extLst>
        </c:ser>
        <c:dLbls>
          <c:showLegendKey val="0"/>
          <c:showVal val="0"/>
          <c:showCatName val="0"/>
          <c:showSerName val="0"/>
          <c:showPercent val="0"/>
          <c:showBubbleSize val="0"/>
        </c:dLbls>
        <c:gapWidth val="65"/>
        <c:axId val="2021223824"/>
        <c:axId val="2021221104"/>
      </c:barChart>
      <c:lineChart>
        <c:grouping val="standard"/>
        <c:varyColors val="0"/>
        <c:ser>
          <c:idx val="2"/>
          <c:order val="2"/>
          <c:tx>
            <c:strRef>
              <c:f>DASHBOARD!$G$32</c:f>
              <c:strCache>
                <c:ptCount val="1"/>
                <c:pt idx="0">
                  <c:v>PERSEN %</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dLbls>
            <c:dLbl>
              <c:idx val="0"/>
              <c:layout>
                <c:manualLayout>
                  <c:x val="-2.9502065062116733E-2"/>
                  <c:y val="-5.4110368340912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D7-4F4B-965A-CDD0683DBCA1}"/>
                </c:ext>
              </c:extLst>
            </c:dLbl>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DASHBOARD!$G$33:$G$44</c:f>
              <c:numCache>
                <c:formatCode>0%</c:formatCode>
                <c:ptCount val="12"/>
                <c:pt idx="0">
                  <c:v>1</c:v>
                </c:pt>
                <c:pt idx="1">
                  <c:v>1</c:v>
                </c:pt>
                <c:pt idx="2">
                  <c:v>1</c:v>
                </c:pt>
                <c:pt idx="3">
                  <c:v>1</c:v>
                </c:pt>
                <c:pt idx="4">
                  <c:v>1</c:v>
                </c:pt>
                <c:pt idx="5">
                  <c:v>1</c:v>
                </c:pt>
                <c:pt idx="6">
                  <c:v>1</c:v>
                </c:pt>
                <c:pt idx="7">
                  <c:v>0.967741935483871</c:v>
                </c:pt>
                <c:pt idx="8">
                  <c:v>0.57894736842105265</c:v>
                </c:pt>
                <c:pt idx="9">
                  <c:v>1</c:v>
                </c:pt>
              </c:numCache>
            </c:numRef>
          </c:val>
          <c:smooth val="0"/>
          <c:extLst>
            <c:ext xmlns:c16="http://schemas.microsoft.com/office/drawing/2014/chart" uri="{C3380CC4-5D6E-409C-BE32-E72D297353CC}">
              <c16:uniqueId val="{00000002-B109-45F2-AB5B-FEBE57120016}"/>
            </c:ext>
          </c:extLst>
        </c:ser>
        <c:dLbls>
          <c:showLegendKey val="0"/>
          <c:showVal val="0"/>
          <c:showCatName val="0"/>
          <c:showSerName val="0"/>
          <c:showPercent val="0"/>
          <c:showBubbleSize val="0"/>
        </c:dLbls>
        <c:marker val="1"/>
        <c:smooth val="0"/>
        <c:axId val="2021235792"/>
        <c:axId val="2021227088"/>
      </c:lineChart>
      <c:catAx>
        <c:axId val="202122382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1104"/>
        <c:crosses val="autoZero"/>
        <c:auto val="1"/>
        <c:lblAlgn val="ctr"/>
        <c:lblOffset val="100"/>
        <c:noMultiLvlLbl val="0"/>
      </c:catAx>
      <c:valAx>
        <c:axId val="20212211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3824"/>
        <c:crosses val="autoZero"/>
        <c:crossBetween val="between"/>
      </c:valAx>
      <c:valAx>
        <c:axId val="20212270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5792"/>
        <c:crosses val="max"/>
        <c:crossBetween val="between"/>
      </c:valAx>
      <c:catAx>
        <c:axId val="2021235792"/>
        <c:scaling>
          <c:orientation val="minMax"/>
        </c:scaling>
        <c:delete val="1"/>
        <c:axPos val="b"/>
        <c:numFmt formatCode="General" sourceLinked="1"/>
        <c:majorTickMark val="out"/>
        <c:minorTickMark val="none"/>
        <c:tickLblPos val="nextTo"/>
        <c:crossAx val="20212270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600" b="1"/>
              <a:t>REKOMENDASI INSIDEN BY</a:t>
            </a:r>
            <a:r>
              <a:rPr lang="en-ID" sz="1600" b="1" baseline="0"/>
              <a:t> PJA (OPEN)</a:t>
            </a:r>
            <a:endParaRPr lang="en-ID" sz="1600" b="1"/>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DASHBOARD!$H$32</c:f>
              <c:strCache>
                <c:ptCount val="1"/>
                <c:pt idx="0">
                  <c:v>PRODUKSI HAULING</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DASHBOARD!$H$33:$H$44</c:f>
              <c:numCache>
                <c:formatCode>General</c:formatCode>
                <c:ptCount val="12"/>
                <c:pt idx="0">
                  <c:v>28</c:v>
                </c:pt>
                <c:pt idx="1">
                  <c:v>15</c:v>
                </c:pt>
                <c:pt idx="2">
                  <c:v>25</c:v>
                </c:pt>
                <c:pt idx="3">
                  <c:v>28</c:v>
                </c:pt>
                <c:pt idx="4">
                  <c:v>17</c:v>
                </c:pt>
                <c:pt idx="5">
                  <c:v>23</c:v>
                </c:pt>
                <c:pt idx="6">
                  <c:v>25</c:v>
                </c:pt>
                <c:pt idx="7">
                  <c:v>15</c:v>
                </c:pt>
                <c:pt idx="8">
                  <c:v>7</c:v>
                </c:pt>
                <c:pt idx="9">
                  <c:v>0</c:v>
                </c:pt>
              </c:numCache>
            </c:numRef>
          </c:val>
          <c:extLst>
            <c:ext xmlns:c16="http://schemas.microsoft.com/office/drawing/2014/chart" uri="{C3380CC4-5D6E-409C-BE32-E72D297353CC}">
              <c16:uniqueId val="{00000000-F22E-4D0A-987C-C898F432AFF2}"/>
            </c:ext>
          </c:extLst>
        </c:ser>
        <c:ser>
          <c:idx val="1"/>
          <c:order val="1"/>
          <c:tx>
            <c:strRef>
              <c:f>DASHBOARD!$I$32</c:f>
              <c:strCache>
                <c:ptCount val="1"/>
                <c:pt idx="0">
                  <c:v>PRODUKSI MINING</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DASHBOARD!$I$33:$I$44</c:f>
              <c:numCache>
                <c:formatCode>General</c:formatCode>
                <c:ptCount val="12"/>
                <c:pt idx="0">
                  <c:v>2</c:v>
                </c:pt>
                <c:pt idx="1">
                  <c:v>4</c:v>
                </c:pt>
                <c:pt idx="2">
                  <c:v>0</c:v>
                </c:pt>
                <c:pt idx="3">
                  <c:v>0</c:v>
                </c:pt>
                <c:pt idx="4">
                  <c:v>22</c:v>
                </c:pt>
                <c:pt idx="5">
                  <c:v>9</c:v>
                </c:pt>
                <c:pt idx="6">
                  <c:v>0</c:v>
                </c:pt>
                <c:pt idx="7">
                  <c:v>6</c:v>
                </c:pt>
                <c:pt idx="8">
                  <c:v>7</c:v>
                </c:pt>
                <c:pt idx="9">
                  <c:v>0</c:v>
                </c:pt>
              </c:numCache>
            </c:numRef>
          </c:val>
          <c:extLst>
            <c:ext xmlns:c16="http://schemas.microsoft.com/office/drawing/2014/chart" uri="{C3380CC4-5D6E-409C-BE32-E72D297353CC}">
              <c16:uniqueId val="{00000001-F22E-4D0A-987C-C898F432AFF2}"/>
            </c:ext>
          </c:extLst>
        </c:ser>
        <c:ser>
          <c:idx val="2"/>
          <c:order val="2"/>
          <c:tx>
            <c:strRef>
              <c:f>DASHBOARD!$J$32</c:f>
              <c:strCache>
                <c:ptCount val="1"/>
                <c:pt idx="0">
                  <c:v>PROCON</c:v>
                </c:pt>
              </c:strCache>
            </c:strRef>
          </c:tx>
          <c:spPr>
            <a:solidFill>
              <a:schemeClr val="accent3"/>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DASHBOARD!$J$33:$J$44</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F22E-4D0A-987C-C898F432AFF2}"/>
            </c:ext>
          </c:extLst>
        </c:ser>
        <c:ser>
          <c:idx val="3"/>
          <c:order val="3"/>
          <c:tx>
            <c:strRef>
              <c:f>DASHBOARD!$K$32</c:f>
              <c:strCache>
                <c:ptCount val="1"/>
                <c:pt idx="0">
                  <c:v>MINE PLAN</c:v>
                </c:pt>
              </c:strCache>
            </c:strRef>
          </c:tx>
          <c:spPr>
            <a:solidFill>
              <a:schemeClr val="accent4"/>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DASHBOARD!$K$33:$K$44</c:f>
              <c:numCache>
                <c:formatCode>General</c:formatCode>
                <c:ptCount val="12"/>
                <c:pt idx="0">
                  <c:v>0</c:v>
                </c:pt>
                <c:pt idx="1">
                  <c:v>0</c:v>
                </c:pt>
                <c:pt idx="2">
                  <c:v>0</c:v>
                </c:pt>
                <c:pt idx="3">
                  <c:v>0</c:v>
                </c:pt>
                <c:pt idx="4">
                  <c:v>1</c:v>
                </c:pt>
                <c:pt idx="5">
                  <c:v>0</c:v>
                </c:pt>
                <c:pt idx="6">
                  <c:v>0</c:v>
                </c:pt>
                <c:pt idx="7">
                  <c:v>0</c:v>
                </c:pt>
                <c:pt idx="8">
                  <c:v>0</c:v>
                </c:pt>
                <c:pt idx="9">
                  <c:v>0</c:v>
                </c:pt>
              </c:numCache>
            </c:numRef>
          </c:val>
          <c:extLst>
            <c:ext xmlns:c16="http://schemas.microsoft.com/office/drawing/2014/chart" uri="{C3380CC4-5D6E-409C-BE32-E72D297353CC}">
              <c16:uniqueId val="{00000003-F22E-4D0A-987C-C898F432AFF2}"/>
            </c:ext>
          </c:extLst>
        </c:ser>
        <c:ser>
          <c:idx val="4"/>
          <c:order val="4"/>
          <c:tx>
            <c:strRef>
              <c:f>DASHBOARD!$L$32</c:f>
              <c:strCache>
                <c:ptCount val="1"/>
                <c:pt idx="0">
                  <c:v>PITCON &amp; SURVEY</c:v>
                </c:pt>
              </c:strCache>
            </c:strRef>
          </c:tx>
          <c:spPr>
            <a:solidFill>
              <a:schemeClr val="accent5"/>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DASHBOARD!$L$33:$L$44</c:f>
              <c:numCache>
                <c:formatCode>General</c:formatCode>
                <c:ptCount val="12"/>
                <c:pt idx="0">
                  <c:v>0</c:v>
                </c:pt>
                <c:pt idx="1">
                  <c:v>1</c:v>
                </c:pt>
                <c:pt idx="2">
                  <c:v>0</c:v>
                </c:pt>
                <c:pt idx="3">
                  <c:v>1</c:v>
                </c:pt>
                <c:pt idx="4">
                  <c:v>0</c:v>
                </c:pt>
                <c:pt idx="5">
                  <c:v>0</c:v>
                </c:pt>
                <c:pt idx="6">
                  <c:v>0</c:v>
                </c:pt>
                <c:pt idx="7">
                  <c:v>1</c:v>
                </c:pt>
                <c:pt idx="8">
                  <c:v>0</c:v>
                </c:pt>
                <c:pt idx="9">
                  <c:v>0</c:v>
                </c:pt>
              </c:numCache>
            </c:numRef>
          </c:val>
          <c:extLst>
            <c:ext xmlns:c16="http://schemas.microsoft.com/office/drawing/2014/chart" uri="{C3380CC4-5D6E-409C-BE32-E72D297353CC}">
              <c16:uniqueId val="{00000004-F22E-4D0A-987C-C898F432AFF2}"/>
            </c:ext>
          </c:extLst>
        </c:ser>
        <c:ser>
          <c:idx val="5"/>
          <c:order val="5"/>
          <c:tx>
            <c:strRef>
              <c:f>DASHBOARD!$M$32</c:f>
              <c:strCache>
                <c:ptCount val="1"/>
                <c:pt idx="0">
                  <c:v>TRAINING</c:v>
                </c:pt>
              </c:strCache>
            </c:strRef>
          </c:tx>
          <c:spPr>
            <a:solidFill>
              <a:schemeClr val="accent6"/>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DASHBOARD!$M$33:$M$44</c:f>
              <c:numCache>
                <c:formatCode>General</c:formatCode>
                <c:ptCount val="12"/>
                <c:pt idx="0">
                  <c:v>8</c:v>
                </c:pt>
                <c:pt idx="1">
                  <c:v>1</c:v>
                </c:pt>
                <c:pt idx="2">
                  <c:v>2</c:v>
                </c:pt>
                <c:pt idx="3">
                  <c:v>7</c:v>
                </c:pt>
                <c:pt idx="4">
                  <c:v>7</c:v>
                </c:pt>
                <c:pt idx="5">
                  <c:v>1</c:v>
                </c:pt>
                <c:pt idx="6">
                  <c:v>0</c:v>
                </c:pt>
                <c:pt idx="7">
                  <c:v>1</c:v>
                </c:pt>
                <c:pt idx="8">
                  <c:v>2</c:v>
                </c:pt>
                <c:pt idx="9">
                  <c:v>0</c:v>
                </c:pt>
              </c:numCache>
            </c:numRef>
          </c:val>
          <c:extLst>
            <c:ext xmlns:c16="http://schemas.microsoft.com/office/drawing/2014/chart" uri="{C3380CC4-5D6E-409C-BE32-E72D297353CC}">
              <c16:uniqueId val="{00000005-F22E-4D0A-987C-C898F432AFF2}"/>
            </c:ext>
          </c:extLst>
        </c:ser>
        <c:ser>
          <c:idx val="6"/>
          <c:order val="6"/>
          <c:tx>
            <c:strRef>
              <c:f>DASHBOARD!$N$32</c:f>
              <c:strCache>
                <c:ptCount val="1"/>
                <c:pt idx="0">
                  <c:v>PLANT TUHUP</c:v>
                </c:pt>
              </c:strCache>
            </c:strRef>
          </c:tx>
          <c:spPr>
            <a:solidFill>
              <a:schemeClr val="accent1">
                <a:lumMod val="6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DASHBOARD!$N$33:$N$44</c:f>
              <c:numCache>
                <c:formatCode>General</c:formatCode>
                <c:ptCount val="12"/>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F22E-4D0A-987C-C898F432AFF2}"/>
            </c:ext>
          </c:extLst>
        </c:ser>
        <c:ser>
          <c:idx val="7"/>
          <c:order val="7"/>
          <c:tx>
            <c:strRef>
              <c:f>DASHBOARD!$O$32</c:f>
              <c:strCache>
                <c:ptCount val="1"/>
                <c:pt idx="0">
                  <c:v>PLANT HAJU</c:v>
                </c:pt>
              </c:strCache>
            </c:strRef>
          </c:tx>
          <c:spPr>
            <a:solidFill>
              <a:schemeClr val="accent2">
                <a:lumMod val="6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DASHBOARD!$O$33:$O$44</c:f>
              <c:numCache>
                <c:formatCode>General</c:formatCode>
                <c:ptCount val="12"/>
                <c:pt idx="0">
                  <c:v>9</c:v>
                </c:pt>
                <c:pt idx="1">
                  <c:v>3</c:v>
                </c:pt>
                <c:pt idx="2">
                  <c:v>0</c:v>
                </c:pt>
                <c:pt idx="3">
                  <c:v>6</c:v>
                </c:pt>
                <c:pt idx="4">
                  <c:v>23</c:v>
                </c:pt>
                <c:pt idx="5">
                  <c:v>18</c:v>
                </c:pt>
                <c:pt idx="6">
                  <c:v>8</c:v>
                </c:pt>
                <c:pt idx="7">
                  <c:v>2</c:v>
                </c:pt>
                <c:pt idx="8">
                  <c:v>3</c:v>
                </c:pt>
                <c:pt idx="9">
                  <c:v>0</c:v>
                </c:pt>
              </c:numCache>
            </c:numRef>
          </c:val>
          <c:extLst>
            <c:ext xmlns:c16="http://schemas.microsoft.com/office/drawing/2014/chart" uri="{C3380CC4-5D6E-409C-BE32-E72D297353CC}">
              <c16:uniqueId val="{00000007-F22E-4D0A-987C-C898F432AFF2}"/>
            </c:ext>
          </c:extLst>
        </c:ser>
        <c:ser>
          <c:idx val="8"/>
          <c:order val="8"/>
          <c:tx>
            <c:strRef>
              <c:f>DASHBOARD!$P$32</c:f>
              <c:strCache>
                <c:ptCount val="1"/>
                <c:pt idx="0">
                  <c:v>PLANT CHPP</c:v>
                </c:pt>
              </c:strCache>
            </c:strRef>
          </c:tx>
          <c:spPr>
            <a:solidFill>
              <a:schemeClr val="accent3">
                <a:lumMod val="6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DASHBOARD!$P$33:$P$44</c:f>
              <c:numCache>
                <c:formatCode>General</c:formatCode>
                <c:ptCount val="12"/>
                <c:pt idx="0">
                  <c:v>2</c:v>
                </c:pt>
                <c:pt idx="1">
                  <c:v>0</c:v>
                </c:pt>
                <c:pt idx="2">
                  <c:v>0</c:v>
                </c:pt>
                <c:pt idx="3">
                  <c:v>4</c:v>
                </c:pt>
                <c:pt idx="4">
                  <c:v>0</c:v>
                </c:pt>
                <c:pt idx="5">
                  <c:v>0</c:v>
                </c:pt>
                <c:pt idx="6">
                  <c:v>9</c:v>
                </c:pt>
                <c:pt idx="7">
                  <c:v>3</c:v>
                </c:pt>
                <c:pt idx="8">
                  <c:v>0</c:v>
                </c:pt>
                <c:pt idx="9">
                  <c:v>0</c:v>
                </c:pt>
              </c:numCache>
            </c:numRef>
          </c:val>
          <c:extLst>
            <c:ext xmlns:c16="http://schemas.microsoft.com/office/drawing/2014/chart" uri="{C3380CC4-5D6E-409C-BE32-E72D297353CC}">
              <c16:uniqueId val="{00000008-F22E-4D0A-987C-C898F432AFF2}"/>
            </c:ext>
          </c:extLst>
        </c:ser>
        <c:ser>
          <c:idx val="9"/>
          <c:order val="9"/>
          <c:tx>
            <c:strRef>
              <c:f>DASHBOARD!$Q$32</c:f>
              <c:strCache>
                <c:ptCount val="1"/>
                <c:pt idx="0">
                  <c:v>HRGA</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DASHBOARD!$Q$33:$Q$44</c:f>
              <c:numCache>
                <c:formatCode>General</c:formatCode>
                <c:ptCount val="12"/>
                <c:pt idx="0">
                  <c:v>4</c:v>
                </c:pt>
                <c:pt idx="1">
                  <c:v>1</c:v>
                </c:pt>
                <c:pt idx="2">
                  <c:v>3</c:v>
                </c:pt>
                <c:pt idx="3">
                  <c:v>4</c:v>
                </c:pt>
                <c:pt idx="4">
                  <c:v>3</c:v>
                </c:pt>
                <c:pt idx="5">
                  <c:v>3</c:v>
                </c:pt>
                <c:pt idx="6">
                  <c:v>14</c:v>
                </c:pt>
                <c:pt idx="7">
                  <c:v>2</c:v>
                </c:pt>
                <c:pt idx="8">
                  <c:v>0</c:v>
                </c:pt>
                <c:pt idx="9">
                  <c:v>0</c:v>
                </c:pt>
              </c:numCache>
            </c:numRef>
          </c:val>
          <c:extLst>
            <c:ext xmlns:c16="http://schemas.microsoft.com/office/drawing/2014/chart" uri="{C3380CC4-5D6E-409C-BE32-E72D297353CC}">
              <c16:uniqueId val="{00000009-F22E-4D0A-987C-C898F432AFF2}"/>
            </c:ext>
          </c:extLst>
        </c:ser>
        <c:ser>
          <c:idx val="10"/>
          <c:order val="10"/>
          <c:tx>
            <c:strRef>
              <c:f>DASHBOARD!$R$32</c:f>
              <c:strCache>
                <c:ptCount val="1"/>
                <c:pt idx="0">
                  <c:v>LOGISTIK</c:v>
                </c:pt>
              </c:strCache>
            </c:strRef>
          </c:tx>
          <c:spPr>
            <a:solidFill>
              <a:schemeClr val="accent5">
                <a:lumMod val="6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DASHBOARD!$R$33:$R$44</c:f>
              <c:numCache>
                <c:formatCode>General</c:formatCode>
                <c:ptCount val="12"/>
                <c:pt idx="0">
                  <c:v>0</c:v>
                </c:pt>
                <c:pt idx="1">
                  <c:v>0</c:v>
                </c:pt>
                <c:pt idx="2">
                  <c:v>2</c:v>
                </c:pt>
                <c:pt idx="3">
                  <c:v>0</c:v>
                </c:pt>
                <c:pt idx="4">
                  <c:v>0</c:v>
                </c:pt>
                <c:pt idx="5">
                  <c:v>0</c:v>
                </c:pt>
                <c:pt idx="6">
                  <c:v>3</c:v>
                </c:pt>
                <c:pt idx="7">
                  <c:v>1</c:v>
                </c:pt>
                <c:pt idx="8">
                  <c:v>0</c:v>
                </c:pt>
                <c:pt idx="9">
                  <c:v>0</c:v>
                </c:pt>
              </c:numCache>
            </c:numRef>
          </c:val>
          <c:extLst>
            <c:ext xmlns:c16="http://schemas.microsoft.com/office/drawing/2014/chart" uri="{C3380CC4-5D6E-409C-BE32-E72D297353CC}">
              <c16:uniqueId val="{00000000-725C-4248-B0B0-CA3E46CE5A3C}"/>
            </c:ext>
          </c:extLst>
        </c:ser>
        <c:ser>
          <c:idx val="11"/>
          <c:order val="11"/>
          <c:tx>
            <c:strRef>
              <c:f>DASHBOARD!$S$32</c:f>
              <c:strCache>
                <c:ptCount val="1"/>
                <c:pt idx="0">
                  <c:v>SHE</c:v>
                </c:pt>
              </c:strCache>
            </c:strRef>
          </c:tx>
          <c:spPr>
            <a:solidFill>
              <a:schemeClr val="accent6">
                <a:lumMod val="6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DASHBOARD!$S$33:$S$44</c:f>
              <c:numCache>
                <c:formatCode>General</c:formatCode>
                <c:ptCount val="12"/>
                <c:pt idx="0">
                  <c:v>2</c:v>
                </c:pt>
                <c:pt idx="1">
                  <c:v>4</c:v>
                </c:pt>
                <c:pt idx="2">
                  <c:v>7</c:v>
                </c:pt>
                <c:pt idx="3">
                  <c:v>7</c:v>
                </c:pt>
                <c:pt idx="4">
                  <c:v>5</c:v>
                </c:pt>
                <c:pt idx="5">
                  <c:v>5</c:v>
                </c:pt>
                <c:pt idx="6">
                  <c:v>3</c:v>
                </c:pt>
                <c:pt idx="7">
                  <c:v>0</c:v>
                </c:pt>
                <c:pt idx="8">
                  <c:v>0</c:v>
                </c:pt>
                <c:pt idx="9">
                  <c:v>0</c:v>
                </c:pt>
              </c:numCache>
            </c:numRef>
          </c:val>
          <c:extLst>
            <c:ext xmlns:c16="http://schemas.microsoft.com/office/drawing/2014/chart" uri="{C3380CC4-5D6E-409C-BE32-E72D297353CC}">
              <c16:uniqueId val="{00000001-725C-4248-B0B0-CA3E46CE5A3C}"/>
            </c:ext>
          </c:extLst>
        </c:ser>
        <c:ser>
          <c:idx val="12"/>
          <c:order val="12"/>
          <c:tx>
            <c:strRef>
              <c:f>DASHBOARD!$T$32</c:f>
              <c:strCache>
                <c:ptCount val="1"/>
                <c:pt idx="0">
                  <c:v>AMC</c:v>
                </c:pt>
              </c:strCache>
            </c:strRef>
          </c:tx>
          <c:spPr>
            <a:solidFill>
              <a:schemeClr val="accent1">
                <a:lumMod val="80000"/>
                <a:lumOff val="20000"/>
              </a:schemeClr>
            </a:solidFill>
            <a:ln>
              <a:noFill/>
            </a:ln>
            <a:effectLst/>
          </c:spPr>
          <c:invertIfNegative val="0"/>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DASHBOARD!$T$33:$T$44</c:f>
              <c:numCache>
                <c:formatCode>General</c:formatCode>
                <c:ptCount val="12"/>
                <c:pt idx="0">
                  <c:v>2</c:v>
                </c:pt>
                <c:pt idx="1">
                  <c:v>0</c:v>
                </c:pt>
                <c:pt idx="2">
                  <c:v>1</c:v>
                </c:pt>
                <c:pt idx="3">
                  <c:v>2</c:v>
                </c:pt>
                <c:pt idx="4">
                  <c:v>0</c:v>
                </c:pt>
                <c:pt idx="5">
                  <c:v>2</c:v>
                </c:pt>
                <c:pt idx="6">
                  <c:v>1</c:v>
                </c:pt>
                <c:pt idx="7">
                  <c:v>0</c:v>
                </c:pt>
                <c:pt idx="8">
                  <c:v>0</c:v>
                </c:pt>
                <c:pt idx="9">
                  <c:v>0</c:v>
                </c:pt>
              </c:numCache>
            </c:numRef>
          </c:val>
          <c:extLst>
            <c:ext xmlns:c16="http://schemas.microsoft.com/office/drawing/2014/chart" uri="{C3380CC4-5D6E-409C-BE32-E72D297353CC}">
              <c16:uniqueId val="{00000002-725C-4248-B0B0-CA3E46CE5A3C}"/>
            </c:ext>
          </c:extLst>
        </c:ser>
        <c:dLbls>
          <c:showLegendKey val="0"/>
          <c:showVal val="0"/>
          <c:showCatName val="0"/>
          <c:showSerName val="0"/>
          <c:showPercent val="0"/>
          <c:showBubbleSize val="0"/>
        </c:dLbls>
        <c:gapWidth val="65"/>
        <c:overlap val="100"/>
        <c:axId val="2021234704"/>
        <c:axId val="2021226000"/>
      </c:barChart>
      <c:catAx>
        <c:axId val="202123470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6000"/>
        <c:crosses val="autoZero"/>
        <c:auto val="1"/>
        <c:lblAlgn val="ctr"/>
        <c:lblOffset val="100"/>
        <c:noMultiLvlLbl val="0"/>
      </c:catAx>
      <c:valAx>
        <c:axId val="2021226000"/>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4704"/>
        <c:crosses val="autoZero"/>
        <c:crossBetween val="between"/>
      </c:valAx>
      <c:spPr>
        <a:noFill/>
        <a:ln>
          <a:noFill/>
        </a:ln>
        <a:effectLst/>
      </c:spPr>
    </c:plotArea>
    <c:legend>
      <c:legendPos val="b"/>
      <c:layout>
        <c:manualLayout>
          <c:xMode val="edge"/>
          <c:yMode val="edge"/>
          <c:x val="5.315097335344901E-2"/>
          <c:y val="0.87886350443991024"/>
          <c:w val="0.88460056938690246"/>
          <c:h val="0.121136414609143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600" b="1"/>
              <a:t>INSIDEN</a:t>
            </a:r>
            <a:r>
              <a:rPr lang="en-ID" sz="1600" b="1" baseline="0"/>
              <a:t> HPRI VS NON HPRI YTD 2022</a:t>
            </a:r>
            <a:endParaRPr lang="en-ID"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DASHBOARD!$R$32</c:f>
              <c:strCache>
                <c:ptCount val="1"/>
                <c:pt idx="0">
                  <c:v>LOGISTIK</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DASHBOARD!$R$33:$R$44</c:f>
              <c:numCache>
                <c:formatCode>General</c:formatCode>
                <c:ptCount val="12"/>
                <c:pt idx="0">
                  <c:v>0</c:v>
                </c:pt>
                <c:pt idx="1">
                  <c:v>0</c:v>
                </c:pt>
                <c:pt idx="2">
                  <c:v>2</c:v>
                </c:pt>
                <c:pt idx="3">
                  <c:v>0</c:v>
                </c:pt>
                <c:pt idx="4">
                  <c:v>0</c:v>
                </c:pt>
                <c:pt idx="5">
                  <c:v>0</c:v>
                </c:pt>
                <c:pt idx="6">
                  <c:v>3</c:v>
                </c:pt>
                <c:pt idx="7">
                  <c:v>1</c:v>
                </c:pt>
                <c:pt idx="8">
                  <c:v>0</c:v>
                </c:pt>
                <c:pt idx="9">
                  <c:v>0</c:v>
                </c:pt>
              </c:numCache>
            </c:numRef>
          </c:val>
          <c:extLst>
            <c:ext xmlns:c16="http://schemas.microsoft.com/office/drawing/2014/chart" uri="{C3380CC4-5D6E-409C-BE32-E72D297353CC}">
              <c16:uniqueId val="{00000000-5C20-411A-B027-22B91DBE8E64}"/>
            </c:ext>
          </c:extLst>
        </c:ser>
        <c:ser>
          <c:idx val="1"/>
          <c:order val="1"/>
          <c:tx>
            <c:strRef>
              <c:f>DASHBOARD!$S$32</c:f>
              <c:strCache>
                <c:ptCount val="1"/>
                <c:pt idx="0">
                  <c:v>SHE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DASHBOARD!$D$33:$D$44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DASHBOARD!$S$33:$S$44</c:f>
              <c:numCache>
                <c:formatCode>General</c:formatCode>
                <c:ptCount val="12"/>
                <c:pt idx="0">
                  <c:v>2</c:v>
                </c:pt>
                <c:pt idx="1">
                  <c:v>4</c:v>
                </c:pt>
                <c:pt idx="2">
                  <c:v>7</c:v>
                </c:pt>
                <c:pt idx="3">
                  <c:v>7</c:v>
                </c:pt>
                <c:pt idx="4">
                  <c:v>5</c:v>
                </c:pt>
                <c:pt idx="5">
                  <c:v>5</c:v>
                </c:pt>
                <c:pt idx="6">
                  <c:v>3</c:v>
                </c:pt>
                <c:pt idx="7">
                  <c:v>0</c:v>
                </c:pt>
                <c:pt idx="8">
                  <c:v>0</c:v>
                </c:pt>
                <c:pt idx="9">
                  <c:v>0</c:v>
                </c:pt>
              </c:numCache>
            </c:numRef>
          </c:val>
          <c:extLst>
            <c:ext xmlns:c16="http://schemas.microsoft.com/office/drawing/2014/chart" uri="{C3380CC4-5D6E-409C-BE32-E72D297353CC}">
              <c16:uniqueId val="{00000001-5C20-411A-B027-22B91DBE8E64}"/>
            </c:ext>
          </c:extLst>
        </c:ser>
        <c:dLbls>
          <c:showLegendKey val="0"/>
          <c:showVal val="0"/>
          <c:showCatName val="0"/>
          <c:showSerName val="0"/>
          <c:showPercent val="0"/>
          <c:showBubbleSize val="0"/>
        </c:dLbls>
        <c:gapWidth val="65"/>
        <c:overlap val="-27"/>
        <c:axId val="2021231984"/>
        <c:axId val="2021227632"/>
      </c:barChart>
      <c:catAx>
        <c:axId val="20212319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7632"/>
        <c:crosses val="autoZero"/>
        <c:auto val="1"/>
        <c:lblAlgn val="ctr"/>
        <c:lblOffset val="100"/>
        <c:noMultiLvlLbl val="0"/>
      </c:catAx>
      <c:valAx>
        <c:axId val="20212276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1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600" b="1"/>
              <a:t>LOKASI</a:t>
            </a:r>
            <a:r>
              <a:rPr lang="en-ID" sz="1600" b="1" baseline="0"/>
              <a:t> INSIDEN YTD 2022</a:t>
            </a:r>
            <a:endParaRPr lang="en-ID"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0"/>
          <c:order val="0"/>
          <c:tx>
            <c:strRef>
              <c:f>DASHBOARD!$D$54</c:f>
              <c:strCache>
                <c:ptCount val="1"/>
                <c:pt idx="0">
                  <c:v>JAN</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DASHBOARD!$E$54:$R$54</c:f>
              <c:numCache>
                <c:formatCode>General</c:formatCode>
                <c:ptCount val="14"/>
                <c:pt idx="0" formatCode="_(* #,##0_);_(* \(#,##0\);_(* &quot;-&quot;??_);_(@_)">
                  <c:v>0</c:v>
                </c:pt>
                <c:pt idx="1">
                  <c:v>5</c:v>
                </c:pt>
                <c:pt idx="2" formatCode="_(* #,##0_);_(* \(#,##0\);_(* &quot;-&quot;??_);_(@_)">
                  <c:v>0</c:v>
                </c:pt>
                <c:pt idx="3">
                  <c:v>4</c:v>
                </c:pt>
                <c:pt idx="4" formatCode="_(* #,##0_);_(* \(#,##0\);_(* &quot;-&quot;??_);_(@_)">
                  <c:v>0</c:v>
                </c:pt>
                <c:pt idx="5">
                  <c:v>3</c:v>
                </c:pt>
                <c:pt idx="6" formatCode="_(* #,##0_);_(* \(#,##0\);_(* &quot;-&quot;??_);_(@_)">
                  <c:v>0</c:v>
                </c:pt>
                <c:pt idx="7" formatCode="_(* #,##0_);_(* \(#,##0\);_(* &quot;-&quot;??_);_(@_)">
                  <c:v>0</c:v>
                </c:pt>
                <c:pt idx="8" formatCode="_(* #,##0_);_(* \(#,##0\);_(* &quot;-&quot;??_);_(@_)">
                  <c:v>0</c:v>
                </c:pt>
                <c:pt idx="9" formatCode="_(* #,##0_);_(* \(#,##0\);_(* &quot;-&quot;??_);_(@_)">
                  <c:v>0</c:v>
                </c:pt>
                <c:pt idx="10" formatCode="_(* #,##0_);_(* \(#,##0\);_(* &quot;-&quot;??_);_(@_)">
                  <c:v>0</c:v>
                </c:pt>
                <c:pt idx="11" formatCode="_(* #,##0_);_(* \(#,##0\);_(* &quot;-&quot;??_);_(@_)">
                  <c:v>0</c:v>
                </c:pt>
                <c:pt idx="12" formatCode="_(* #,##0_);_(* \(#,##0\);_(* &quot;-&quot;??_);_(@_)">
                  <c:v>0</c:v>
                </c:pt>
                <c:pt idx="13" formatCode="_(* #,##0_);_(* \(#,##0\);_(* &quot;-&quot;??_);_(@_)">
                  <c:v>0</c:v>
                </c:pt>
              </c:numCache>
            </c:numRef>
          </c:val>
          <c:extLst>
            <c:ext xmlns:c16="http://schemas.microsoft.com/office/drawing/2014/chart" uri="{C3380CC4-5D6E-409C-BE32-E72D297353CC}">
              <c16:uniqueId val="{00000000-323F-4B84-9BAE-DBCC9201604B}"/>
            </c:ext>
          </c:extLst>
        </c:ser>
        <c:ser>
          <c:idx val="1"/>
          <c:order val="1"/>
          <c:tx>
            <c:strRef>
              <c:f>DASHBOARD!$D$55</c:f>
              <c:strCache>
                <c:ptCount val="1"/>
                <c:pt idx="0">
                  <c:v>FEB</c:v>
                </c:pt>
              </c:strCache>
            </c:strRef>
          </c:tx>
          <c:spPr>
            <a:solidFill>
              <a:schemeClr val="accent2"/>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DASHBOARD!$E$55:$R$55</c:f>
              <c:numCache>
                <c:formatCode>General</c:formatCode>
                <c:ptCount val="14"/>
                <c:pt idx="0" formatCode="_(* #,##0_);_(* \(#,##0\);_(* &quot;-&quot;??_);_(@_)">
                  <c:v>1</c:v>
                </c:pt>
                <c:pt idx="1">
                  <c:v>0</c:v>
                </c:pt>
                <c:pt idx="2" formatCode="_(* #,##0_);_(* \(#,##0\);_(* &quot;-&quot;??_);_(@_)">
                  <c:v>0</c:v>
                </c:pt>
                <c:pt idx="3">
                  <c:v>4</c:v>
                </c:pt>
                <c:pt idx="4" formatCode="_(* #,##0_);_(* \(#,##0\);_(* &quot;-&quot;??_);_(@_)">
                  <c:v>0</c:v>
                </c:pt>
                <c:pt idx="5">
                  <c:v>0</c:v>
                </c:pt>
                <c:pt idx="6" formatCode="_(* #,##0_);_(* \(#,##0\);_(* &quot;-&quot;??_);_(@_)">
                  <c:v>0</c:v>
                </c:pt>
                <c:pt idx="7" formatCode="_(* #,##0_);_(* \(#,##0\);_(* &quot;-&quot;??_);_(@_)">
                  <c:v>0</c:v>
                </c:pt>
                <c:pt idx="8" formatCode="_(* #,##0_);_(* \(#,##0\);_(* &quot;-&quot;??_);_(@_)">
                  <c:v>0</c:v>
                </c:pt>
                <c:pt idx="9" formatCode="_(* #,##0_);_(* \(#,##0\);_(* &quot;-&quot;??_);_(@_)">
                  <c:v>0</c:v>
                </c:pt>
                <c:pt idx="10" formatCode="_(* #,##0_);_(* \(#,##0\);_(* &quot;-&quot;??_);_(@_)">
                  <c:v>0</c:v>
                </c:pt>
                <c:pt idx="11" formatCode="_(* #,##0_);_(* \(#,##0\);_(* &quot;-&quot;??_);_(@_)">
                  <c:v>0</c:v>
                </c:pt>
                <c:pt idx="12" formatCode="_(* #,##0_);_(* \(#,##0\);_(* &quot;-&quot;??_);_(@_)">
                  <c:v>0</c:v>
                </c:pt>
                <c:pt idx="13" formatCode="_(* #,##0_);_(* \(#,##0\);_(* &quot;-&quot;??_);_(@_)">
                  <c:v>0</c:v>
                </c:pt>
              </c:numCache>
            </c:numRef>
          </c:val>
          <c:extLst>
            <c:ext xmlns:c16="http://schemas.microsoft.com/office/drawing/2014/chart" uri="{C3380CC4-5D6E-409C-BE32-E72D297353CC}">
              <c16:uniqueId val="{00000001-323F-4B84-9BAE-DBCC9201604B}"/>
            </c:ext>
          </c:extLst>
        </c:ser>
        <c:ser>
          <c:idx val="2"/>
          <c:order val="2"/>
          <c:tx>
            <c:strRef>
              <c:f>DASHBOARD!$D$56</c:f>
              <c:strCache>
                <c:ptCount val="1"/>
                <c:pt idx="0">
                  <c:v>MAR</c:v>
                </c:pt>
              </c:strCache>
            </c:strRef>
          </c:tx>
          <c:spPr>
            <a:solidFill>
              <a:schemeClr val="accent3"/>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DASHBOARD!$E$56:$R$56</c:f>
              <c:numCache>
                <c:formatCode>General</c:formatCode>
                <c:ptCount val="14"/>
                <c:pt idx="0" formatCode="_(* #,##0_);_(* \(#,##0\);_(* &quot;-&quot;??_);_(@_)">
                  <c:v>0</c:v>
                </c:pt>
                <c:pt idx="1">
                  <c:v>1</c:v>
                </c:pt>
                <c:pt idx="2">
                  <c:v>1</c:v>
                </c:pt>
                <c:pt idx="3">
                  <c:v>3</c:v>
                </c:pt>
                <c:pt idx="4">
                  <c:v>1</c:v>
                </c:pt>
                <c:pt idx="5">
                  <c:v>1</c:v>
                </c:pt>
                <c:pt idx="6" formatCode="_(* #,##0_);_(* \(#,##0\);_(* &quot;-&quot;??_);_(@_)">
                  <c:v>0</c:v>
                </c:pt>
                <c:pt idx="7" formatCode="_(* #,##0_);_(* \(#,##0\);_(* &quot;-&quot;??_);_(@_)">
                  <c:v>0</c:v>
                </c:pt>
                <c:pt idx="8" formatCode="_(* #,##0_);_(* \(#,##0\);_(* &quot;-&quot;??_);_(@_)">
                  <c:v>0</c:v>
                </c:pt>
                <c:pt idx="9" formatCode="_(* #,##0_);_(* \(#,##0\);_(* &quot;-&quot;??_);_(@_)">
                  <c:v>0</c:v>
                </c:pt>
                <c:pt idx="10" formatCode="_(* #,##0_);_(* \(#,##0\);_(* &quot;-&quot;??_);_(@_)">
                  <c:v>0</c:v>
                </c:pt>
                <c:pt idx="11" formatCode="_(* #,##0_);_(* \(#,##0\);_(* &quot;-&quot;??_);_(@_)">
                  <c:v>0</c:v>
                </c:pt>
                <c:pt idx="12" formatCode="_(* #,##0_);_(* \(#,##0\);_(* &quot;-&quot;??_);_(@_)">
                  <c:v>0</c:v>
                </c:pt>
                <c:pt idx="13" formatCode="_(* #,##0_);_(* \(#,##0\);_(* &quot;-&quot;??_);_(@_)">
                  <c:v>0</c:v>
                </c:pt>
              </c:numCache>
            </c:numRef>
          </c:val>
          <c:extLst>
            <c:ext xmlns:c16="http://schemas.microsoft.com/office/drawing/2014/chart" uri="{C3380CC4-5D6E-409C-BE32-E72D297353CC}">
              <c16:uniqueId val="{00000002-323F-4B84-9BAE-DBCC9201604B}"/>
            </c:ext>
          </c:extLst>
        </c:ser>
        <c:ser>
          <c:idx val="3"/>
          <c:order val="3"/>
          <c:tx>
            <c:strRef>
              <c:f>DASHBOARD!$D$57</c:f>
              <c:strCache>
                <c:ptCount val="1"/>
                <c:pt idx="0">
                  <c:v>APR</c:v>
                </c:pt>
              </c:strCache>
            </c:strRef>
          </c:tx>
          <c:spPr>
            <a:solidFill>
              <a:schemeClr val="accent4"/>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DASHBOARD!$E$57:$R$57</c:f>
              <c:numCache>
                <c:formatCode>_(* #,##0_);_(* \(#,##0\);_(* "-"??_);_(@_)</c:formatCode>
                <c:ptCount val="14"/>
                <c:pt idx="0">
                  <c:v>1</c:v>
                </c:pt>
                <c:pt idx="1">
                  <c:v>3</c:v>
                </c:pt>
                <c:pt idx="2">
                  <c:v>0</c:v>
                </c:pt>
                <c:pt idx="3">
                  <c:v>4</c:v>
                </c:pt>
                <c:pt idx="4">
                  <c:v>0</c:v>
                </c:pt>
                <c:pt idx="5">
                  <c:v>0</c:v>
                </c:pt>
                <c:pt idx="6">
                  <c:v>0</c:v>
                </c:pt>
                <c:pt idx="7">
                  <c:v>0</c:v>
                </c:pt>
                <c:pt idx="8">
                  <c:v>0</c:v>
                </c:pt>
                <c:pt idx="9">
                  <c:v>1</c:v>
                </c:pt>
                <c:pt idx="10">
                  <c:v>0</c:v>
                </c:pt>
                <c:pt idx="11">
                  <c:v>0</c:v>
                </c:pt>
                <c:pt idx="12">
                  <c:v>0</c:v>
                </c:pt>
                <c:pt idx="13">
                  <c:v>0</c:v>
                </c:pt>
              </c:numCache>
            </c:numRef>
          </c:val>
          <c:extLst>
            <c:ext xmlns:c16="http://schemas.microsoft.com/office/drawing/2014/chart" uri="{C3380CC4-5D6E-409C-BE32-E72D297353CC}">
              <c16:uniqueId val="{00000003-323F-4B84-9BAE-DBCC9201604B}"/>
            </c:ext>
          </c:extLst>
        </c:ser>
        <c:ser>
          <c:idx val="4"/>
          <c:order val="4"/>
          <c:tx>
            <c:strRef>
              <c:f>DASHBOARD!$D$58</c:f>
              <c:strCache>
                <c:ptCount val="1"/>
                <c:pt idx="0">
                  <c:v>MEI</c:v>
                </c:pt>
              </c:strCache>
            </c:strRef>
          </c:tx>
          <c:spPr>
            <a:solidFill>
              <a:schemeClr val="accent5"/>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DASHBOARD!$E$58:$R$58</c:f>
              <c:numCache>
                <c:formatCode>_(* #,##0_);_(* \(#,##0\);_(* "-"??_);_(@_)</c:formatCode>
                <c:ptCount val="14"/>
                <c:pt idx="0">
                  <c:v>4</c:v>
                </c:pt>
                <c:pt idx="1">
                  <c:v>1</c:v>
                </c:pt>
                <c:pt idx="2">
                  <c:v>0</c:v>
                </c:pt>
                <c:pt idx="3">
                  <c:v>4</c:v>
                </c:pt>
                <c:pt idx="4">
                  <c:v>0</c:v>
                </c:pt>
                <c:pt idx="5">
                  <c:v>0</c:v>
                </c:pt>
                <c:pt idx="6">
                  <c:v>0</c:v>
                </c:pt>
                <c:pt idx="7">
                  <c:v>0</c:v>
                </c:pt>
                <c:pt idx="8">
                  <c:v>0</c:v>
                </c:pt>
                <c:pt idx="9">
                  <c:v>0</c:v>
                </c:pt>
                <c:pt idx="10">
                  <c:v>0</c:v>
                </c:pt>
                <c:pt idx="11">
                  <c:v>1</c:v>
                </c:pt>
                <c:pt idx="12">
                  <c:v>0</c:v>
                </c:pt>
                <c:pt idx="13">
                  <c:v>0</c:v>
                </c:pt>
              </c:numCache>
            </c:numRef>
          </c:val>
          <c:extLst>
            <c:ext xmlns:c16="http://schemas.microsoft.com/office/drawing/2014/chart" uri="{C3380CC4-5D6E-409C-BE32-E72D297353CC}">
              <c16:uniqueId val="{00000004-323F-4B84-9BAE-DBCC9201604B}"/>
            </c:ext>
          </c:extLst>
        </c:ser>
        <c:ser>
          <c:idx val="5"/>
          <c:order val="5"/>
          <c:tx>
            <c:strRef>
              <c:f>DASHBOARD!$D$59</c:f>
              <c:strCache>
                <c:ptCount val="1"/>
                <c:pt idx="0">
                  <c:v>JUN</c:v>
                </c:pt>
              </c:strCache>
            </c:strRef>
          </c:tx>
          <c:spPr>
            <a:solidFill>
              <a:schemeClr val="accent6"/>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DASHBOARD!$E$59:$R$59</c:f>
              <c:numCache>
                <c:formatCode>_(* #,##0_);_(* \(#,##0\);_(* "-"??_);_(@_)</c:formatCode>
                <c:ptCount val="14"/>
                <c:pt idx="0">
                  <c:v>2</c:v>
                </c:pt>
                <c:pt idx="1">
                  <c:v>1</c:v>
                </c:pt>
                <c:pt idx="2">
                  <c:v>1</c:v>
                </c:pt>
                <c:pt idx="3">
                  <c:v>2</c:v>
                </c:pt>
                <c:pt idx="4">
                  <c:v>1</c:v>
                </c:pt>
                <c:pt idx="5">
                  <c:v>0</c:v>
                </c:pt>
                <c:pt idx="6">
                  <c:v>1</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5-323F-4B84-9BAE-DBCC9201604B}"/>
            </c:ext>
          </c:extLst>
        </c:ser>
        <c:ser>
          <c:idx val="6"/>
          <c:order val="6"/>
          <c:tx>
            <c:strRef>
              <c:f>DASHBOARD!$D$60</c:f>
              <c:strCache>
                <c:ptCount val="1"/>
                <c:pt idx="0">
                  <c:v>JULI</c:v>
                </c:pt>
              </c:strCache>
            </c:strRef>
          </c:tx>
          <c:spPr>
            <a:solidFill>
              <a:schemeClr val="accent1">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DASHBOARD!$E$60:$R$60</c:f>
              <c:numCache>
                <c:formatCode>_(* #,##0_);_(* \(#,##0\);_(* "-"??_);_(@_)</c:formatCode>
                <c:ptCount val="14"/>
                <c:pt idx="0">
                  <c:v>0</c:v>
                </c:pt>
                <c:pt idx="1">
                  <c:v>1</c:v>
                </c:pt>
                <c:pt idx="2">
                  <c:v>0</c:v>
                </c:pt>
                <c:pt idx="3">
                  <c:v>4</c:v>
                </c:pt>
                <c:pt idx="4">
                  <c:v>1</c:v>
                </c:pt>
                <c:pt idx="5">
                  <c:v>0</c:v>
                </c:pt>
                <c:pt idx="6">
                  <c:v>0</c:v>
                </c:pt>
                <c:pt idx="7">
                  <c:v>0</c:v>
                </c:pt>
                <c:pt idx="8">
                  <c:v>0</c:v>
                </c:pt>
                <c:pt idx="9">
                  <c:v>1</c:v>
                </c:pt>
                <c:pt idx="10">
                  <c:v>0</c:v>
                </c:pt>
                <c:pt idx="11">
                  <c:v>0</c:v>
                </c:pt>
                <c:pt idx="12">
                  <c:v>0</c:v>
                </c:pt>
                <c:pt idx="13">
                  <c:v>0</c:v>
                </c:pt>
              </c:numCache>
            </c:numRef>
          </c:val>
          <c:extLst>
            <c:ext xmlns:c16="http://schemas.microsoft.com/office/drawing/2014/chart" uri="{C3380CC4-5D6E-409C-BE32-E72D297353CC}">
              <c16:uniqueId val="{00000006-323F-4B84-9BAE-DBCC9201604B}"/>
            </c:ext>
          </c:extLst>
        </c:ser>
        <c:ser>
          <c:idx val="7"/>
          <c:order val="7"/>
          <c:tx>
            <c:strRef>
              <c:f>DASHBOARD!$D$61</c:f>
              <c:strCache>
                <c:ptCount val="1"/>
                <c:pt idx="0">
                  <c:v>AGST</c:v>
                </c:pt>
              </c:strCache>
            </c:strRef>
          </c:tx>
          <c:spPr>
            <a:solidFill>
              <a:schemeClr val="accent2">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DASHBOARD!$E$61:$R$61</c:f>
              <c:numCache>
                <c:formatCode>_(* #,##0_);_(* \(#,##0\);_(* "-"??_);_(@_)</c:formatCode>
                <c:ptCount val="14"/>
                <c:pt idx="0">
                  <c:v>0</c:v>
                </c:pt>
                <c:pt idx="1">
                  <c:v>3</c:v>
                </c:pt>
                <c:pt idx="2">
                  <c:v>0</c:v>
                </c:pt>
                <c:pt idx="3">
                  <c:v>2</c:v>
                </c:pt>
                <c:pt idx="4">
                  <c:v>1</c:v>
                </c:pt>
                <c:pt idx="5">
                  <c:v>1</c:v>
                </c:pt>
                <c:pt idx="6">
                  <c:v>0</c:v>
                </c:pt>
                <c:pt idx="7">
                  <c:v>0</c:v>
                </c:pt>
                <c:pt idx="8">
                  <c:v>0</c:v>
                </c:pt>
                <c:pt idx="9">
                  <c:v>1</c:v>
                </c:pt>
                <c:pt idx="10">
                  <c:v>0</c:v>
                </c:pt>
                <c:pt idx="11">
                  <c:v>0</c:v>
                </c:pt>
                <c:pt idx="12">
                  <c:v>0</c:v>
                </c:pt>
                <c:pt idx="13">
                  <c:v>1</c:v>
                </c:pt>
              </c:numCache>
            </c:numRef>
          </c:val>
          <c:extLst>
            <c:ext xmlns:c16="http://schemas.microsoft.com/office/drawing/2014/chart" uri="{C3380CC4-5D6E-409C-BE32-E72D297353CC}">
              <c16:uniqueId val="{00000007-323F-4B84-9BAE-DBCC9201604B}"/>
            </c:ext>
          </c:extLst>
        </c:ser>
        <c:ser>
          <c:idx val="8"/>
          <c:order val="8"/>
          <c:tx>
            <c:strRef>
              <c:f>DASHBOARD!$D$62</c:f>
              <c:strCache>
                <c:ptCount val="1"/>
                <c:pt idx="0">
                  <c:v>SEPT</c:v>
                </c:pt>
              </c:strCache>
            </c:strRef>
          </c:tx>
          <c:spPr>
            <a:solidFill>
              <a:schemeClr val="accent3">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DASHBOARD!$E$62:$R$62</c:f>
              <c:numCache>
                <c:formatCode>_(* #,##0_);_(* \(#,##0\);_(* "-"??_);_(@_)</c:formatCode>
                <c:ptCount val="14"/>
                <c:pt idx="0">
                  <c:v>1</c:v>
                </c:pt>
                <c:pt idx="1">
                  <c:v>1</c:v>
                </c:pt>
                <c:pt idx="2">
                  <c:v>0</c:v>
                </c:pt>
                <c:pt idx="3">
                  <c:v>1</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8-323F-4B84-9BAE-DBCC9201604B}"/>
            </c:ext>
          </c:extLst>
        </c:ser>
        <c:ser>
          <c:idx val="9"/>
          <c:order val="9"/>
          <c:tx>
            <c:strRef>
              <c:f>DASHBOARD!$D$63</c:f>
              <c:strCache>
                <c:ptCount val="1"/>
                <c:pt idx="0">
                  <c:v>OKT</c:v>
                </c:pt>
              </c:strCache>
            </c:strRef>
          </c:tx>
          <c:spPr>
            <a:solidFill>
              <a:schemeClr val="accent4">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DASHBOARD!$E$63:$R$63</c:f>
              <c:numCache>
                <c:formatCode>_(* #,##0_);_(* \(#,##0\);_(* "-"??_);_(@_)</c:formatCode>
                <c:ptCount val="14"/>
              </c:numCache>
            </c:numRef>
          </c:val>
          <c:extLst>
            <c:ext xmlns:c16="http://schemas.microsoft.com/office/drawing/2014/chart" uri="{C3380CC4-5D6E-409C-BE32-E72D297353CC}">
              <c16:uniqueId val="{00000009-323F-4B84-9BAE-DBCC9201604B}"/>
            </c:ext>
          </c:extLst>
        </c:ser>
        <c:ser>
          <c:idx val="10"/>
          <c:order val="10"/>
          <c:tx>
            <c:strRef>
              <c:f>DASHBOARD!$D$64</c:f>
              <c:strCache>
                <c:ptCount val="1"/>
                <c:pt idx="0">
                  <c:v>NOV</c:v>
                </c:pt>
              </c:strCache>
            </c:strRef>
          </c:tx>
          <c:spPr>
            <a:solidFill>
              <a:schemeClr val="accent5">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DASHBOARD!$E$64:$R$64</c:f>
              <c:numCache>
                <c:formatCode>_(* #,##0_);_(* \(#,##0\);_(* "-"??_);_(@_)</c:formatCode>
                <c:ptCount val="14"/>
              </c:numCache>
            </c:numRef>
          </c:val>
          <c:extLst>
            <c:ext xmlns:c16="http://schemas.microsoft.com/office/drawing/2014/chart" uri="{C3380CC4-5D6E-409C-BE32-E72D297353CC}">
              <c16:uniqueId val="{0000000A-323F-4B84-9BAE-DBCC9201604B}"/>
            </c:ext>
          </c:extLst>
        </c:ser>
        <c:ser>
          <c:idx val="11"/>
          <c:order val="11"/>
          <c:tx>
            <c:strRef>
              <c:f>DASHBOARD!$D$65</c:f>
              <c:strCache>
                <c:ptCount val="1"/>
                <c:pt idx="0">
                  <c:v>DES</c:v>
                </c:pt>
              </c:strCache>
            </c:strRef>
          </c:tx>
          <c:spPr>
            <a:solidFill>
              <a:schemeClr val="accent6">
                <a:lumMod val="60000"/>
              </a:schemeClr>
            </a:solidFill>
            <a:ln>
              <a:noFill/>
            </a:ln>
            <a:effectLst/>
          </c:spPr>
          <c:invertIfNegative val="0"/>
          <c:cat>
            <c:strRef>
              <c:f>DASHBOARD!$E$53:$R$53</c:f>
              <c:strCache>
                <c:ptCount val="14"/>
                <c:pt idx="0">
                  <c:v>MINING</c:v>
                </c:pt>
                <c:pt idx="1">
                  <c:v>LNR</c:v>
                </c:pt>
                <c:pt idx="2">
                  <c:v>CHR</c:v>
                </c:pt>
                <c:pt idx="3">
                  <c:v>SHR</c:v>
                </c:pt>
                <c:pt idx="4">
                  <c:v>ROM CHPP</c:v>
                </c:pt>
                <c:pt idx="5">
                  <c:v>PORT TUHUP</c:v>
                </c:pt>
                <c:pt idx="6">
                  <c:v>CSA</c:v>
                </c:pt>
                <c:pt idx="7">
                  <c:v>PIT STOP</c:v>
                </c:pt>
                <c:pt idx="8">
                  <c:v>TPS</c:v>
                </c:pt>
                <c:pt idx="9">
                  <c:v>WORKSHOP</c:v>
                </c:pt>
                <c:pt idx="10">
                  <c:v>WAREHOUSE</c:v>
                </c:pt>
                <c:pt idx="11">
                  <c:v>MESS</c:v>
                </c:pt>
                <c:pt idx="12">
                  <c:v>KLINIK</c:v>
                </c:pt>
                <c:pt idx="13">
                  <c:v>MINE ROAD AKSES</c:v>
                </c:pt>
              </c:strCache>
            </c:strRef>
          </c:cat>
          <c:val>
            <c:numRef>
              <c:f>DASHBOARD!$E$65:$R$65</c:f>
              <c:numCache>
                <c:formatCode>_(* #,##0_);_(* \(#,##0\);_(* "-"??_);_(@_)</c:formatCode>
                <c:ptCount val="14"/>
              </c:numCache>
            </c:numRef>
          </c:val>
          <c:extLst>
            <c:ext xmlns:c16="http://schemas.microsoft.com/office/drawing/2014/chart" uri="{C3380CC4-5D6E-409C-BE32-E72D297353CC}">
              <c16:uniqueId val="{0000000B-323F-4B84-9BAE-DBCC9201604B}"/>
            </c:ext>
          </c:extLst>
        </c:ser>
        <c:dLbls>
          <c:showLegendKey val="0"/>
          <c:showVal val="0"/>
          <c:showCatName val="0"/>
          <c:showSerName val="0"/>
          <c:showPercent val="0"/>
          <c:showBubbleSize val="0"/>
        </c:dLbls>
        <c:gapWidth val="65"/>
        <c:overlap val="100"/>
        <c:axId val="2021222192"/>
        <c:axId val="2021221648"/>
      </c:barChart>
      <c:catAx>
        <c:axId val="202122219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1648"/>
        <c:crosses val="autoZero"/>
        <c:auto val="1"/>
        <c:lblAlgn val="ctr"/>
        <c:lblOffset val="100"/>
        <c:noMultiLvlLbl val="0"/>
      </c:catAx>
      <c:valAx>
        <c:axId val="20212216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2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D" sz="1600" b="1"/>
              <a:t>JUMLAH</a:t>
            </a:r>
            <a:r>
              <a:rPr lang="en-ID" sz="1600" b="1" baseline="0"/>
              <a:t> INSIDEN VS KTA &amp; TTA 2022</a:t>
            </a:r>
            <a:endParaRPr lang="en-ID"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stacked"/>
        <c:varyColors val="0"/>
        <c:ser>
          <c:idx val="2"/>
          <c:order val="2"/>
          <c:tx>
            <c:strRef>
              <c:f>DASHBOARD!$J$12</c:f>
              <c:strCache>
                <c:ptCount val="1"/>
                <c:pt idx="0">
                  <c:v>NM</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DASHBOARD!$J$13:$J$24</c:f>
              <c:numCache>
                <c:formatCode>_(* #,##0_);_(* \(#,##0\);_(* "-"??_);_(@_)</c:formatCode>
                <c:ptCount val="12"/>
                <c:pt idx="0">
                  <c:v>5</c:v>
                </c:pt>
                <c:pt idx="1">
                  <c:v>2</c:v>
                </c:pt>
                <c:pt idx="2">
                  <c:v>2</c:v>
                </c:pt>
                <c:pt idx="3">
                  <c:v>2</c:v>
                </c:pt>
                <c:pt idx="4">
                  <c:v>5</c:v>
                </c:pt>
                <c:pt idx="5">
                  <c:v>2</c:v>
                </c:pt>
                <c:pt idx="6">
                  <c:v>1</c:v>
                </c:pt>
                <c:pt idx="7">
                  <c:v>5</c:v>
                </c:pt>
                <c:pt idx="8">
                  <c:v>1</c:v>
                </c:pt>
                <c:pt idx="9">
                  <c:v>1</c:v>
                </c:pt>
                <c:pt idx="10">
                  <c:v>0</c:v>
                </c:pt>
                <c:pt idx="11">
                  <c:v>0</c:v>
                </c:pt>
              </c:numCache>
            </c:numRef>
          </c:val>
          <c:extLst>
            <c:ext xmlns:c16="http://schemas.microsoft.com/office/drawing/2014/chart" uri="{C3380CC4-5D6E-409C-BE32-E72D297353CC}">
              <c16:uniqueId val="{00000002-4D98-4781-8306-218B57F791F8}"/>
            </c:ext>
          </c:extLst>
        </c:ser>
        <c:ser>
          <c:idx val="3"/>
          <c:order val="3"/>
          <c:tx>
            <c:strRef>
              <c:f>DASHBOARD!$K$12</c:f>
              <c:strCache>
                <c:ptCount val="1"/>
                <c:pt idx="0">
                  <c:v>PD</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DASHBOARD!$K$13:$K$24</c:f>
              <c:numCache>
                <c:formatCode>_(* #,##0_);_(* \(#,##0\);_(* "-"??_);_(@_)</c:formatCode>
                <c:ptCount val="12"/>
                <c:pt idx="0">
                  <c:v>6</c:v>
                </c:pt>
                <c:pt idx="1">
                  <c:v>2</c:v>
                </c:pt>
                <c:pt idx="2">
                  <c:v>5</c:v>
                </c:pt>
                <c:pt idx="3">
                  <c:v>6</c:v>
                </c:pt>
                <c:pt idx="4">
                  <c:v>4</c:v>
                </c:pt>
                <c:pt idx="5">
                  <c:v>5</c:v>
                </c:pt>
                <c:pt idx="6">
                  <c:v>3</c:v>
                </c:pt>
                <c:pt idx="7">
                  <c:v>3</c:v>
                </c:pt>
                <c:pt idx="8">
                  <c:v>2</c:v>
                </c:pt>
                <c:pt idx="9">
                  <c:v>2</c:v>
                </c:pt>
                <c:pt idx="10">
                  <c:v>0</c:v>
                </c:pt>
                <c:pt idx="11">
                  <c:v>0</c:v>
                </c:pt>
              </c:numCache>
            </c:numRef>
          </c:val>
          <c:extLst>
            <c:ext xmlns:c16="http://schemas.microsoft.com/office/drawing/2014/chart" uri="{C3380CC4-5D6E-409C-BE32-E72D297353CC}">
              <c16:uniqueId val="{00000003-4D98-4781-8306-218B57F791F8}"/>
            </c:ext>
          </c:extLst>
        </c:ser>
        <c:ser>
          <c:idx val="4"/>
          <c:order val="4"/>
          <c:tx>
            <c:strRef>
              <c:f>DASHBOARD!$L$12</c:f>
              <c:strCache>
                <c:ptCount val="1"/>
                <c:pt idx="0">
                  <c:v>FAI</c:v>
                </c:pt>
              </c:strCache>
            </c:strRef>
          </c:tx>
          <c:spPr>
            <a:solidFill>
              <a:schemeClr val="accent5"/>
            </a:solidFill>
            <a:ln>
              <a:noFill/>
            </a:ln>
            <a:effectLst/>
          </c:spPr>
          <c:invertIfNegative val="0"/>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DASHBOARD!$L$13:$L$24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4D98-4781-8306-218B57F791F8}"/>
            </c:ext>
          </c:extLst>
        </c:ser>
        <c:ser>
          <c:idx val="5"/>
          <c:order val="5"/>
          <c:tx>
            <c:strRef>
              <c:f>DASHBOARD!$M$12</c:f>
              <c:strCache>
                <c:ptCount val="1"/>
                <c:pt idx="0">
                  <c:v>MTI</c:v>
                </c:pt>
              </c:strCache>
            </c:strRef>
          </c:tx>
          <c:spPr>
            <a:solidFill>
              <a:schemeClr val="accent6"/>
            </a:solidFill>
            <a:ln>
              <a:noFill/>
            </a:ln>
            <a:effectLst/>
          </c:spPr>
          <c:invertIfNegative val="0"/>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DASHBOARD!$M$13:$M$24</c:f>
              <c:numCache>
                <c:formatCode>_(* #,##0_);_(* \(#,##0\);_(* "-"??_);_(@_)</c:formatCode>
                <c:ptCount val="12"/>
                <c:pt idx="0">
                  <c:v>0</c:v>
                </c:pt>
                <c:pt idx="1">
                  <c:v>1</c:v>
                </c:pt>
                <c:pt idx="2">
                  <c:v>0</c:v>
                </c:pt>
                <c:pt idx="3">
                  <c:v>0</c:v>
                </c:pt>
                <c:pt idx="4">
                  <c:v>0</c:v>
                </c:pt>
                <c:pt idx="5">
                  <c:v>0</c:v>
                </c:pt>
                <c:pt idx="6">
                  <c:v>2</c:v>
                </c:pt>
                <c:pt idx="7">
                  <c:v>0</c:v>
                </c:pt>
                <c:pt idx="8">
                  <c:v>0</c:v>
                </c:pt>
                <c:pt idx="9">
                  <c:v>0</c:v>
                </c:pt>
                <c:pt idx="10">
                  <c:v>0</c:v>
                </c:pt>
                <c:pt idx="11">
                  <c:v>0</c:v>
                </c:pt>
              </c:numCache>
            </c:numRef>
          </c:val>
          <c:extLst>
            <c:ext xmlns:c16="http://schemas.microsoft.com/office/drawing/2014/chart" uri="{C3380CC4-5D6E-409C-BE32-E72D297353CC}">
              <c16:uniqueId val="{00000005-4D98-4781-8306-218B57F791F8}"/>
            </c:ext>
          </c:extLst>
        </c:ser>
        <c:ser>
          <c:idx val="6"/>
          <c:order val="6"/>
          <c:tx>
            <c:strRef>
              <c:f>DASHBOARD!$N$12</c:f>
              <c:strCache>
                <c:ptCount val="1"/>
                <c:pt idx="0">
                  <c:v>RWI</c:v>
                </c:pt>
              </c:strCache>
            </c:strRef>
          </c:tx>
          <c:spPr>
            <a:solidFill>
              <a:schemeClr val="accent1">
                <a:lumMod val="60000"/>
              </a:schemeClr>
            </a:solidFill>
            <a:ln>
              <a:noFill/>
            </a:ln>
            <a:effectLst/>
          </c:spPr>
          <c:invertIfNegative val="0"/>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DASHBOARD!$N$13:$N$24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D98-4781-8306-218B57F791F8}"/>
            </c:ext>
          </c:extLst>
        </c:ser>
        <c:ser>
          <c:idx val="7"/>
          <c:order val="7"/>
          <c:tx>
            <c:strRef>
              <c:f>DASHBOARD!$O$12</c:f>
              <c:strCache>
                <c:ptCount val="1"/>
                <c:pt idx="0">
                  <c:v>LTI</c:v>
                </c:pt>
              </c:strCache>
            </c:strRef>
          </c:tx>
          <c:spPr>
            <a:solidFill>
              <a:schemeClr val="accent2">
                <a:lumMod val="60000"/>
              </a:schemeClr>
            </a:solidFill>
            <a:ln>
              <a:noFill/>
            </a:ln>
            <a:effectLst/>
          </c:spPr>
          <c:invertIfNegative val="0"/>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DASHBOARD!$O$13:$O$24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D98-4781-8306-218B57F791F8}"/>
            </c:ext>
          </c:extLst>
        </c:ser>
        <c:ser>
          <c:idx val="8"/>
          <c:order val="8"/>
          <c:tx>
            <c:strRef>
              <c:f>DASHBOARD!$P$12</c:f>
              <c:strCache>
                <c:ptCount val="1"/>
                <c:pt idx="0">
                  <c:v>FATAL</c:v>
                </c:pt>
              </c:strCache>
            </c:strRef>
          </c:tx>
          <c:spPr>
            <a:solidFill>
              <a:schemeClr val="accent3">
                <a:lumMod val="60000"/>
              </a:schemeClr>
            </a:solidFill>
            <a:ln>
              <a:noFill/>
            </a:ln>
            <a:effectLst/>
          </c:spPr>
          <c:invertIfNegative val="0"/>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DASHBOARD!$P$13:$P$24</c:f>
              <c:numCache>
                <c:formatCode>_(* #,##0_);_(* \(#,##0\);_(*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D98-4781-8306-218B57F791F8}"/>
            </c:ext>
          </c:extLst>
        </c:ser>
        <c:ser>
          <c:idx val="9"/>
          <c:order val="9"/>
          <c:tx>
            <c:strRef>
              <c:f>DASHBOARD!$Q$12</c:f>
              <c:strCache>
                <c:ptCount val="1"/>
                <c:pt idx="0">
                  <c:v>EI</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DASHBOARD!$Q$13:$Q$24</c:f>
              <c:numCache>
                <c:formatCode>_(* #,##0_);_(* \(#,##0\);_(* "-"??_);_(@_)</c:formatCode>
                <c:ptCount val="12"/>
                <c:pt idx="0">
                  <c:v>1</c:v>
                </c:pt>
                <c:pt idx="1">
                  <c:v>0</c:v>
                </c:pt>
                <c:pt idx="2">
                  <c:v>0</c:v>
                </c:pt>
                <c:pt idx="3">
                  <c:v>1</c:v>
                </c:pt>
                <c:pt idx="4">
                  <c:v>1</c:v>
                </c:pt>
                <c:pt idx="5">
                  <c:v>1</c:v>
                </c:pt>
                <c:pt idx="6">
                  <c:v>1</c:v>
                </c:pt>
                <c:pt idx="7">
                  <c:v>1</c:v>
                </c:pt>
                <c:pt idx="8">
                  <c:v>0</c:v>
                </c:pt>
                <c:pt idx="9">
                  <c:v>1</c:v>
                </c:pt>
                <c:pt idx="10">
                  <c:v>0</c:v>
                </c:pt>
                <c:pt idx="11">
                  <c:v>0</c:v>
                </c:pt>
              </c:numCache>
            </c:numRef>
          </c:val>
          <c:extLst>
            <c:ext xmlns:c16="http://schemas.microsoft.com/office/drawing/2014/chart" uri="{C3380CC4-5D6E-409C-BE32-E72D297353CC}">
              <c16:uniqueId val="{00000009-4D98-4781-8306-218B57F791F8}"/>
            </c:ext>
          </c:extLst>
        </c:ser>
        <c:dLbls>
          <c:showLegendKey val="0"/>
          <c:showVal val="0"/>
          <c:showCatName val="0"/>
          <c:showSerName val="0"/>
          <c:showPercent val="0"/>
          <c:showBubbleSize val="0"/>
        </c:dLbls>
        <c:gapWidth val="65"/>
        <c:overlap val="100"/>
        <c:axId val="2021231440"/>
        <c:axId val="2021226544"/>
      </c:barChart>
      <c:lineChart>
        <c:grouping val="percentStacked"/>
        <c:varyColors val="0"/>
        <c:ser>
          <c:idx val="1"/>
          <c:order val="0"/>
          <c:tx>
            <c:strRef>
              <c:f>DASHBOARD!$I$12</c:f>
              <c:strCache>
                <c:ptCount val="1"/>
                <c:pt idx="0">
                  <c:v>TTA</c:v>
                </c:pt>
              </c:strCache>
            </c:strRef>
          </c:tx>
          <c:spPr>
            <a:ln w="28575" cap="rnd">
              <a:solidFill>
                <a:srgbClr val="FF0000"/>
              </a:solidFill>
              <a:round/>
            </a:ln>
            <a:effectLst/>
          </c:spPr>
          <c:marker>
            <c:symbol val="circle"/>
            <c:size val="5"/>
            <c:spPr>
              <a:solidFill>
                <a:schemeClr val="bg1"/>
              </a:solidFill>
              <a:ln w="9525">
                <a:solidFill>
                  <a:srgbClr val="FF0000"/>
                </a:solidFill>
              </a:ln>
              <a:effectLst/>
            </c:spPr>
          </c:marker>
          <c:dLbls>
            <c:spPr>
              <a:solidFill>
                <a:schemeClr val="accent4">
                  <a:lumMod val="20000"/>
                  <a:lumOff val="80000"/>
                </a:schemeClr>
              </a:solid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DASHBOARD!$I$13:$I$24</c:f>
              <c:numCache>
                <c:formatCode>General</c:formatCode>
                <c:ptCount val="12"/>
                <c:pt idx="0">
                  <c:v>365</c:v>
                </c:pt>
                <c:pt idx="1">
                  <c:v>334</c:v>
                </c:pt>
                <c:pt idx="2">
                  <c:v>256</c:v>
                </c:pt>
                <c:pt idx="3" formatCode="_(* #,##0_);_(* \(#,##0\);_(* &quot;-&quot;??_);_(@_)">
                  <c:v>0</c:v>
                </c:pt>
                <c:pt idx="4" formatCode="_(* #,##0_);_(* \(#,##0\);_(* &quot;-&quot;??_);_(@_)">
                  <c:v>0</c:v>
                </c:pt>
                <c:pt idx="5" formatCode="_(* #,##0_);_(* \(#,##0\);_(* &quot;-&quot;??_);_(@_)">
                  <c:v>0</c:v>
                </c:pt>
                <c:pt idx="6" formatCode="_(* #,##0_);_(* \(#,##0\);_(* &quot;-&quot;??_);_(@_)">
                  <c:v>0</c:v>
                </c:pt>
              </c:numCache>
            </c:numRef>
          </c:val>
          <c:smooth val="0"/>
          <c:extLst>
            <c:ext xmlns:c16="http://schemas.microsoft.com/office/drawing/2014/chart" uri="{C3380CC4-5D6E-409C-BE32-E72D297353CC}">
              <c16:uniqueId val="{00000001-4D98-4781-8306-218B57F791F8}"/>
            </c:ext>
          </c:extLst>
        </c:ser>
        <c:ser>
          <c:idx val="0"/>
          <c:order val="1"/>
          <c:tx>
            <c:strRef>
              <c:f>DASHBOARD!$H$11</c:f>
              <c:strCache>
                <c:ptCount val="1"/>
                <c:pt idx="0">
                  <c:v>KTA</c:v>
                </c:pt>
              </c:strCache>
            </c:strRef>
          </c:tx>
          <c:spPr>
            <a:ln w="28575" cap="rnd">
              <a:solidFill>
                <a:schemeClr val="accent5">
                  <a:lumMod val="75000"/>
                </a:schemeClr>
              </a:solidFill>
              <a:round/>
            </a:ln>
            <a:effectLst/>
          </c:spPr>
          <c:marker>
            <c:symbol val="circle"/>
            <c:size val="5"/>
            <c:spPr>
              <a:solidFill>
                <a:schemeClr val="bg1"/>
              </a:solidFill>
              <a:ln w="9525">
                <a:solidFill>
                  <a:schemeClr val="accent5">
                    <a:lumMod val="75000"/>
                  </a:schemeClr>
                </a:solidFill>
              </a:ln>
              <a:effectLst/>
            </c:spPr>
          </c:marker>
          <c:dLbls>
            <c:spPr>
              <a:solidFill>
                <a:schemeClr val="accent5">
                  <a:lumMod val="20000"/>
                  <a:lumOff val="80000"/>
                </a:schemeClr>
              </a:solid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DASHBOARD!$D$13:$D$24</c:f>
              <c:strCache>
                <c:ptCount val="12"/>
                <c:pt idx="0">
                  <c:v>JAN</c:v>
                </c:pt>
                <c:pt idx="1">
                  <c:v>FEB</c:v>
                </c:pt>
                <c:pt idx="2">
                  <c:v>MAR</c:v>
                </c:pt>
                <c:pt idx="3">
                  <c:v>APR</c:v>
                </c:pt>
                <c:pt idx="4">
                  <c:v>MEI</c:v>
                </c:pt>
                <c:pt idx="5">
                  <c:v>JUN</c:v>
                </c:pt>
                <c:pt idx="6">
                  <c:v>JULI</c:v>
                </c:pt>
                <c:pt idx="7">
                  <c:v>AGST</c:v>
                </c:pt>
                <c:pt idx="8">
                  <c:v>SEPT</c:v>
                </c:pt>
                <c:pt idx="9">
                  <c:v>OKT</c:v>
                </c:pt>
                <c:pt idx="10">
                  <c:v>NOV</c:v>
                </c:pt>
                <c:pt idx="11">
                  <c:v>DES</c:v>
                </c:pt>
              </c:strCache>
            </c:strRef>
          </c:cat>
          <c:val>
            <c:numRef>
              <c:f>DASHBOARD!$H$13:$H$24</c:f>
              <c:numCache>
                <c:formatCode>General</c:formatCode>
                <c:ptCount val="12"/>
                <c:pt idx="0">
                  <c:v>1621</c:v>
                </c:pt>
                <c:pt idx="1">
                  <c:v>1493</c:v>
                </c:pt>
                <c:pt idx="2">
                  <c:v>1203</c:v>
                </c:pt>
                <c:pt idx="3" formatCode="_(* #,##0_);_(* \(#,##0\);_(* &quot;-&quot;??_);_(@_)">
                  <c:v>0</c:v>
                </c:pt>
                <c:pt idx="4" formatCode="_(* #,##0_);_(* \(#,##0\);_(* &quot;-&quot;??_);_(@_)">
                  <c:v>0</c:v>
                </c:pt>
                <c:pt idx="5" formatCode="_(* #,##0_);_(* \(#,##0\);_(* &quot;-&quot;??_);_(@_)">
                  <c:v>0</c:v>
                </c:pt>
                <c:pt idx="6" formatCode="_(* #,##0_);_(* \(#,##0\);_(* &quot;-&quot;??_);_(@_)">
                  <c:v>0</c:v>
                </c:pt>
              </c:numCache>
            </c:numRef>
          </c:val>
          <c:smooth val="0"/>
          <c:extLst>
            <c:ext xmlns:c16="http://schemas.microsoft.com/office/drawing/2014/chart" uri="{C3380CC4-5D6E-409C-BE32-E72D297353CC}">
              <c16:uniqueId val="{00000000-4D98-4781-8306-218B57F791F8}"/>
            </c:ext>
          </c:extLst>
        </c:ser>
        <c:dLbls>
          <c:showLegendKey val="0"/>
          <c:showVal val="0"/>
          <c:showCatName val="0"/>
          <c:showSerName val="0"/>
          <c:showPercent val="0"/>
          <c:showBubbleSize val="0"/>
        </c:dLbls>
        <c:marker val="1"/>
        <c:smooth val="0"/>
        <c:axId val="2021224368"/>
        <c:axId val="2021223280"/>
      </c:lineChart>
      <c:catAx>
        <c:axId val="20212314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6544"/>
        <c:crosses val="autoZero"/>
        <c:auto val="1"/>
        <c:lblAlgn val="ctr"/>
        <c:lblOffset val="100"/>
        <c:noMultiLvlLbl val="0"/>
      </c:catAx>
      <c:valAx>
        <c:axId val="20212265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31440"/>
        <c:crosses val="autoZero"/>
        <c:crossBetween val="between"/>
      </c:valAx>
      <c:valAx>
        <c:axId val="20212232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1224368"/>
        <c:crosses val="max"/>
        <c:crossBetween val="between"/>
      </c:valAx>
      <c:catAx>
        <c:axId val="2021224368"/>
        <c:scaling>
          <c:orientation val="minMax"/>
        </c:scaling>
        <c:delete val="1"/>
        <c:axPos val="b"/>
        <c:numFmt formatCode="General" sourceLinked="1"/>
        <c:majorTickMark val="out"/>
        <c:minorTickMark val="none"/>
        <c:tickLblPos val="nextTo"/>
        <c:crossAx val="20212232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5">
                  <a:lumMod val="75000"/>
                </a:schemeClr>
              </a:solidFill>
              <a:ln>
                <a:noFill/>
              </a:ln>
              <a:effectLst/>
            </c:spPr>
            <c:extLst>
              <c:ext xmlns:c16="http://schemas.microsoft.com/office/drawing/2014/chart" uri="{C3380CC4-5D6E-409C-BE32-E72D297353CC}">
                <c16:uniqueId val="{00000004-A8DC-4E77-9BEC-73C5FD5B7871}"/>
              </c:ext>
            </c:extLst>
          </c:dPt>
          <c:dPt>
            <c:idx val="1"/>
            <c:bubble3D val="0"/>
            <c:explosion val="7"/>
            <c:spPr>
              <a:solidFill>
                <a:srgbClr val="FFC000"/>
              </a:solidFill>
              <a:ln>
                <a:noFill/>
              </a:ln>
              <a:effectLst/>
            </c:spPr>
            <c:extLst>
              <c:ext xmlns:c16="http://schemas.microsoft.com/office/drawing/2014/chart" uri="{C3380CC4-5D6E-409C-BE32-E72D297353CC}">
                <c16:uniqueId val="{00000005-A8DC-4E77-9BEC-73C5FD5B7871}"/>
              </c:ext>
            </c:extLst>
          </c:dPt>
          <c:dPt>
            <c:idx val="2"/>
            <c:bubble3D val="0"/>
            <c:explosion val="12"/>
            <c:spPr>
              <a:solidFill>
                <a:srgbClr val="FF0000"/>
              </a:solidFill>
              <a:ln>
                <a:noFill/>
              </a:ln>
              <a:effectLst/>
            </c:spPr>
            <c:extLst>
              <c:ext xmlns:c16="http://schemas.microsoft.com/office/drawing/2014/chart" uri="{C3380CC4-5D6E-409C-BE32-E72D297353CC}">
                <c16:uniqueId val="{00000002-A8DC-4E77-9BEC-73C5FD5B7871}"/>
              </c:ext>
            </c:extLst>
          </c:dPt>
          <c:dPt>
            <c:idx val="3"/>
            <c:bubble3D val="0"/>
            <c:spPr>
              <a:solidFill>
                <a:schemeClr val="accent1">
                  <a:lumMod val="40000"/>
                  <a:lumOff val="60000"/>
                </a:schemeClr>
              </a:solidFill>
              <a:ln>
                <a:noFill/>
              </a:ln>
              <a:effectLst/>
            </c:spPr>
            <c:extLst>
              <c:ext xmlns:c16="http://schemas.microsoft.com/office/drawing/2014/chart" uri="{C3380CC4-5D6E-409C-BE32-E72D297353CC}">
                <c16:uniqueId val="{00000003-A8DC-4E77-9BEC-73C5FD5B7871}"/>
              </c:ext>
            </c:extLst>
          </c:dPt>
          <c:dLbls>
            <c:dLbl>
              <c:idx val="1"/>
              <c:spPr>
                <a:noFill/>
                <a:ln w="12700" cap="flat" cmpd="sng" algn="ctr">
                  <a:no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A8DC-4E77-9BEC-73C5FD5B7871}"/>
                </c:ext>
              </c:extLst>
            </c:dLbl>
            <c:dLbl>
              <c:idx val="3"/>
              <c:spPr>
                <a:noFill/>
                <a:ln w="12700" cap="flat" cmpd="sng" algn="ctr">
                  <a:no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8DC-4E77-9BEC-73C5FD5B7871}"/>
                </c:ext>
              </c:extLst>
            </c:dLbl>
            <c:spPr>
              <a:noFill/>
              <a:ln w="12700" cap="flat" cmpd="sng" algn="ctr">
                <a:no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bg1"/>
                    </a:solidFill>
                    <a:effectLst/>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DASHBOARD!$E$73:$H$73</c:f>
              <c:strCache>
                <c:ptCount val="4"/>
                <c:pt idx="0">
                  <c:v>Supervisory Skill</c:v>
                </c:pt>
                <c:pt idx="1">
                  <c:v>SOP Compliance</c:v>
                </c:pt>
                <c:pt idx="2">
                  <c:v>Employee Awareness</c:v>
                </c:pt>
                <c:pt idx="3">
                  <c:v>Management of Change</c:v>
                </c:pt>
              </c:strCache>
            </c:strRef>
          </c:cat>
          <c:val>
            <c:numRef>
              <c:f>DASHBOARD!$E$87:$H$87</c:f>
              <c:numCache>
                <c:formatCode>0%</c:formatCode>
                <c:ptCount val="4"/>
                <c:pt idx="0">
                  <c:v>0.13953488372093023</c:v>
                </c:pt>
                <c:pt idx="1">
                  <c:v>6.9767441860465115E-2</c:v>
                </c:pt>
                <c:pt idx="2">
                  <c:v>0.79069767441860461</c:v>
                </c:pt>
                <c:pt idx="3">
                  <c:v>0</c:v>
                </c:pt>
              </c:numCache>
            </c:numRef>
          </c:val>
          <c:extLst>
            <c:ext xmlns:c16="http://schemas.microsoft.com/office/drawing/2014/chart" uri="{C3380CC4-5D6E-409C-BE32-E72D297353CC}">
              <c16:uniqueId val="{00000000-A8DC-4E77-9BEC-73C5FD5B787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BERDASARKAN SECTION</a:t>
            </a:r>
          </a:p>
        </c:rich>
      </c:tx>
      <c:layout>
        <c:manualLayout>
          <c:xMode val="edge"/>
          <c:yMode val="edge"/>
          <c:x val="0.35437881915248542"/>
          <c:y val="4.5918460192475939E-2"/>
        </c:manualLayout>
      </c:layout>
      <c:overlay val="0"/>
      <c:spPr>
        <a:noFill/>
        <a:ln w="25400">
          <a:noFill/>
        </a:ln>
      </c:spPr>
    </c:title>
    <c:autoTitleDeleted val="0"/>
    <c:plotArea>
      <c:layout>
        <c:manualLayout>
          <c:layoutTarget val="inner"/>
          <c:xMode val="edge"/>
          <c:yMode val="edge"/>
          <c:x val="0.16904276985744082"/>
          <c:y val="0.22449035517567462"/>
          <c:w val="0.79837067209775969"/>
          <c:h val="0.56122588793919548"/>
        </c:manualLayout>
      </c:layout>
      <c:barChart>
        <c:barDir val="col"/>
        <c:grouping val="cluster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6.7888662593349434E-4"/>
                  <c:y val="-2.9852764157899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FC-4D8B-94F7-F2C86C1C037A}"/>
                </c:ext>
              </c:extLst>
            </c:dLbl>
            <c:dLbl>
              <c:idx val="1"/>
              <c:layout>
                <c:manualLayout>
                  <c:x val="2.3762101020468503E-3"/>
                  <c:y val="-3.04195189748209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FC-4D8B-94F7-F2C86C1C037A}"/>
                </c:ext>
              </c:extLst>
            </c:dLbl>
            <c:dLbl>
              <c:idx val="2"/>
              <c:layout>
                <c:manualLayout>
                  <c:x val="4.0055380042871404E-3"/>
                  <c:y val="-4.79935849285595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FC-4D8B-94F7-F2C86C1C037A}"/>
                </c:ext>
              </c:extLst>
            </c:dLbl>
            <c:dLbl>
              <c:idx val="3"/>
              <c:layout>
                <c:manualLayout>
                  <c:x val="5.6348659065274765E-3"/>
                  <c:y val="-1.1145397369055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FC-4D8B-94F7-F2C86C1C037A}"/>
                </c:ext>
              </c:extLst>
            </c:dLbl>
            <c:dLbl>
              <c:idx val="4"/>
              <c:layout>
                <c:manualLayout>
                  <c:x val="5.2275339309674346E-3"/>
                  <c:y val="8.12900386535974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FC-4D8B-94F7-F2C86C1C037A}"/>
                </c:ext>
              </c:extLst>
            </c:dLbl>
            <c:spPr>
              <a:noFill/>
              <a:ln w="25400">
                <a:noFill/>
              </a:ln>
            </c:spPr>
            <c:txPr>
              <a:bodyPr/>
              <a:lstStyle/>
              <a:p>
                <a:pPr>
                  <a:defRPr sz="8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[7]Grafik!$A$13:$A$19</c:f>
              <c:strCache>
                <c:ptCount val="7"/>
                <c:pt idx="0">
                  <c:v>SIS</c:v>
                </c:pt>
                <c:pt idx="1">
                  <c:v>SKB</c:v>
                </c:pt>
                <c:pt idx="2">
                  <c:v>BMC</c:v>
                </c:pt>
                <c:pt idx="3">
                  <c:v>UT</c:v>
                </c:pt>
                <c:pt idx="4">
                  <c:v>UTE PATRIA</c:v>
                </c:pt>
                <c:pt idx="5">
                  <c:v>KMK</c:v>
                </c:pt>
                <c:pt idx="6">
                  <c:v>LAINYA</c:v>
                </c:pt>
              </c:strCache>
            </c:strRef>
          </c:cat>
          <c:val>
            <c:numRef>
              <c:f>[7]Grafik!$B$13:$B$19</c:f>
              <c:numCache>
                <c:formatCode>General</c:formatCode>
                <c:ptCount val="7"/>
                <c:pt idx="0">
                  <c:v>11</c:v>
                </c:pt>
                <c:pt idx="1">
                  <c:v>0</c:v>
                </c:pt>
                <c:pt idx="2">
                  <c:v>1</c:v>
                </c:pt>
                <c:pt idx="3">
                  <c:v>0</c:v>
                </c:pt>
                <c:pt idx="4">
                  <c:v>0</c:v>
                </c:pt>
                <c:pt idx="5">
                  <c:v>0</c:v>
                </c:pt>
                <c:pt idx="6">
                  <c:v>0</c:v>
                </c:pt>
              </c:numCache>
            </c:numRef>
          </c:val>
          <c:extLst>
            <c:ext xmlns:c16="http://schemas.microsoft.com/office/drawing/2014/chart" uri="{C3380CC4-5D6E-409C-BE32-E72D297353CC}">
              <c16:uniqueId val="{00000005-DAFC-4D8B-94F7-F2C86C1C037A}"/>
            </c:ext>
          </c:extLst>
        </c:ser>
        <c:dLbls>
          <c:showLegendKey val="0"/>
          <c:showVal val="1"/>
          <c:showCatName val="0"/>
          <c:showSerName val="0"/>
          <c:showPercent val="0"/>
          <c:showBubbleSize val="0"/>
        </c:dLbls>
        <c:gapWidth val="150"/>
        <c:axId val="2021224912"/>
        <c:axId val="2021228176"/>
      </c:barChart>
      <c:catAx>
        <c:axId val="2021224912"/>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PERUSAHAAN</a:t>
                </a:r>
              </a:p>
            </c:rich>
          </c:tx>
          <c:layout>
            <c:manualLayout>
              <c:xMode val="edge"/>
              <c:yMode val="edge"/>
              <c:x val="0.54378819152460312"/>
              <c:y val="0.872451210265409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1" i="0" u="none" strike="noStrike" baseline="0">
                <a:solidFill>
                  <a:srgbClr val="000000"/>
                </a:solidFill>
                <a:latin typeface="Arial"/>
                <a:ea typeface="Arial"/>
                <a:cs typeface="Arial"/>
              </a:defRPr>
            </a:pPr>
            <a:endParaRPr lang="en-US"/>
          </a:p>
        </c:txPr>
        <c:crossAx val="2021228176"/>
        <c:crosses val="autoZero"/>
        <c:auto val="1"/>
        <c:lblAlgn val="ctr"/>
        <c:lblOffset val="100"/>
        <c:tickLblSkip val="1"/>
        <c:tickMarkSkip val="1"/>
        <c:noMultiLvlLbl val="0"/>
      </c:catAx>
      <c:valAx>
        <c:axId val="2021228176"/>
        <c:scaling>
          <c:orientation val="minMax"/>
          <c:max val="45"/>
          <c:min val="0"/>
        </c:scaling>
        <c:delete val="0"/>
        <c:axPos val="l"/>
        <c:majorGridlines>
          <c:spPr>
            <a:ln w="3175">
              <a:solidFill>
                <a:srgbClr val="000000"/>
              </a:solidFill>
              <a:prstDash val="solid"/>
            </a:ln>
          </c:spPr>
        </c:majorGridlines>
        <c:title>
          <c:tx>
            <c:rich>
              <a:bodyPr rot="0" vert="horz"/>
              <a:lstStyle/>
              <a:p>
                <a:pPr algn="ctr">
                  <a:defRPr sz="800" b="0" i="0" u="none" strike="noStrike" baseline="0">
                    <a:solidFill>
                      <a:srgbClr val="000000"/>
                    </a:solidFill>
                    <a:latin typeface="Arial"/>
                    <a:ea typeface="Arial"/>
                    <a:cs typeface="Arial"/>
                  </a:defRPr>
                </a:pPr>
                <a:r>
                  <a:rPr lang="en-US"/>
                  <a:t>JUMLAH</a:t>
                </a:r>
              </a:p>
            </c:rich>
          </c:tx>
          <c:layout>
            <c:manualLayout>
              <c:xMode val="edge"/>
              <c:yMode val="edge"/>
              <c:x val="2.0366638636189868E-2"/>
              <c:y val="0.454082706328375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1224912"/>
        <c:crosses val="autoZero"/>
        <c:crossBetween val="between"/>
        <c:minorUnit val="2"/>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Sheet4!$D$15</c:f>
              <c:strCache>
                <c:ptCount val="1"/>
                <c:pt idx="0">
                  <c:v>ENVIRONMENTAL INCIDENT</c:v>
                </c:pt>
              </c:strCache>
            </c:strRef>
          </c:tx>
          <c:spPr>
            <a:solidFill>
              <a:schemeClr val="accent1"/>
            </a:solidFill>
            <a:ln>
              <a:noFill/>
            </a:ln>
            <a:effectLst/>
          </c:spPr>
          <c:invertIfNegative val="0"/>
          <c:cat>
            <c:strRef>
              <c:f>Sheet4!$C$16:$C$19</c:f>
              <c:strCache>
                <c:ptCount val="4"/>
                <c:pt idx="0">
                  <c:v>HAULING </c:v>
                </c:pt>
                <c:pt idx="1">
                  <c:v>MESS</c:v>
                </c:pt>
                <c:pt idx="2">
                  <c:v>MINING</c:v>
                </c:pt>
                <c:pt idx="3">
                  <c:v>WORKSHOP</c:v>
                </c:pt>
              </c:strCache>
            </c:strRef>
          </c:cat>
          <c:val>
            <c:numRef>
              <c:f>Sheet4!$D$16:$D$19</c:f>
              <c:numCache>
                <c:formatCode>General</c:formatCode>
                <c:ptCount val="4"/>
                <c:pt idx="0">
                  <c:v>4</c:v>
                </c:pt>
                <c:pt idx="2">
                  <c:v>1</c:v>
                </c:pt>
              </c:numCache>
            </c:numRef>
          </c:val>
          <c:extLst>
            <c:ext xmlns:c16="http://schemas.microsoft.com/office/drawing/2014/chart" uri="{C3380CC4-5D6E-409C-BE32-E72D297353CC}">
              <c16:uniqueId val="{00000000-04E3-4D4F-9322-04FB82619EB6}"/>
            </c:ext>
          </c:extLst>
        </c:ser>
        <c:ser>
          <c:idx val="1"/>
          <c:order val="1"/>
          <c:tx>
            <c:strRef>
              <c:f>Sheet4!$E$15</c:f>
              <c:strCache>
                <c:ptCount val="1"/>
                <c:pt idx="0">
                  <c:v>MEDICAL TREATMENT INJURY</c:v>
                </c:pt>
              </c:strCache>
            </c:strRef>
          </c:tx>
          <c:spPr>
            <a:solidFill>
              <a:schemeClr val="accent2"/>
            </a:solidFill>
            <a:ln>
              <a:noFill/>
            </a:ln>
            <a:effectLst/>
          </c:spPr>
          <c:invertIfNegative val="0"/>
          <c:cat>
            <c:strRef>
              <c:f>Sheet4!$C$16:$C$19</c:f>
              <c:strCache>
                <c:ptCount val="4"/>
                <c:pt idx="0">
                  <c:v>HAULING </c:v>
                </c:pt>
                <c:pt idx="1">
                  <c:v>MESS</c:v>
                </c:pt>
                <c:pt idx="2">
                  <c:v>MINING</c:v>
                </c:pt>
                <c:pt idx="3">
                  <c:v>WORKSHOP</c:v>
                </c:pt>
              </c:strCache>
            </c:strRef>
          </c:cat>
          <c:val>
            <c:numRef>
              <c:f>Sheet4!$E$16:$E$19</c:f>
              <c:numCache>
                <c:formatCode>General</c:formatCode>
                <c:ptCount val="4"/>
                <c:pt idx="0">
                  <c:v>1</c:v>
                </c:pt>
                <c:pt idx="2">
                  <c:v>1</c:v>
                </c:pt>
                <c:pt idx="3">
                  <c:v>1</c:v>
                </c:pt>
              </c:numCache>
            </c:numRef>
          </c:val>
          <c:extLst>
            <c:ext xmlns:c16="http://schemas.microsoft.com/office/drawing/2014/chart" uri="{C3380CC4-5D6E-409C-BE32-E72D297353CC}">
              <c16:uniqueId val="{00000001-04E3-4D4F-9322-04FB82619EB6}"/>
            </c:ext>
          </c:extLst>
        </c:ser>
        <c:ser>
          <c:idx val="2"/>
          <c:order val="2"/>
          <c:tx>
            <c:strRef>
              <c:f>Sheet4!$F$15</c:f>
              <c:strCache>
                <c:ptCount val="1"/>
                <c:pt idx="0">
                  <c:v>NEARMISS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Sheet4!$C$16:$C$19</c:f>
              <c:strCache>
                <c:ptCount val="4"/>
                <c:pt idx="0">
                  <c:v>HAULING </c:v>
                </c:pt>
                <c:pt idx="1">
                  <c:v>MESS</c:v>
                </c:pt>
                <c:pt idx="2">
                  <c:v>MINING</c:v>
                </c:pt>
                <c:pt idx="3">
                  <c:v>WORKSHOP</c:v>
                </c:pt>
              </c:strCache>
            </c:strRef>
          </c:cat>
          <c:val>
            <c:numRef>
              <c:f>Sheet4!$F$16:$F$19</c:f>
              <c:numCache>
                <c:formatCode>General</c:formatCode>
                <c:ptCount val="4"/>
                <c:pt idx="0">
                  <c:v>22</c:v>
                </c:pt>
                <c:pt idx="2">
                  <c:v>4</c:v>
                </c:pt>
              </c:numCache>
            </c:numRef>
          </c:val>
          <c:extLst>
            <c:ext xmlns:c16="http://schemas.microsoft.com/office/drawing/2014/chart" uri="{C3380CC4-5D6E-409C-BE32-E72D297353CC}">
              <c16:uniqueId val="{00000002-04E3-4D4F-9322-04FB82619EB6}"/>
            </c:ext>
          </c:extLst>
        </c:ser>
        <c:ser>
          <c:idx val="3"/>
          <c:order val="3"/>
          <c:tx>
            <c:strRef>
              <c:f>Sheet4!$G$15</c:f>
              <c:strCache>
                <c:ptCount val="1"/>
                <c:pt idx="0">
                  <c:v>PROPERTY DAMAGE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Sheet4!$C$16:$C$19</c:f>
              <c:strCache>
                <c:ptCount val="4"/>
                <c:pt idx="0">
                  <c:v>HAULING </c:v>
                </c:pt>
                <c:pt idx="1">
                  <c:v>MESS</c:v>
                </c:pt>
                <c:pt idx="2">
                  <c:v>MINING</c:v>
                </c:pt>
                <c:pt idx="3">
                  <c:v>WORKSHOP</c:v>
                </c:pt>
              </c:strCache>
            </c:strRef>
          </c:cat>
          <c:val>
            <c:numRef>
              <c:f>Sheet4!$G$16:$G$19</c:f>
              <c:numCache>
                <c:formatCode>General</c:formatCode>
                <c:ptCount val="4"/>
                <c:pt idx="0">
                  <c:v>24</c:v>
                </c:pt>
                <c:pt idx="1">
                  <c:v>1</c:v>
                </c:pt>
                <c:pt idx="2">
                  <c:v>2</c:v>
                </c:pt>
                <c:pt idx="3">
                  <c:v>1</c:v>
                </c:pt>
              </c:numCache>
            </c:numRef>
          </c:val>
          <c:extLst>
            <c:ext xmlns:c16="http://schemas.microsoft.com/office/drawing/2014/chart" uri="{C3380CC4-5D6E-409C-BE32-E72D297353CC}">
              <c16:uniqueId val="{00000003-04E3-4D4F-9322-04FB82619EB6}"/>
            </c:ext>
          </c:extLst>
        </c:ser>
        <c:dLbls>
          <c:showLegendKey val="0"/>
          <c:showVal val="0"/>
          <c:showCatName val="0"/>
          <c:showSerName val="0"/>
          <c:showPercent val="0"/>
          <c:showBubbleSize val="0"/>
        </c:dLbls>
        <c:gapWidth val="267"/>
        <c:overlap val="-43"/>
        <c:axId val="855669711"/>
        <c:axId val="1404742831"/>
      </c:barChart>
      <c:catAx>
        <c:axId val="8556697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04742831"/>
        <c:crosses val="autoZero"/>
        <c:auto val="1"/>
        <c:lblAlgn val="ctr"/>
        <c:lblOffset val="100"/>
        <c:noMultiLvlLbl val="0"/>
      </c:catAx>
      <c:valAx>
        <c:axId val="140474283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55669711"/>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Sheet6!$J$15:$J$18</c:f>
              <c:strCache>
                <c:ptCount val="4"/>
                <c:pt idx="0">
                  <c:v>HAULING </c:v>
                </c:pt>
                <c:pt idx="1">
                  <c:v>MINING</c:v>
                </c:pt>
                <c:pt idx="2">
                  <c:v>WORKSHOP</c:v>
                </c:pt>
                <c:pt idx="3">
                  <c:v>MESS</c:v>
                </c:pt>
              </c:strCache>
            </c:strRef>
          </c:cat>
          <c:val>
            <c:numRef>
              <c:f>Sheet6!$K$15:$K$18</c:f>
              <c:numCache>
                <c:formatCode>General</c:formatCode>
                <c:ptCount val="4"/>
                <c:pt idx="0">
                  <c:v>51</c:v>
                </c:pt>
                <c:pt idx="1">
                  <c:v>8</c:v>
                </c:pt>
                <c:pt idx="2">
                  <c:v>2</c:v>
                </c:pt>
                <c:pt idx="3">
                  <c:v>1</c:v>
                </c:pt>
              </c:numCache>
            </c:numRef>
          </c:val>
          <c:extLst>
            <c:ext xmlns:c16="http://schemas.microsoft.com/office/drawing/2014/chart" uri="{C3380CC4-5D6E-409C-BE32-E72D297353CC}">
              <c16:uniqueId val="{00000000-D45B-44AC-934F-BC4E63D4D0D4}"/>
            </c:ext>
          </c:extLst>
        </c:ser>
        <c:dLbls>
          <c:showLegendKey val="0"/>
          <c:showVal val="0"/>
          <c:showCatName val="0"/>
          <c:showSerName val="0"/>
          <c:showPercent val="0"/>
          <c:showBubbleSize val="0"/>
        </c:dLbls>
        <c:gapWidth val="219"/>
        <c:overlap val="-27"/>
        <c:axId val="1068742031"/>
        <c:axId val="1068743279"/>
      </c:barChart>
      <c:catAx>
        <c:axId val="106874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43279"/>
        <c:crosses val="autoZero"/>
        <c:auto val="1"/>
        <c:lblAlgn val="ctr"/>
        <c:lblOffset val="100"/>
        <c:noMultiLvlLbl val="0"/>
      </c:catAx>
      <c:valAx>
        <c:axId val="106874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42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E2-48F4-8086-7C5D2453E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E2-48F4-8086-7C5D2453EF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Sheet6!$C$36:$C$37</c:f>
              <c:strCache>
                <c:ptCount val="2"/>
                <c:pt idx="0">
                  <c:v>SHR</c:v>
                </c:pt>
                <c:pt idx="1">
                  <c:v>LNR</c:v>
                </c:pt>
              </c:strCache>
            </c:strRef>
          </c:cat>
          <c:val>
            <c:numRef>
              <c:f>Sheet6!$E$36:$E$37</c:f>
              <c:numCache>
                <c:formatCode>0%</c:formatCode>
                <c:ptCount val="2"/>
                <c:pt idx="0">
                  <c:v>0.50980392156862742</c:v>
                </c:pt>
                <c:pt idx="1">
                  <c:v>0.21568627450980393</c:v>
                </c:pt>
              </c:numCache>
            </c:numRef>
          </c:val>
          <c:extLst>
            <c:ext xmlns:c16="http://schemas.microsoft.com/office/drawing/2014/chart" uri="{C3380CC4-5D6E-409C-BE32-E72D297353CC}">
              <c16:uniqueId val="{00000000-2AF1-44B9-84B0-01EB733C6F2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 BERDASARKAN KATEGORI INSIDEN</a:t>
            </a:r>
          </a:p>
        </c:rich>
      </c:tx>
      <c:layout>
        <c:manualLayout>
          <c:xMode val="edge"/>
          <c:yMode val="edge"/>
          <c:x val="0.3095721938867339"/>
          <c:y val="4.9382743241013487E-2"/>
        </c:manualLayout>
      </c:layout>
      <c:overlay val="0"/>
      <c:spPr>
        <a:noFill/>
        <a:ln w="25400">
          <a:noFill/>
        </a:ln>
      </c:spPr>
    </c:title>
    <c:autoTitleDeleted val="0"/>
    <c:plotArea>
      <c:layout>
        <c:manualLayout>
          <c:layoutTarget val="inner"/>
          <c:xMode val="edge"/>
          <c:yMode val="edge"/>
          <c:x val="0.28920570264765788"/>
          <c:y val="0.26543369884318829"/>
          <c:w val="0.66598778004073322"/>
          <c:h val="0.45062000036169197"/>
        </c:manualLayout>
      </c:layout>
      <c:barChart>
        <c:barDir val="bar"/>
        <c:grouping val="stacked"/>
        <c:varyColors val="0"/>
        <c:ser>
          <c:idx val="1"/>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12202981755590127"/>
                  <c:y val="-1.6686860483980943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33876442634081788"/>
                  <c:y val="-8.456615597488705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4.6978954514596105E-2"/>
                  <c:y val="-1.2571476078422369E-2"/>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GRAFIK!$A$25:$A$31</c:f>
              <c:strCache>
                <c:ptCount val="7"/>
                <c:pt idx="0">
                  <c:v> PD </c:v>
                </c:pt>
                <c:pt idx="1">
                  <c:v> FAI </c:v>
                </c:pt>
                <c:pt idx="2">
                  <c:v> NM </c:v>
                </c:pt>
                <c:pt idx="3">
                  <c:v> MTI </c:v>
                </c:pt>
                <c:pt idx="4">
                  <c:v> EI </c:v>
                </c:pt>
                <c:pt idx="5">
                  <c:v> LTI </c:v>
                </c:pt>
                <c:pt idx="6">
                  <c:v> FTL </c:v>
                </c:pt>
              </c:strCache>
            </c:strRef>
          </c:cat>
          <c:val>
            <c:numRef>
              <c:f>GRAFIK!$B$25:$B$31</c:f>
              <c:numCache>
                <c:formatCode>General</c:formatCode>
                <c:ptCount val="7"/>
                <c:pt idx="0">
                  <c:v>36</c:v>
                </c:pt>
                <c:pt idx="1">
                  <c:v>0</c:v>
                </c:pt>
                <c:pt idx="2">
                  <c:v>24</c:v>
                </c:pt>
                <c:pt idx="3">
                  <c:v>3</c:v>
                </c:pt>
                <c:pt idx="4">
                  <c:v>6</c:v>
                </c:pt>
                <c:pt idx="5">
                  <c:v>0</c:v>
                </c:pt>
                <c:pt idx="6">
                  <c:v>0</c:v>
                </c:pt>
              </c:numCache>
            </c:numRef>
          </c:val>
          <c:extLst>
            <c:ext xmlns:c16="http://schemas.microsoft.com/office/drawing/2014/chart" uri="{C3380CC4-5D6E-409C-BE32-E72D297353CC}">
              <c16:uniqueId val="{00000000-7D4C-44A7-95EA-A565C5B457C7}"/>
            </c:ext>
          </c:extLst>
        </c:ser>
        <c:ser>
          <c:idx val="0"/>
          <c:order val="1"/>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spPr>
              <a:noFill/>
              <a:ln w="25400">
                <a:noFill/>
              </a:ln>
            </c:spPr>
            <c:txPr>
              <a:bodyPr/>
              <a:lstStyle/>
              <a:p>
                <a:pPr>
                  <a:defRPr sz="8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GRAFIK!$A$25:$A$31</c:f>
              <c:strCache>
                <c:ptCount val="7"/>
                <c:pt idx="0">
                  <c:v> PD </c:v>
                </c:pt>
                <c:pt idx="1">
                  <c:v> FAI </c:v>
                </c:pt>
                <c:pt idx="2">
                  <c:v> NM </c:v>
                </c:pt>
                <c:pt idx="3">
                  <c:v> MTI </c:v>
                </c:pt>
                <c:pt idx="4">
                  <c:v> EI </c:v>
                </c:pt>
                <c:pt idx="5">
                  <c:v> LTI </c:v>
                </c:pt>
                <c:pt idx="6">
                  <c:v> FTL </c:v>
                </c:pt>
              </c:strCache>
            </c:strRef>
          </c:cat>
          <c:val>
            <c:numRef>
              <c:f>GRAFIK!$B$25:$B$31</c:f>
              <c:numCache>
                <c:formatCode>General</c:formatCode>
                <c:ptCount val="7"/>
                <c:pt idx="0">
                  <c:v>36</c:v>
                </c:pt>
                <c:pt idx="1">
                  <c:v>0</c:v>
                </c:pt>
                <c:pt idx="2">
                  <c:v>24</c:v>
                </c:pt>
                <c:pt idx="3">
                  <c:v>3</c:v>
                </c:pt>
                <c:pt idx="4">
                  <c:v>6</c:v>
                </c:pt>
                <c:pt idx="5">
                  <c:v>0</c:v>
                </c:pt>
                <c:pt idx="6">
                  <c:v>0</c:v>
                </c:pt>
              </c:numCache>
            </c:numRef>
          </c:val>
          <c:extLst>
            <c:ext xmlns:c16="http://schemas.microsoft.com/office/drawing/2014/chart" uri="{C3380CC4-5D6E-409C-BE32-E72D297353CC}">
              <c16:uniqueId val="{00000004-7D4C-44A7-95EA-A565C5B457C7}"/>
            </c:ext>
          </c:extLst>
        </c:ser>
        <c:dLbls>
          <c:showLegendKey val="0"/>
          <c:showVal val="1"/>
          <c:showCatName val="0"/>
          <c:showSerName val="0"/>
          <c:showPercent val="0"/>
          <c:showBubbleSize val="0"/>
        </c:dLbls>
        <c:gapWidth val="150"/>
        <c:overlap val="100"/>
        <c:axId val="2021229808"/>
        <c:axId val="2021230352"/>
      </c:barChart>
      <c:catAx>
        <c:axId val="2021229808"/>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1230352"/>
        <c:crosses val="autoZero"/>
        <c:auto val="1"/>
        <c:lblAlgn val="ctr"/>
        <c:lblOffset val="100"/>
        <c:tickLblSkip val="1"/>
        <c:tickMarkSkip val="1"/>
        <c:noMultiLvlLbl val="0"/>
      </c:catAx>
      <c:valAx>
        <c:axId val="2021230352"/>
        <c:scaling>
          <c:orientation val="minMax"/>
        </c:scaling>
        <c:delete val="0"/>
        <c:axPos val="b"/>
        <c:majorGridlines>
          <c:spPr>
            <a:ln w="3175">
              <a:solidFill>
                <a:srgbClr val="000000"/>
              </a:solidFill>
              <a:prstDash val="solid"/>
            </a:ln>
          </c:spPr>
        </c:majorGridlines>
        <c:title>
          <c:tx>
            <c:rich>
              <a:bodyPr/>
              <a:lstStyle/>
              <a:p>
                <a:pPr>
                  <a:defRPr sz="800" b="0" i="0" u="none" strike="noStrike" baseline="0">
                    <a:solidFill>
                      <a:srgbClr val="000000"/>
                    </a:solidFill>
                    <a:latin typeface="Arial"/>
                    <a:ea typeface="Arial"/>
                    <a:cs typeface="Arial"/>
                  </a:defRPr>
                </a:pPr>
                <a:r>
                  <a:rPr lang="en-US"/>
                  <a:t>JUMLAH</a:t>
                </a:r>
              </a:p>
            </c:rich>
          </c:tx>
          <c:layout>
            <c:manualLayout>
              <c:xMode val="edge"/>
              <c:yMode val="edge"/>
              <c:x val="0.57637466549560001"/>
              <c:y val="0.8456839748178330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1229808"/>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BERDASARKAN SECTION</a:t>
            </a:r>
          </a:p>
        </c:rich>
      </c:tx>
      <c:layout>
        <c:manualLayout>
          <c:xMode val="edge"/>
          <c:yMode val="edge"/>
          <c:x val="0.35437881915248542"/>
          <c:y val="4.5918460192475939E-2"/>
        </c:manualLayout>
      </c:layout>
      <c:overlay val="0"/>
      <c:spPr>
        <a:noFill/>
        <a:ln w="25400">
          <a:noFill/>
        </a:ln>
      </c:spPr>
    </c:title>
    <c:autoTitleDeleted val="0"/>
    <c:plotArea>
      <c:layout>
        <c:manualLayout>
          <c:layoutTarget val="inner"/>
          <c:xMode val="edge"/>
          <c:yMode val="edge"/>
          <c:x val="0.16904276985744082"/>
          <c:y val="0.22449035517567462"/>
          <c:w val="0.79837067209775969"/>
          <c:h val="0.56122588793919548"/>
        </c:manualLayout>
      </c:layout>
      <c:barChart>
        <c:barDir val="col"/>
        <c:grouping val="cluster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6.7888662593349434E-4"/>
                  <c:y val="-2.9852764157899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8E8-40C7-A751-5C9C66665748}"/>
                </c:ext>
              </c:extLst>
            </c:dLbl>
            <c:dLbl>
              <c:idx val="1"/>
              <c:layout>
                <c:manualLayout>
                  <c:x val="2.3762101020468503E-3"/>
                  <c:y val="-3.04195189748209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E8-40C7-A751-5C9C66665748}"/>
                </c:ext>
              </c:extLst>
            </c:dLbl>
            <c:dLbl>
              <c:idx val="2"/>
              <c:layout>
                <c:manualLayout>
                  <c:x val="4.0055380042871404E-3"/>
                  <c:y val="-4.79935849285595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E8-40C7-A751-5C9C66665748}"/>
                </c:ext>
              </c:extLst>
            </c:dLbl>
            <c:dLbl>
              <c:idx val="3"/>
              <c:layout>
                <c:manualLayout>
                  <c:x val="5.6348659065274765E-3"/>
                  <c:y val="-1.1145397369055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E8-40C7-A751-5C9C66665748}"/>
                </c:ext>
              </c:extLst>
            </c:dLbl>
            <c:dLbl>
              <c:idx val="4"/>
              <c:layout>
                <c:manualLayout>
                  <c:x val="5.2275339309674346E-3"/>
                  <c:y val="8.12900386535974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8E8-40C7-A751-5C9C66665748}"/>
                </c:ext>
              </c:extLst>
            </c:dLbl>
            <c:spPr>
              <a:noFill/>
              <a:ln w="25400">
                <a:noFill/>
              </a:ln>
            </c:spPr>
            <c:txPr>
              <a:bodyPr/>
              <a:lstStyle/>
              <a:p>
                <a:pPr>
                  <a:defRPr sz="8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GRAFIK!$A$44:$A$58</c:f>
              <c:strCache>
                <c:ptCount val="15"/>
                <c:pt idx="0">
                  <c:v> PROD HAULING </c:v>
                </c:pt>
                <c:pt idx="1">
                  <c:v> PROD MINING </c:v>
                </c:pt>
                <c:pt idx="2">
                  <c:v> PLANT HAULING </c:v>
                </c:pt>
                <c:pt idx="3">
                  <c:v> PLANT MINING </c:v>
                </c:pt>
                <c:pt idx="4">
                  <c:v> GA </c:v>
                </c:pt>
                <c:pt idx="5">
                  <c:v> ENG. </c:v>
                </c:pt>
                <c:pt idx="6">
                  <c:v> SHE </c:v>
                </c:pt>
                <c:pt idx="7">
                  <c:v> PSV </c:v>
                </c:pt>
                <c:pt idx="8">
                  <c:v> CSR </c:v>
                </c:pt>
                <c:pt idx="9">
                  <c:v> FA </c:v>
                </c:pt>
                <c:pt idx="10">
                  <c:v> LOG </c:v>
                </c:pt>
                <c:pt idx="11">
                  <c:v> HR </c:v>
                </c:pt>
                <c:pt idx="12">
                  <c:v> SS </c:v>
                </c:pt>
                <c:pt idx="13">
                  <c:v> LC </c:v>
                </c:pt>
                <c:pt idx="14">
                  <c:v> IT </c:v>
                </c:pt>
              </c:strCache>
            </c:strRef>
          </c:cat>
          <c:val>
            <c:numRef>
              <c:f>GRAFIK!$B$44:$B$58</c:f>
              <c:numCache>
                <c:formatCode>General</c:formatCode>
                <c:ptCount val="15"/>
                <c:pt idx="0">
                  <c:v>51</c:v>
                </c:pt>
                <c:pt idx="1">
                  <c:v>8</c:v>
                </c:pt>
                <c:pt idx="2">
                  <c:v>3</c:v>
                </c:pt>
                <c:pt idx="3">
                  <c:v>3</c:v>
                </c:pt>
                <c:pt idx="4">
                  <c:v>1</c:v>
                </c:pt>
                <c:pt idx="5">
                  <c:v>1</c:v>
                </c:pt>
                <c:pt idx="6">
                  <c:v>0</c:v>
                </c:pt>
                <c:pt idx="7">
                  <c:v>0</c:v>
                </c:pt>
                <c:pt idx="8">
                  <c:v>0</c:v>
                </c:pt>
                <c:pt idx="9">
                  <c:v>0</c:v>
                </c:pt>
                <c:pt idx="10">
                  <c:v>2</c:v>
                </c:pt>
                <c:pt idx="11">
                  <c:v>0</c:v>
                </c:pt>
                <c:pt idx="12">
                  <c:v>0</c:v>
                </c:pt>
                <c:pt idx="13">
                  <c:v>0</c:v>
                </c:pt>
                <c:pt idx="14">
                  <c:v>0</c:v>
                </c:pt>
              </c:numCache>
            </c:numRef>
          </c:val>
          <c:extLst>
            <c:ext xmlns:c16="http://schemas.microsoft.com/office/drawing/2014/chart" uri="{C3380CC4-5D6E-409C-BE32-E72D297353CC}">
              <c16:uniqueId val="{00000005-F8E8-40C7-A751-5C9C66665748}"/>
            </c:ext>
          </c:extLst>
        </c:ser>
        <c:dLbls>
          <c:showLegendKey val="0"/>
          <c:showVal val="1"/>
          <c:showCatName val="0"/>
          <c:showSerName val="0"/>
          <c:showPercent val="0"/>
          <c:showBubbleSize val="0"/>
        </c:dLbls>
        <c:gapWidth val="150"/>
        <c:axId val="2021233072"/>
        <c:axId val="2021233616"/>
      </c:barChart>
      <c:catAx>
        <c:axId val="2021233072"/>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SECTION</a:t>
                </a:r>
              </a:p>
            </c:rich>
          </c:tx>
          <c:layout>
            <c:manualLayout>
              <c:xMode val="edge"/>
              <c:yMode val="edge"/>
              <c:x val="0.54378819152460312"/>
              <c:y val="0.872451210265409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1" i="0" u="none" strike="noStrike" baseline="0">
                <a:solidFill>
                  <a:srgbClr val="000000"/>
                </a:solidFill>
                <a:latin typeface="Arial"/>
                <a:ea typeface="Arial"/>
                <a:cs typeface="Arial"/>
              </a:defRPr>
            </a:pPr>
            <a:endParaRPr lang="en-US"/>
          </a:p>
        </c:txPr>
        <c:crossAx val="2021233616"/>
        <c:crosses val="autoZero"/>
        <c:auto val="1"/>
        <c:lblAlgn val="ctr"/>
        <c:lblOffset val="100"/>
        <c:tickLblSkip val="1"/>
        <c:tickMarkSkip val="1"/>
        <c:noMultiLvlLbl val="0"/>
      </c:catAx>
      <c:valAx>
        <c:axId val="2021233616"/>
        <c:scaling>
          <c:orientation val="minMax"/>
          <c:max val="70"/>
          <c:min val="0"/>
        </c:scaling>
        <c:delete val="0"/>
        <c:axPos val="l"/>
        <c:majorGridlines>
          <c:spPr>
            <a:ln w="3175">
              <a:solidFill>
                <a:srgbClr val="000000"/>
              </a:solidFill>
              <a:prstDash val="solid"/>
            </a:ln>
          </c:spPr>
        </c:majorGridlines>
        <c:title>
          <c:tx>
            <c:rich>
              <a:bodyPr rot="0" vert="horz"/>
              <a:lstStyle/>
              <a:p>
                <a:pPr algn="ctr">
                  <a:defRPr sz="800" b="0" i="0" u="none" strike="noStrike" baseline="0">
                    <a:solidFill>
                      <a:srgbClr val="000000"/>
                    </a:solidFill>
                    <a:latin typeface="Arial"/>
                    <a:ea typeface="Arial"/>
                    <a:cs typeface="Arial"/>
                  </a:defRPr>
                </a:pPr>
                <a:r>
                  <a:rPr lang="en-US"/>
                  <a:t>JUMLAH</a:t>
                </a:r>
              </a:p>
            </c:rich>
          </c:tx>
          <c:layout>
            <c:manualLayout>
              <c:xMode val="edge"/>
              <c:yMode val="edge"/>
              <c:x val="2.0366638636189868E-2"/>
              <c:y val="0.454082706328375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1233072"/>
        <c:crosses val="autoZero"/>
        <c:crossBetween val="between"/>
        <c:minorUnit val="2"/>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BERDASARKAN WAKTU KEJADIAN</a:t>
            </a:r>
          </a:p>
        </c:rich>
      </c:tx>
      <c:layout>
        <c:manualLayout>
          <c:xMode val="edge"/>
          <c:yMode val="edge"/>
          <c:x val="0.33103487795021647"/>
          <c:y val="3.054979666003288E-2"/>
        </c:manualLayout>
      </c:layout>
      <c:overlay val="0"/>
      <c:spPr>
        <a:noFill/>
        <a:ln w="25400">
          <a:noFill/>
        </a:ln>
      </c:spPr>
    </c:title>
    <c:autoTitleDeleted val="0"/>
    <c:plotArea>
      <c:layout>
        <c:manualLayout>
          <c:layoutTarget val="inner"/>
          <c:xMode val="edge"/>
          <c:yMode val="edge"/>
          <c:x val="0.15344840504480101"/>
          <c:y val="0.11405295315682282"/>
          <c:w val="0.80862137040460724"/>
          <c:h val="0.75560081466399509"/>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9.744253761239248E-2"/>
                  <c:y val="-4.360055807687974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0D-4289-8C61-ED3F2B3D7B73}"/>
                </c:ext>
              </c:extLst>
            </c:dLbl>
            <c:dLbl>
              <c:idx val="1"/>
              <c:layout>
                <c:manualLayout>
                  <c:x val="1.4683847251160741E-2"/>
                  <c:y val="-1.39006045832865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0D-4289-8C61-ED3F2B3D7B73}"/>
                </c:ext>
              </c:extLst>
            </c:dLbl>
            <c:dLbl>
              <c:idx val="2"/>
              <c:layout>
                <c:manualLayout>
                  <c:x val="1.3908063819458341E-2"/>
                  <c:y val="-4.52983091981118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0D-4289-8C61-ED3F2B3D7B73}"/>
                </c:ext>
              </c:extLst>
            </c:dLbl>
            <c:dLbl>
              <c:idx val="3"/>
              <c:layout>
                <c:manualLayout>
                  <c:x val="0.17925305303466529"/>
                  <c:y val="-7.66960138129402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0D-4289-8C61-ED3F2B3D7B73}"/>
                </c:ext>
              </c:extLst>
            </c:dLbl>
            <c:dLbl>
              <c:idx val="4"/>
              <c:layout>
                <c:manualLayout>
                  <c:x val="9.7614929119664767E-2"/>
                  <c:y val="-8.772925787535149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0D-4289-8C61-ED3F2B3D7B73}"/>
                </c:ext>
              </c:extLst>
            </c:dLbl>
            <c:dLbl>
              <c:idx val="5"/>
              <c:layout>
                <c:manualLayout>
                  <c:x val="1.7356342584509778E-2"/>
                  <c:y val="-1.191269624901837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0D-4289-8C61-ED3F2B3D7B73}"/>
                </c:ext>
              </c:extLst>
            </c:dLbl>
            <c:dLbl>
              <c:idx val="6"/>
              <c:layout>
                <c:manualLayout>
                  <c:x val="1.7183951077245133E-2"/>
                  <c:y val="-6.9058271992989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0D-4289-8C61-ED3F2B3D7B73}"/>
                </c:ext>
              </c:extLst>
            </c:dLbl>
            <c:dLbl>
              <c:idx val="7"/>
              <c:layout>
                <c:manualLayout>
                  <c:x val="5.0890774284202023E-2"/>
                  <c:y val="-5.972491727739902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0D-4289-8C61-ED3F2B3D7B73}"/>
                </c:ext>
              </c:extLst>
            </c:dLbl>
            <c:dLbl>
              <c:idx val="8"/>
              <c:layout>
                <c:manualLayout>
                  <c:x val="9.6839145687958844E-2"/>
                  <c:y val="-5.038942433621727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0D-4289-8C61-ED3F2B3D7B73}"/>
                </c:ext>
              </c:extLst>
            </c:dLbl>
            <c:dLbl>
              <c:idx val="9"/>
              <c:layout>
                <c:manualLayout>
                  <c:x val="0.13977023874383784"/>
                  <c:y val="-2.068947084262145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0D-4289-8C61-ED3F2B3D7B73}"/>
                </c:ext>
              </c:extLst>
            </c:dLbl>
            <c:dLbl>
              <c:idx val="10"/>
              <c:layout>
                <c:manualLayout>
                  <c:x val="0.17770130515941118"/>
                  <c:y val="-5.208717545744711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50D-4289-8C61-ED3F2B3D7B73}"/>
                </c:ext>
              </c:extLst>
            </c:dLbl>
            <c:dLbl>
              <c:idx val="11"/>
              <c:layout>
                <c:manualLayout>
                  <c:x val="0.10028742445301179"/>
                  <c:y val="-6.311828129426910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50D-4289-8C61-ED3F2B3D7B73}"/>
                </c:ext>
              </c:extLst>
            </c:dLbl>
            <c:dLbl>
              <c:idx val="12"/>
              <c:layout>
                <c:manualLayout>
                  <c:x val="0.13632195997878124"/>
                  <c:y val="-5.37849265786787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50D-4289-8C61-ED3F2B3D7B73}"/>
                </c:ext>
              </c:extLst>
            </c:dLbl>
            <c:dLbl>
              <c:idx val="13"/>
              <c:layout>
                <c:manualLayout>
                  <c:x val="1.4683847251160741E-2"/>
                  <c:y val="-2.408283485949198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50D-4289-8C61-ED3F2B3D7B73}"/>
                </c:ext>
              </c:extLst>
            </c:dLbl>
            <c:dLbl>
              <c:idx val="14"/>
              <c:layout>
                <c:manualLayout>
                  <c:x val="0.17580477426960933"/>
                  <c:y val="2.59858556376992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50D-4289-8C61-ED3F2B3D7B73}"/>
                </c:ext>
              </c:extLst>
            </c:dLbl>
            <c:dLbl>
              <c:idx val="15"/>
              <c:layout>
                <c:manualLayout>
                  <c:x val="0.18020122797363239"/>
                  <c:y val="-5.4139872027196903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50D-4289-8C61-ED3F2B3D7B73}"/>
                </c:ext>
              </c:extLst>
            </c:dLbl>
            <c:dLbl>
              <c:idx val="16"/>
              <c:layout>
                <c:manualLayout>
                  <c:x val="0.22502885191930175"/>
                  <c:y val="-5.717829059554942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50D-4289-8C61-ED3F2B3D7B73}"/>
                </c:ext>
              </c:extLst>
            </c:dLbl>
            <c:dLbl>
              <c:idx val="17"/>
              <c:layout>
                <c:manualLayout>
                  <c:x val="9.7614929119664767E-2"/>
                  <c:y val="-4.784493587995997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50D-4289-8C61-ED3F2B3D7B73}"/>
                </c:ext>
              </c:extLst>
            </c:dLbl>
            <c:dLbl>
              <c:idx val="18"/>
              <c:layout>
                <c:manualLayout>
                  <c:x val="1.373567231219364E-2"/>
                  <c:y val="-5.88760417167814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50D-4289-8C61-ED3F2B3D7B73}"/>
                </c:ext>
              </c:extLst>
            </c:dLbl>
            <c:dLbl>
              <c:idx val="19"/>
              <c:layout>
                <c:manualLayout>
                  <c:x val="1.3908063819458341E-2"/>
                  <c:y val="-4.954054877559844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50D-4289-8C61-ED3F2B3D7B73}"/>
                </c:ext>
              </c:extLst>
            </c:dLbl>
            <c:dLbl>
              <c:idx val="20"/>
              <c:layout>
                <c:manualLayout>
                  <c:x val="0.13977023874383784"/>
                  <c:y val="-6.05737928380153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50D-4289-8C61-ED3F2B3D7B73}"/>
                </c:ext>
              </c:extLst>
            </c:dLbl>
            <c:dLbl>
              <c:idx val="21"/>
              <c:layout>
                <c:manualLayout>
                  <c:x val="5.5287409000076324E-2"/>
                  <c:y val="-1.05051023408226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50D-4289-8C61-ED3F2B3D7B73}"/>
                </c:ext>
              </c:extLst>
            </c:dLbl>
            <c:dLbl>
              <c:idx val="22"/>
              <c:layout>
                <c:manualLayout>
                  <c:x val="5.3563269617550487E-2"/>
                  <c:y val="-2.15362081776449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50D-4289-8C61-ED3F2B3D7B73}"/>
                </c:ext>
              </c:extLst>
            </c:dLbl>
            <c:dLbl>
              <c:idx val="23"/>
              <c:layout>
                <c:manualLayout>
                  <c:x val="1.4683847251160741E-2"/>
                  <c:y val="-3.256945224005859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50D-4289-8C61-ED3F2B3D7B73}"/>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GRAFIK!$A$64:$A$87</c:f>
              <c:strCache>
                <c:ptCount val="24"/>
                <c:pt idx="0">
                  <c:v> 00:01 - 01:00 </c:v>
                </c:pt>
                <c:pt idx="1">
                  <c:v> 01:01 - 02:00 </c:v>
                </c:pt>
                <c:pt idx="2">
                  <c:v> 02:01 - 03:00 </c:v>
                </c:pt>
                <c:pt idx="3">
                  <c:v> 03:01 - 04:00 </c:v>
                </c:pt>
                <c:pt idx="4">
                  <c:v> 04:01 - 05:00 </c:v>
                </c:pt>
                <c:pt idx="5">
                  <c:v> 05:01 - 06:00 </c:v>
                </c:pt>
                <c:pt idx="6">
                  <c:v> 06:01 - 07:00 </c:v>
                </c:pt>
                <c:pt idx="7">
                  <c:v> 07:01 - 08:00 </c:v>
                </c:pt>
                <c:pt idx="8">
                  <c:v> 08:01 - 09:00 </c:v>
                </c:pt>
                <c:pt idx="9">
                  <c:v> 09:01 - 10:00 </c:v>
                </c:pt>
                <c:pt idx="10">
                  <c:v> 10:01 - 11:00 </c:v>
                </c:pt>
                <c:pt idx="11">
                  <c:v> 11:01 - 12:00 </c:v>
                </c:pt>
                <c:pt idx="12">
                  <c:v> 12:01 - 13:00 </c:v>
                </c:pt>
                <c:pt idx="13">
                  <c:v> 13:01 - 14:00 </c:v>
                </c:pt>
                <c:pt idx="14">
                  <c:v> 14:01 - 15:00 </c:v>
                </c:pt>
                <c:pt idx="15">
                  <c:v> 15:01 - 16:00 </c:v>
                </c:pt>
                <c:pt idx="16">
                  <c:v> 16:01 - 17:00 </c:v>
                </c:pt>
                <c:pt idx="17">
                  <c:v> 17:01 - 18:00 </c:v>
                </c:pt>
                <c:pt idx="18">
                  <c:v> 18:01 - 19:00 </c:v>
                </c:pt>
                <c:pt idx="19">
                  <c:v> 19:01 - 20:00 </c:v>
                </c:pt>
                <c:pt idx="20">
                  <c:v> 20:01 - 21:00 </c:v>
                </c:pt>
                <c:pt idx="21">
                  <c:v> 21:01 - 22:00 </c:v>
                </c:pt>
                <c:pt idx="22">
                  <c:v> 22:01 - 23:00 </c:v>
                </c:pt>
                <c:pt idx="23">
                  <c:v> 23:01 - 24:00 </c:v>
                </c:pt>
              </c:strCache>
            </c:strRef>
          </c:cat>
          <c:val>
            <c:numRef>
              <c:f>GRAFIK!$B$64:$B$87</c:f>
              <c:numCache>
                <c:formatCode>General</c:formatCode>
                <c:ptCount val="24"/>
                <c:pt idx="0">
                  <c:v>2</c:v>
                </c:pt>
                <c:pt idx="1">
                  <c:v>2</c:v>
                </c:pt>
                <c:pt idx="2">
                  <c:v>1</c:v>
                </c:pt>
                <c:pt idx="3">
                  <c:v>3</c:v>
                </c:pt>
                <c:pt idx="4">
                  <c:v>3</c:v>
                </c:pt>
                <c:pt idx="5">
                  <c:v>4</c:v>
                </c:pt>
                <c:pt idx="6">
                  <c:v>1</c:v>
                </c:pt>
                <c:pt idx="7">
                  <c:v>5</c:v>
                </c:pt>
                <c:pt idx="8">
                  <c:v>7</c:v>
                </c:pt>
                <c:pt idx="9">
                  <c:v>5</c:v>
                </c:pt>
                <c:pt idx="10">
                  <c:v>6</c:v>
                </c:pt>
                <c:pt idx="11">
                  <c:v>3</c:v>
                </c:pt>
                <c:pt idx="12">
                  <c:v>1</c:v>
                </c:pt>
                <c:pt idx="13">
                  <c:v>2</c:v>
                </c:pt>
                <c:pt idx="14">
                  <c:v>3</c:v>
                </c:pt>
                <c:pt idx="15">
                  <c:v>6</c:v>
                </c:pt>
                <c:pt idx="16">
                  <c:v>2</c:v>
                </c:pt>
                <c:pt idx="17">
                  <c:v>2</c:v>
                </c:pt>
                <c:pt idx="18">
                  <c:v>1</c:v>
                </c:pt>
                <c:pt idx="19">
                  <c:v>3</c:v>
                </c:pt>
                <c:pt idx="20">
                  <c:v>2</c:v>
                </c:pt>
                <c:pt idx="21">
                  <c:v>2</c:v>
                </c:pt>
                <c:pt idx="22">
                  <c:v>3</c:v>
                </c:pt>
                <c:pt idx="23">
                  <c:v>0</c:v>
                </c:pt>
              </c:numCache>
            </c:numRef>
          </c:val>
          <c:extLst>
            <c:ext xmlns:c16="http://schemas.microsoft.com/office/drawing/2014/chart" uri="{C3380CC4-5D6E-409C-BE32-E72D297353CC}">
              <c16:uniqueId val="{00000018-A50D-4289-8C61-ED3F2B3D7B73}"/>
            </c:ext>
          </c:extLst>
        </c:ser>
        <c:dLbls>
          <c:showLegendKey val="0"/>
          <c:showVal val="1"/>
          <c:showCatName val="0"/>
          <c:showSerName val="0"/>
          <c:showPercent val="0"/>
          <c:showBubbleSize val="0"/>
        </c:dLbls>
        <c:gapWidth val="90"/>
        <c:overlap val="100"/>
        <c:axId val="2021234160"/>
        <c:axId val="2020857184"/>
      </c:barChart>
      <c:catAx>
        <c:axId val="2021234160"/>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7184"/>
        <c:crosses val="autoZero"/>
        <c:auto val="1"/>
        <c:lblAlgn val="ctr"/>
        <c:lblOffset val="100"/>
        <c:tickLblSkip val="1"/>
        <c:tickMarkSkip val="1"/>
        <c:noMultiLvlLbl val="0"/>
      </c:catAx>
      <c:valAx>
        <c:axId val="2020857184"/>
        <c:scaling>
          <c:orientation val="minMax"/>
          <c:max val="10"/>
        </c:scaling>
        <c:delete val="0"/>
        <c:axPos val="b"/>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JUMLAH</a:t>
                </a:r>
              </a:p>
            </c:rich>
          </c:tx>
          <c:layout>
            <c:manualLayout>
              <c:xMode val="edge"/>
              <c:yMode val="edge"/>
              <c:x val="0.51206929543163837"/>
              <c:y val="0.924643650312941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1234160"/>
        <c:crosses val="autoZero"/>
        <c:crossBetween val="between"/>
        <c:majorUnit val="2"/>
        <c:minorUnit val="1"/>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BERDASARKAN HARI KEJADIAN</a:t>
            </a:r>
          </a:p>
        </c:rich>
      </c:tx>
      <c:layout>
        <c:manualLayout>
          <c:xMode val="edge"/>
          <c:yMode val="edge"/>
          <c:x val="0.34375061515748973"/>
          <c:y val="4.4775948460987765E-2"/>
        </c:manualLayout>
      </c:layout>
      <c:overlay val="0"/>
      <c:spPr>
        <a:noFill/>
        <a:ln w="25400">
          <a:noFill/>
        </a:ln>
      </c:spPr>
    </c:title>
    <c:autoTitleDeleted val="0"/>
    <c:plotArea>
      <c:layout>
        <c:manualLayout>
          <c:layoutTarget val="inner"/>
          <c:xMode val="edge"/>
          <c:yMode val="edge"/>
          <c:x val="0.11111129949154237"/>
          <c:y val="0.24875742749838844"/>
          <c:w val="0.86284868511402879"/>
          <c:h val="0.52239059774660757"/>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a:lstStyle/>
              <a:p>
                <a:pPr>
                  <a:defRPr sz="975"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GRAFIK!$A$93:$A$99</c:f>
              <c:strCache>
                <c:ptCount val="7"/>
                <c:pt idx="0">
                  <c:v> SENIN </c:v>
                </c:pt>
                <c:pt idx="1">
                  <c:v> SELASA </c:v>
                </c:pt>
                <c:pt idx="2">
                  <c:v> RABU </c:v>
                </c:pt>
                <c:pt idx="3">
                  <c:v> KAMIS </c:v>
                </c:pt>
                <c:pt idx="4">
                  <c:v> JUMAT </c:v>
                </c:pt>
                <c:pt idx="5">
                  <c:v> SABTU </c:v>
                </c:pt>
                <c:pt idx="6">
                  <c:v> MINGGU </c:v>
                </c:pt>
              </c:strCache>
            </c:strRef>
          </c:cat>
          <c:val>
            <c:numRef>
              <c:f>GRAFIK!$B$93:$B$99</c:f>
              <c:numCache>
                <c:formatCode>General</c:formatCode>
                <c:ptCount val="7"/>
                <c:pt idx="0">
                  <c:v>7</c:v>
                </c:pt>
                <c:pt idx="1">
                  <c:v>7</c:v>
                </c:pt>
                <c:pt idx="2">
                  <c:v>7</c:v>
                </c:pt>
                <c:pt idx="3">
                  <c:v>17</c:v>
                </c:pt>
                <c:pt idx="4">
                  <c:v>6</c:v>
                </c:pt>
                <c:pt idx="5">
                  <c:v>14</c:v>
                </c:pt>
                <c:pt idx="6">
                  <c:v>11</c:v>
                </c:pt>
              </c:numCache>
            </c:numRef>
          </c:val>
          <c:extLst>
            <c:ext xmlns:c16="http://schemas.microsoft.com/office/drawing/2014/chart" uri="{C3380CC4-5D6E-409C-BE32-E72D297353CC}">
              <c16:uniqueId val="{00000000-BA08-494B-8795-86CB22D9B9F9}"/>
            </c:ext>
          </c:extLst>
        </c:ser>
        <c:dLbls>
          <c:showLegendKey val="0"/>
          <c:showVal val="0"/>
          <c:showCatName val="0"/>
          <c:showSerName val="0"/>
          <c:showPercent val="0"/>
          <c:showBubbleSize val="0"/>
        </c:dLbls>
        <c:gapWidth val="150"/>
        <c:axId val="2020852832"/>
        <c:axId val="2020853376"/>
      </c:barChart>
      <c:catAx>
        <c:axId val="2020852832"/>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HARI</a:t>
                </a:r>
              </a:p>
            </c:rich>
          </c:tx>
          <c:layout>
            <c:manualLayout>
              <c:xMode val="edge"/>
              <c:yMode val="edge"/>
              <c:x val="0.51736199967189989"/>
              <c:y val="0.8756261830907500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3376"/>
        <c:crosses val="autoZero"/>
        <c:auto val="1"/>
        <c:lblAlgn val="ctr"/>
        <c:lblOffset val="100"/>
        <c:tickLblSkip val="1"/>
        <c:tickMarkSkip val="1"/>
        <c:noMultiLvlLbl val="0"/>
      </c:catAx>
      <c:valAx>
        <c:axId val="2020853376"/>
        <c:scaling>
          <c:orientation val="minMax"/>
          <c:max val="20"/>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JUMLAH</a:t>
                </a:r>
              </a:p>
            </c:rich>
          </c:tx>
          <c:layout>
            <c:manualLayout>
              <c:xMode val="edge"/>
              <c:yMode val="edge"/>
              <c:x val="3.6458128280839892E-2"/>
              <c:y val="0.388062037699853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2832"/>
        <c:crosses val="autoZero"/>
        <c:crossBetween val="between"/>
        <c:majorUnit val="2"/>
        <c:minorUnit val="1"/>
      </c:valAx>
      <c:spPr>
        <a:gradFill rotWithShape="0">
          <a:gsLst>
            <a:gs pos="0">
              <a:srgbClr val="CCFFCC"/>
            </a:gs>
            <a:gs pos="100000">
              <a:srgbClr val="00FFFF"/>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25" b="1" i="0" u="none" strike="noStrike" baseline="0">
                <a:solidFill>
                  <a:srgbClr val="000000"/>
                </a:solidFill>
                <a:latin typeface="Arial"/>
                <a:ea typeface="Arial"/>
                <a:cs typeface="Arial"/>
              </a:defRPr>
            </a:pPr>
            <a:r>
              <a:rPr lang="en-US"/>
              <a:t>BERDASARKAN SHIFT KEJADIAN</a:t>
            </a:r>
          </a:p>
        </c:rich>
      </c:tx>
      <c:layout>
        <c:manualLayout>
          <c:xMode val="edge"/>
          <c:yMode val="edge"/>
          <c:x val="0.34079170767716527"/>
          <c:y val="5.2631713718711989E-2"/>
        </c:manualLayout>
      </c:layout>
      <c:overlay val="0"/>
      <c:spPr>
        <a:noFill/>
        <a:ln w="25400">
          <a:noFill/>
        </a:ln>
      </c:spPr>
    </c:title>
    <c:autoTitleDeleted val="0"/>
    <c:plotArea>
      <c:layout>
        <c:manualLayout>
          <c:layoutTarget val="inner"/>
          <c:xMode val="edge"/>
          <c:yMode val="edge"/>
          <c:x val="0.2289156626506024"/>
          <c:y val="0.19078947368421054"/>
          <c:w val="0.72977624784855488"/>
          <c:h val="0.46710526315790551"/>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34745849539893248"/>
                  <c:y val="-2.206105815720409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DD-4615-AA94-8AAF985A2ED0}"/>
                </c:ext>
              </c:extLst>
            </c:dLbl>
            <c:dLbl>
              <c:idx val="1"/>
              <c:layout>
                <c:manualLayout>
                  <c:x val="0.26697656768808836"/>
                  <c:y val="-1.219229175300453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DD-4615-AA94-8AAF985A2ED0}"/>
                </c:ext>
              </c:extLst>
            </c:dLbl>
            <c:spPr>
              <a:noFill/>
              <a:ln w="25400">
                <a:noFill/>
              </a:ln>
            </c:spPr>
            <c:txPr>
              <a:bodyPr/>
              <a:lstStyle/>
              <a:p>
                <a:pPr>
                  <a:defRPr sz="9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GRAFIK!$A$105:$A$106</c:f>
              <c:strCache>
                <c:ptCount val="2"/>
                <c:pt idx="0">
                  <c:v> SHIFT SIANG </c:v>
                </c:pt>
                <c:pt idx="1">
                  <c:v> SHIFT MALAM </c:v>
                </c:pt>
              </c:strCache>
            </c:strRef>
          </c:cat>
          <c:val>
            <c:numRef>
              <c:f>GRAFIK!$B$105:$B$106</c:f>
              <c:numCache>
                <c:formatCode>General</c:formatCode>
                <c:ptCount val="2"/>
                <c:pt idx="0">
                  <c:v>46</c:v>
                </c:pt>
                <c:pt idx="1">
                  <c:v>23</c:v>
                </c:pt>
              </c:numCache>
            </c:numRef>
          </c:val>
          <c:extLst>
            <c:ext xmlns:c16="http://schemas.microsoft.com/office/drawing/2014/chart" uri="{C3380CC4-5D6E-409C-BE32-E72D297353CC}">
              <c16:uniqueId val="{00000002-B5DD-4615-AA94-8AAF985A2ED0}"/>
            </c:ext>
          </c:extLst>
        </c:ser>
        <c:dLbls>
          <c:showLegendKey val="0"/>
          <c:showVal val="1"/>
          <c:showCatName val="0"/>
          <c:showSerName val="0"/>
          <c:showPercent val="0"/>
          <c:showBubbleSize val="0"/>
        </c:dLbls>
        <c:gapWidth val="150"/>
        <c:overlap val="100"/>
        <c:axId val="2020855008"/>
        <c:axId val="2020851200"/>
      </c:barChart>
      <c:catAx>
        <c:axId val="2020855008"/>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2020851200"/>
        <c:crossesAt val="0"/>
        <c:auto val="1"/>
        <c:lblAlgn val="ctr"/>
        <c:lblOffset val="100"/>
        <c:tickLblSkip val="1"/>
        <c:tickMarkSkip val="1"/>
        <c:noMultiLvlLbl val="0"/>
      </c:catAx>
      <c:valAx>
        <c:axId val="2020851200"/>
        <c:scaling>
          <c:orientation val="minMax"/>
          <c:max val="50"/>
          <c:min val="0"/>
        </c:scaling>
        <c:delete val="0"/>
        <c:axPos val="b"/>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JUMLAH</a:t>
                </a:r>
              </a:p>
            </c:rich>
          </c:tx>
          <c:layout>
            <c:manualLayout>
              <c:xMode val="edge"/>
              <c:yMode val="edge"/>
              <c:x val="0.54905327263781412"/>
              <c:y val="0.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2020855008"/>
        <c:crosses val="autoZero"/>
        <c:crossBetween val="between"/>
        <c:majorUnit val="5"/>
        <c:minorUnit val="1"/>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Arial"/>
                <a:ea typeface="Arial"/>
                <a:cs typeface="Arial"/>
              </a:defRPr>
            </a:pPr>
            <a:r>
              <a:rPr lang="en-US"/>
              <a:t>BERDASARKAN JABATAN</a:t>
            </a:r>
          </a:p>
        </c:rich>
      </c:tx>
      <c:layout>
        <c:manualLayout>
          <c:xMode val="edge"/>
          <c:yMode val="edge"/>
          <c:x val="0.37347558025836292"/>
          <c:y val="4.3902439024392399E-2"/>
        </c:manualLayout>
      </c:layout>
      <c:overlay val="0"/>
      <c:spPr>
        <a:noFill/>
        <a:ln w="25400">
          <a:noFill/>
        </a:ln>
      </c:spPr>
    </c:title>
    <c:autoTitleDeleted val="0"/>
    <c:plotArea>
      <c:layout>
        <c:manualLayout>
          <c:layoutTarget val="inner"/>
          <c:xMode val="edge"/>
          <c:yMode val="edge"/>
          <c:x val="9.4512195121951248E-2"/>
          <c:y val="0.29268362396062625"/>
          <c:w val="0.85975609756099702"/>
          <c:h val="0.45853767753829444"/>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a:lstStyle/>
              <a:p>
                <a:pPr>
                  <a:defRPr sz="8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GRAFIK!$A$112:$A$118</c:f>
              <c:strCache>
                <c:ptCount val="7"/>
                <c:pt idx="0">
                  <c:v> DRV DT / SARANA </c:v>
                </c:pt>
                <c:pt idx="1">
                  <c:v> OPT A2B </c:v>
                </c:pt>
                <c:pt idx="2">
                  <c:v> MEK / HELPER </c:v>
                </c:pt>
                <c:pt idx="3">
                  <c:v> GL / SPV </c:v>
                </c:pt>
                <c:pt idx="4">
                  <c:v> DRV SUPPORT </c:v>
                </c:pt>
                <c:pt idx="5">
                  <c:v> ADM / DLL </c:v>
                </c:pt>
                <c:pt idx="6">
                  <c:v> SUBKONTRAKTOR </c:v>
                </c:pt>
              </c:strCache>
            </c:strRef>
          </c:cat>
          <c:val>
            <c:numRef>
              <c:f>GRAFIK!$B$112:$B$118</c:f>
              <c:numCache>
                <c:formatCode>General</c:formatCode>
                <c:ptCount val="7"/>
                <c:pt idx="0">
                  <c:v>47</c:v>
                </c:pt>
                <c:pt idx="1">
                  <c:v>7</c:v>
                </c:pt>
                <c:pt idx="2">
                  <c:v>5</c:v>
                </c:pt>
                <c:pt idx="3">
                  <c:v>5</c:v>
                </c:pt>
                <c:pt idx="4">
                  <c:v>4</c:v>
                </c:pt>
                <c:pt idx="5">
                  <c:v>0</c:v>
                </c:pt>
                <c:pt idx="6">
                  <c:v>1</c:v>
                </c:pt>
              </c:numCache>
            </c:numRef>
          </c:val>
          <c:extLst>
            <c:ext xmlns:c16="http://schemas.microsoft.com/office/drawing/2014/chart" uri="{C3380CC4-5D6E-409C-BE32-E72D297353CC}">
              <c16:uniqueId val="{00000000-EA79-4281-AC62-78F633E6E3AF}"/>
            </c:ext>
          </c:extLst>
        </c:ser>
        <c:dLbls>
          <c:showLegendKey val="0"/>
          <c:showVal val="1"/>
          <c:showCatName val="0"/>
          <c:showSerName val="0"/>
          <c:showPercent val="0"/>
          <c:showBubbleSize val="0"/>
        </c:dLbls>
        <c:gapWidth val="200"/>
        <c:axId val="2020856096"/>
        <c:axId val="2020853920"/>
      </c:barChart>
      <c:catAx>
        <c:axId val="2020856096"/>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JABATAN</a:t>
                </a:r>
              </a:p>
            </c:rich>
          </c:tx>
          <c:layout>
            <c:manualLayout>
              <c:xMode val="edge"/>
              <c:yMode val="edge"/>
              <c:x val="0.48170737481344938"/>
              <c:y val="0.8731726521989904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en-US"/>
          </a:p>
        </c:txPr>
        <c:crossAx val="2020853920"/>
        <c:crosses val="autoZero"/>
        <c:auto val="1"/>
        <c:lblAlgn val="ctr"/>
        <c:lblOffset val="100"/>
        <c:tickLblSkip val="1"/>
        <c:tickMarkSkip val="1"/>
        <c:noMultiLvlLbl val="0"/>
      </c:catAx>
      <c:valAx>
        <c:axId val="2020853920"/>
        <c:scaling>
          <c:orientation val="minMax"/>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JUMLAH</a:t>
                </a:r>
              </a:p>
            </c:rich>
          </c:tx>
          <c:layout>
            <c:manualLayout>
              <c:xMode val="edge"/>
              <c:yMode val="edge"/>
              <c:x val="2.7439040708148045E-2"/>
              <c:y val="0.3756110364253247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6096"/>
        <c:crosses val="autoZero"/>
        <c:crossBetween val="between"/>
      </c:valAx>
      <c:spPr>
        <a:gradFill rotWithShape="0">
          <a:gsLst>
            <a:gs pos="0">
              <a:srgbClr val="00FFFF"/>
            </a:gs>
            <a:gs pos="100000">
              <a:srgbClr val="CCFFCC"/>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US"/>
              <a:t>BERDASARKAN MASA KERJA</a:t>
            </a:r>
          </a:p>
        </c:rich>
      </c:tx>
      <c:layout>
        <c:manualLayout>
          <c:xMode val="edge"/>
          <c:yMode val="edge"/>
          <c:x val="0.35227341699476"/>
          <c:y val="4.7058823529411813E-2"/>
        </c:manualLayout>
      </c:layout>
      <c:overlay val="0"/>
      <c:spPr>
        <a:noFill/>
        <a:ln w="25400">
          <a:noFill/>
        </a:ln>
      </c:spPr>
    </c:title>
    <c:autoTitleDeleted val="0"/>
    <c:plotArea>
      <c:layout>
        <c:manualLayout>
          <c:layoutTarget val="inner"/>
          <c:xMode val="edge"/>
          <c:yMode val="edge"/>
          <c:x val="0.12121234540043772"/>
          <c:y val="0.2352941176470589"/>
          <c:w val="0.85038036069994449"/>
          <c:h val="0.44117647058823528"/>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a:lstStyle/>
              <a:p>
                <a:pPr>
                  <a:defRPr sz="8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GRAFIK!$A$124:$A$129</c:f>
              <c:strCache>
                <c:ptCount val="6"/>
                <c:pt idx="0">
                  <c:v> &lt;  3 bln </c:v>
                </c:pt>
                <c:pt idx="1">
                  <c:v> 3 bln - 1 thn </c:v>
                </c:pt>
                <c:pt idx="2">
                  <c:v>1 - 2 thn</c:v>
                </c:pt>
                <c:pt idx="3">
                  <c:v> 2 - 3 thn </c:v>
                </c:pt>
                <c:pt idx="4">
                  <c:v> 3 - 4 thn </c:v>
                </c:pt>
                <c:pt idx="5">
                  <c:v> 4 - 5 thn </c:v>
                </c:pt>
              </c:strCache>
            </c:strRef>
          </c:cat>
          <c:val>
            <c:numRef>
              <c:f>GRAFIK!$B$124:$B$129</c:f>
              <c:numCache>
                <c:formatCode>General</c:formatCode>
                <c:ptCount val="6"/>
                <c:pt idx="0">
                  <c:v>7</c:v>
                </c:pt>
                <c:pt idx="1">
                  <c:v>31</c:v>
                </c:pt>
                <c:pt idx="2">
                  <c:v>25</c:v>
                </c:pt>
                <c:pt idx="3">
                  <c:v>4</c:v>
                </c:pt>
                <c:pt idx="4">
                  <c:v>1</c:v>
                </c:pt>
                <c:pt idx="5">
                  <c:v>0</c:v>
                </c:pt>
              </c:numCache>
            </c:numRef>
          </c:val>
          <c:extLst>
            <c:ext xmlns:c16="http://schemas.microsoft.com/office/drawing/2014/chart" uri="{C3380CC4-5D6E-409C-BE32-E72D297353CC}">
              <c16:uniqueId val="{00000000-EAB3-47B7-A402-125CC09AE085}"/>
            </c:ext>
          </c:extLst>
        </c:ser>
        <c:dLbls>
          <c:showLegendKey val="0"/>
          <c:showVal val="1"/>
          <c:showCatName val="0"/>
          <c:showSerName val="0"/>
          <c:showPercent val="0"/>
          <c:showBubbleSize val="0"/>
        </c:dLbls>
        <c:gapWidth val="150"/>
        <c:axId val="2020859360"/>
        <c:axId val="2020855552"/>
      </c:barChart>
      <c:catAx>
        <c:axId val="2020859360"/>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TAHUN</a:t>
                </a:r>
              </a:p>
            </c:rich>
          </c:tx>
          <c:layout>
            <c:manualLayout>
              <c:xMode val="edge"/>
              <c:yMode val="edge"/>
              <c:x val="0.5075768946850393"/>
              <c:y val="0.835294117647058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0855552"/>
        <c:crosses val="autoZero"/>
        <c:auto val="1"/>
        <c:lblAlgn val="ctr"/>
        <c:lblOffset val="100"/>
        <c:tickLblSkip val="1"/>
        <c:tickMarkSkip val="1"/>
        <c:noMultiLvlLbl val="0"/>
      </c:catAx>
      <c:valAx>
        <c:axId val="2020855552"/>
        <c:scaling>
          <c:orientation val="minMax"/>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JUMLAH</a:t>
                </a:r>
              </a:p>
            </c:rich>
          </c:tx>
          <c:layout>
            <c:manualLayout>
              <c:xMode val="edge"/>
              <c:yMode val="edge"/>
              <c:x val="3.9772801837270381E-2"/>
              <c:y val="0.311765048976721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9360"/>
        <c:crosses val="autoZero"/>
        <c:crossBetween val="between"/>
      </c:valAx>
      <c:spPr>
        <a:gradFill rotWithShape="0">
          <a:gsLst>
            <a:gs pos="0">
              <a:srgbClr val="CCFFCC"/>
            </a:gs>
            <a:gs pos="100000">
              <a:srgbClr val="00FFFF"/>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BERDASARKAN UMUR</a:t>
            </a:r>
          </a:p>
        </c:rich>
      </c:tx>
      <c:layout>
        <c:manualLayout>
          <c:xMode val="edge"/>
          <c:yMode val="edge"/>
          <c:x val="0.3379792594418935"/>
          <c:y val="3.8910973966092076E-2"/>
        </c:manualLayout>
      </c:layout>
      <c:overlay val="0"/>
      <c:spPr>
        <a:noFill/>
        <a:ln w="25400">
          <a:noFill/>
        </a:ln>
      </c:spPr>
    </c:title>
    <c:autoTitleDeleted val="0"/>
    <c:plotArea>
      <c:layout>
        <c:manualLayout>
          <c:layoutTarget val="inner"/>
          <c:xMode val="edge"/>
          <c:yMode val="edge"/>
          <c:x val="0.10801402916589753"/>
          <c:y val="0.20233463035019494"/>
          <c:w val="0.80487873346202365"/>
          <c:h val="0.59533073929961056"/>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a:lstStyle/>
              <a:p>
                <a:pPr>
                  <a:defRPr sz="8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GRAFIK!$A$137:$A$144</c:f>
              <c:strCache>
                <c:ptCount val="8"/>
                <c:pt idx="0">
                  <c:v> &lt;  20 </c:v>
                </c:pt>
                <c:pt idx="1">
                  <c:v> 21  -  25 </c:v>
                </c:pt>
                <c:pt idx="2">
                  <c:v> 26  -  30 </c:v>
                </c:pt>
                <c:pt idx="3">
                  <c:v> 31  -  35 </c:v>
                </c:pt>
                <c:pt idx="4">
                  <c:v> 36  -  40 </c:v>
                </c:pt>
                <c:pt idx="5">
                  <c:v> 41  -  45 </c:v>
                </c:pt>
                <c:pt idx="6">
                  <c:v> 46  -  50 </c:v>
                </c:pt>
                <c:pt idx="7">
                  <c:v> &gt;  50 </c:v>
                </c:pt>
              </c:strCache>
            </c:strRef>
          </c:cat>
          <c:val>
            <c:numRef>
              <c:f>GRAFIK!$B$137:$B$144</c:f>
              <c:numCache>
                <c:formatCode>General</c:formatCode>
                <c:ptCount val="8"/>
                <c:pt idx="0">
                  <c:v>0</c:v>
                </c:pt>
                <c:pt idx="1">
                  <c:v>11</c:v>
                </c:pt>
                <c:pt idx="2">
                  <c:v>25</c:v>
                </c:pt>
                <c:pt idx="3">
                  <c:v>22</c:v>
                </c:pt>
                <c:pt idx="4">
                  <c:v>9</c:v>
                </c:pt>
                <c:pt idx="5">
                  <c:v>1</c:v>
                </c:pt>
                <c:pt idx="6">
                  <c:v>1</c:v>
                </c:pt>
                <c:pt idx="7">
                  <c:v>0</c:v>
                </c:pt>
              </c:numCache>
            </c:numRef>
          </c:val>
          <c:extLst>
            <c:ext xmlns:c16="http://schemas.microsoft.com/office/drawing/2014/chart" uri="{C3380CC4-5D6E-409C-BE32-E72D297353CC}">
              <c16:uniqueId val="{00000000-1D90-4779-806E-72E880E6398C}"/>
            </c:ext>
          </c:extLst>
        </c:ser>
        <c:dLbls>
          <c:showLegendKey val="0"/>
          <c:showVal val="1"/>
          <c:showCatName val="0"/>
          <c:showSerName val="0"/>
          <c:showPercent val="0"/>
          <c:showBubbleSize val="0"/>
        </c:dLbls>
        <c:gapWidth val="150"/>
        <c:axId val="2020858816"/>
        <c:axId val="2020854464"/>
      </c:barChart>
      <c:catAx>
        <c:axId val="2020858816"/>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UMUR</a:t>
                </a:r>
              </a:p>
            </c:rich>
          </c:tx>
          <c:layout>
            <c:manualLayout>
              <c:xMode val="edge"/>
              <c:yMode val="edge"/>
              <c:x val="0.47386802677063494"/>
              <c:y val="0.894927431368397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020854464"/>
        <c:crosses val="autoZero"/>
        <c:auto val="1"/>
        <c:lblAlgn val="ctr"/>
        <c:lblOffset val="100"/>
        <c:tickLblSkip val="1"/>
        <c:tickMarkSkip val="1"/>
        <c:noMultiLvlLbl val="0"/>
      </c:catAx>
      <c:valAx>
        <c:axId val="2020854464"/>
        <c:scaling>
          <c:orientation val="minMax"/>
        </c:scaling>
        <c:delete val="0"/>
        <c:axPos val="l"/>
        <c:majorGridlines>
          <c:spPr>
            <a:ln w="3175">
              <a:solidFill>
                <a:srgbClr val="000000"/>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t>JUMLAH</a:t>
                </a:r>
              </a:p>
            </c:rich>
          </c:tx>
          <c:layout>
            <c:manualLayout>
              <c:xMode val="edge"/>
              <c:yMode val="edge"/>
              <c:x val="2.96165719011151E-2"/>
              <c:y val="0.3891051996878914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8816"/>
        <c:crosses val="autoZero"/>
        <c:crossBetween val="between"/>
      </c:valAx>
      <c:spPr>
        <a:gradFill rotWithShape="0">
          <a:gsLst>
            <a:gs pos="0">
              <a:srgbClr val="CCFFCC"/>
            </a:gs>
            <a:gs pos="100000">
              <a:srgbClr val="00FFFF"/>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BERDASARKAN TEMPAT KEJADIAN</a:t>
            </a:r>
          </a:p>
        </c:rich>
      </c:tx>
      <c:layout>
        <c:manualLayout>
          <c:xMode val="edge"/>
          <c:yMode val="edge"/>
          <c:x val="0.30502598939839848"/>
          <c:y val="4.0540052493438297E-2"/>
        </c:manualLayout>
      </c:layout>
      <c:overlay val="0"/>
      <c:spPr>
        <a:noFill/>
        <a:ln w="25400">
          <a:noFill/>
        </a:ln>
      </c:spPr>
    </c:title>
    <c:autoTitleDeleted val="0"/>
    <c:plotArea>
      <c:layout>
        <c:manualLayout>
          <c:layoutTarget val="inner"/>
          <c:xMode val="edge"/>
          <c:yMode val="edge"/>
          <c:x val="0.18024278684433129"/>
          <c:y val="0.18468549710329812"/>
          <c:w val="0.78162977756530183"/>
          <c:h val="0.55405649130988865"/>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20382643595728644"/>
                  <c:y val="-1.783043366237356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FD-41D9-8A24-341E877AFF18}"/>
                </c:ext>
              </c:extLst>
            </c:dLbl>
            <c:dLbl>
              <c:idx val="1"/>
              <c:layout>
                <c:manualLayout>
                  <c:x val="0.39764522120366858"/>
                  <c:y val="-1.44520585943110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FD-41D9-8A24-341E877AFF18}"/>
                </c:ext>
              </c:extLst>
            </c:dLbl>
            <c:dLbl>
              <c:idx val="2"/>
              <c:layout>
                <c:manualLayout>
                  <c:x val="0.36406919204830696"/>
                  <c:y val="-1.557820784584099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FD-41D9-8A24-341E877AFF18}"/>
                </c:ext>
              </c:extLst>
            </c:dLbl>
            <c:dLbl>
              <c:idx val="3"/>
              <c:layout>
                <c:manualLayout>
                  <c:x val="0.32329314640266749"/>
                  <c:y val="-3.190784138593605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FD-41D9-8A24-341E877AFF18}"/>
                </c:ext>
              </c:extLst>
            </c:dLbl>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GRAFIK!$A$151:$A$155</c:f>
              <c:strCache>
                <c:ptCount val="5"/>
                <c:pt idx="0">
                  <c:v> WORKSHOP </c:v>
                </c:pt>
                <c:pt idx="1">
                  <c:v> TAMBANG </c:v>
                </c:pt>
                <c:pt idx="2">
                  <c:v> HAULING ROAD </c:v>
                </c:pt>
                <c:pt idx="3">
                  <c:v> ROM </c:v>
                </c:pt>
                <c:pt idx="4">
                  <c:v> LAIN-LAIN </c:v>
                </c:pt>
              </c:strCache>
            </c:strRef>
          </c:cat>
          <c:val>
            <c:numRef>
              <c:f>GRAFIK!$B$151:$B$155</c:f>
              <c:numCache>
                <c:formatCode>General</c:formatCode>
                <c:ptCount val="5"/>
                <c:pt idx="0">
                  <c:v>3</c:v>
                </c:pt>
                <c:pt idx="1">
                  <c:v>8</c:v>
                </c:pt>
                <c:pt idx="2">
                  <c:v>45</c:v>
                </c:pt>
                <c:pt idx="3">
                  <c:v>4</c:v>
                </c:pt>
                <c:pt idx="4">
                  <c:v>9</c:v>
                </c:pt>
              </c:numCache>
            </c:numRef>
          </c:val>
          <c:extLst>
            <c:ext xmlns:c16="http://schemas.microsoft.com/office/drawing/2014/chart" uri="{C3380CC4-5D6E-409C-BE32-E72D297353CC}">
              <c16:uniqueId val="{00000004-CAFD-41D9-8A24-341E877AFF18}"/>
            </c:ext>
          </c:extLst>
        </c:ser>
        <c:dLbls>
          <c:showLegendKey val="0"/>
          <c:showVal val="1"/>
          <c:showCatName val="0"/>
          <c:showSerName val="0"/>
          <c:showPercent val="0"/>
          <c:showBubbleSize val="0"/>
        </c:dLbls>
        <c:gapWidth val="150"/>
        <c:overlap val="100"/>
        <c:axId val="2020856640"/>
        <c:axId val="2020851744"/>
      </c:barChart>
      <c:catAx>
        <c:axId val="2020856640"/>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1744"/>
        <c:crosses val="autoZero"/>
        <c:auto val="1"/>
        <c:lblAlgn val="ctr"/>
        <c:lblOffset val="100"/>
        <c:tickLblSkip val="1"/>
        <c:tickMarkSkip val="1"/>
        <c:noMultiLvlLbl val="0"/>
      </c:catAx>
      <c:valAx>
        <c:axId val="2020851744"/>
        <c:scaling>
          <c:orientation val="minMax"/>
        </c:scaling>
        <c:delete val="0"/>
        <c:axPos val="b"/>
        <c:majorGridlines>
          <c:spPr>
            <a:ln w="3175">
              <a:solidFill>
                <a:srgbClr val="000000"/>
              </a:solidFill>
              <a:prstDash val="solid"/>
            </a:ln>
          </c:spPr>
        </c:majorGridlines>
        <c:title>
          <c:tx>
            <c:rich>
              <a:bodyPr/>
              <a:lstStyle/>
              <a:p>
                <a:pPr>
                  <a:defRPr sz="1175" b="1" i="0" u="none" strike="noStrike" baseline="0">
                    <a:solidFill>
                      <a:srgbClr val="000000"/>
                    </a:solidFill>
                    <a:latin typeface="Arial"/>
                    <a:ea typeface="Arial"/>
                    <a:cs typeface="Arial"/>
                  </a:defRPr>
                </a:pPr>
                <a:r>
                  <a:rPr lang="en-US"/>
                  <a:t>JUMLAH</a:t>
                </a:r>
              </a:p>
            </c:rich>
          </c:tx>
          <c:layout>
            <c:manualLayout>
              <c:xMode val="edge"/>
              <c:yMode val="edge"/>
              <c:x val="0.50433307601255728"/>
              <c:y val="0.8224730708661415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6640"/>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BERDASARKAN UNIT TERLIBAT</a:t>
            </a:r>
          </a:p>
        </c:rich>
      </c:tx>
      <c:layout>
        <c:manualLayout>
          <c:xMode val="edge"/>
          <c:yMode val="edge"/>
          <c:x val="0.27958866469817223"/>
          <c:y val="3.9062117235345591E-2"/>
        </c:manualLayout>
      </c:layout>
      <c:overlay val="0"/>
      <c:spPr>
        <a:noFill/>
        <a:ln w="25400">
          <a:noFill/>
        </a:ln>
      </c:spPr>
    </c:title>
    <c:autoTitleDeleted val="0"/>
    <c:plotArea>
      <c:layout>
        <c:manualLayout>
          <c:layoutTarget val="inner"/>
          <c:xMode val="edge"/>
          <c:yMode val="edge"/>
          <c:x val="0.10120077086525052"/>
          <c:y val="0.22265667468389869"/>
          <c:w val="0.87478632442840565"/>
          <c:h val="0.53125101328090063"/>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GRAFIK!$A$161:$A$165</c:f>
              <c:strCache>
                <c:ptCount val="5"/>
                <c:pt idx="0">
                  <c:v> TRUCK </c:v>
                </c:pt>
                <c:pt idx="1">
                  <c:v> SARANA </c:v>
                </c:pt>
                <c:pt idx="2">
                  <c:v> A2B </c:v>
                </c:pt>
                <c:pt idx="3">
                  <c:v> PERALATAN </c:v>
                </c:pt>
                <c:pt idx="4">
                  <c:v> LAIN-LAIN </c:v>
                </c:pt>
              </c:strCache>
            </c:strRef>
          </c:cat>
          <c:val>
            <c:numRef>
              <c:f>GRAFIK!$B$161:$B$165</c:f>
              <c:numCache>
                <c:formatCode>General</c:formatCode>
                <c:ptCount val="5"/>
                <c:pt idx="0">
                  <c:v>51</c:v>
                </c:pt>
                <c:pt idx="1">
                  <c:v>4</c:v>
                </c:pt>
                <c:pt idx="2">
                  <c:v>9</c:v>
                </c:pt>
                <c:pt idx="3">
                  <c:v>1</c:v>
                </c:pt>
                <c:pt idx="4">
                  <c:v>4</c:v>
                </c:pt>
              </c:numCache>
            </c:numRef>
          </c:val>
          <c:extLst>
            <c:ext xmlns:c16="http://schemas.microsoft.com/office/drawing/2014/chart" uri="{C3380CC4-5D6E-409C-BE32-E72D297353CC}">
              <c16:uniqueId val="{00000000-62E0-4691-B133-0095CA14A828}"/>
            </c:ext>
          </c:extLst>
        </c:ser>
        <c:dLbls>
          <c:showLegendKey val="0"/>
          <c:showVal val="1"/>
          <c:showCatName val="0"/>
          <c:showSerName val="0"/>
          <c:showPercent val="0"/>
          <c:showBubbleSize val="0"/>
        </c:dLbls>
        <c:gapWidth val="200"/>
        <c:axId val="2020845216"/>
        <c:axId val="2020857728"/>
      </c:barChart>
      <c:catAx>
        <c:axId val="2020845216"/>
        <c:scaling>
          <c:orientation val="minMax"/>
        </c:scaling>
        <c:delete val="0"/>
        <c:axPos val="b"/>
        <c:title>
          <c:tx>
            <c:rich>
              <a:bodyPr/>
              <a:lstStyle/>
              <a:p>
                <a:pPr>
                  <a:defRPr sz="1025" b="1" i="0" u="none" strike="noStrike" baseline="0">
                    <a:solidFill>
                      <a:srgbClr val="000000"/>
                    </a:solidFill>
                    <a:latin typeface="Arial"/>
                    <a:ea typeface="Arial"/>
                    <a:cs typeface="Arial"/>
                  </a:defRPr>
                </a:pPr>
                <a:r>
                  <a:rPr lang="en-US"/>
                  <a:t>ALAT</a:t>
                </a:r>
              </a:p>
            </c:rich>
          </c:tx>
          <c:layout>
            <c:manualLayout>
              <c:xMode val="edge"/>
              <c:yMode val="edge"/>
              <c:x val="0.42951897162142866"/>
              <c:y val="0.828852524298814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7728"/>
        <c:crosses val="autoZero"/>
        <c:auto val="1"/>
        <c:lblAlgn val="ctr"/>
        <c:lblOffset val="100"/>
        <c:tickLblSkip val="1"/>
        <c:tickMarkSkip val="1"/>
        <c:noMultiLvlLbl val="0"/>
      </c:catAx>
      <c:valAx>
        <c:axId val="2020857728"/>
        <c:scaling>
          <c:orientation val="minMax"/>
        </c:scaling>
        <c:delete val="0"/>
        <c:axPos val="l"/>
        <c:majorGridlines>
          <c:spPr>
            <a:ln w="3175">
              <a:solidFill>
                <a:srgbClr val="000000"/>
              </a:solidFill>
              <a:prstDash val="solid"/>
            </a:ln>
          </c:spPr>
        </c:majorGridlines>
        <c:title>
          <c:tx>
            <c:rich>
              <a:bodyPr/>
              <a:lstStyle/>
              <a:p>
                <a:pPr>
                  <a:defRPr sz="1025" b="1" i="0" u="none" strike="noStrike" baseline="0">
                    <a:solidFill>
                      <a:srgbClr val="000000"/>
                    </a:solidFill>
                    <a:latin typeface="Arial"/>
                    <a:ea typeface="Arial"/>
                    <a:cs typeface="Arial"/>
                  </a:defRPr>
                </a:pPr>
                <a:r>
                  <a:rPr lang="en-US"/>
                  <a:t>JUMLAH</a:t>
                </a:r>
              </a:p>
            </c:rich>
          </c:tx>
          <c:layout>
            <c:manualLayout>
              <c:xMode val="edge"/>
              <c:yMode val="edge"/>
              <c:x val="2.2298433398950129E-2"/>
              <c:y val="0.3671881014873235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45216"/>
        <c:crosses val="autoZero"/>
        <c:crossBetween val="between"/>
      </c:valAx>
      <c:spPr>
        <a:gradFill rotWithShape="0">
          <a:gsLst>
            <a:gs pos="0">
              <a:srgbClr val="CCFFCC"/>
            </a:gs>
            <a:gs pos="100000">
              <a:srgbClr val="00FFFF"/>
            </a:gs>
          </a:gsLst>
          <a:lin ang="5400000" scaled="1"/>
        </a:gra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BERDASARKAN BAGIAN YANG LUKA</a:t>
            </a:r>
          </a:p>
        </c:rich>
      </c:tx>
      <c:layout>
        <c:manualLayout>
          <c:xMode val="edge"/>
          <c:yMode val="edge"/>
          <c:x val="0.29475374401729193"/>
          <c:y val="3.8461732283465416E-2"/>
        </c:manualLayout>
      </c:layout>
      <c:overlay val="0"/>
      <c:spPr>
        <a:noFill/>
        <a:ln w="25400">
          <a:noFill/>
        </a:ln>
      </c:spPr>
    </c:title>
    <c:autoTitleDeleted val="0"/>
    <c:plotArea>
      <c:layout>
        <c:manualLayout>
          <c:layoutTarget val="inner"/>
          <c:xMode val="edge"/>
          <c:yMode val="edge"/>
          <c:x val="0.1311730371893042"/>
          <c:y val="0.14685339757258944"/>
          <c:w val="0.82870495259597765"/>
          <c:h val="0.62587519441653583"/>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C551-4EF7-A585-2104C8F1B846}"/>
                </c:ext>
              </c:extLst>
            </c:dLbl>
            <c:dLbl>
              <c:idx val="1"/>
              <c:delete val="1"/>
              <c:extLst>
                <c:ext xmlns:c15="http://schemas.microsoft.com/office/drawing/2012/chart" uri="{CE6537A1-D6FC-4f65-9D91-7224C49458BB}"/>
                <c:ext xmlns:c16="http://schemas.microsoft.com/office/drawing/2014/chart" uri="{C3380CC4-5D6E-409C-BE32-E72D297353CC}">
                  <c16:uniqueId val="{00000001-C551-4EF7-A585-2104C8F1B846}"/>
                </c:ext>
              </c:extLst>
            </c:dLbl>
            <c:dLbl>
              <c:idx val="2"/>
              <c:delete val="1"/>
              <c:extLst>
                <c:ext xmlns:c15="http://schemas.microsoft.com/office/drawing/2012/chart" uri="{CE6537A1-D6FC-4f65-9D91-7224C49458BB}"/>
                <c:ext xmlns:c16="http://schemas.microsoft.com/office/drawing/2014/chart" uri="{C3380CC4-5D6E-409C-BE32-E72D297353CC}">
                  <c16:uniqueId val="{00000002-C551-4EF7-A585-2104C8F1B846}"/>
                </c:ext>
              </c:extLst>
            </c:dLbl>
            <c:dLbl>
              <c:idx val="3"/>
              <c:delete val="1"/>
              <c:extLst>
                <c:ext xmlns:c15="http://schemas.microsoft.com/office/drawing/2012/chart" uri="{CE6537A1-D6FC-4f65-9D91-7224C49458BB}"/>
                <c:ext xmlns:c16="http://schemas.microsoft.com/office/drawing/2014/chart" uri="{C3380CC4-5D6E-409C-BE32-E72D297353CC}">
                  <c16:uniqueId val="{00000003-C551-4EF7-A585-2104C8F1B846}"/>
                </c:ext>
              </c:extLst>
            </c:dLbl>
            <c:dLbl>
              <c:idx val="4"/>
              <c:delete val="1"/>
              <c:extLst>
                <c:ext xmlns:c15="http://schemas.microsoft.com/office/drawing/2012/chart" uri="{CE6537A1-D6FC-4f65-9D91-7224C49458BB}"/>
                <c:ext xmlns:c16="http://schemas.microsoft.com/office/drawing/2014/chart" uri="{C3380CC4-5D6E-409C-BE32-E72D297353CC}">
                  <c16:uniqueId val="{00000004-C551-4EF7-A585-2104C8F1B846}"/>
                </c:ext>
              </c:extLst>
            </c:dLbl>
            <c:dLbl>
              <c:idx val="5"/>
              <c:delete val="1"/>
              <c:extLst>
                <c:ext xmlns:c15="http://schemas.microsoft.com/office/drawing/2012/chart" uri="{CE6537A1-D6FC-4f65-9D91-7224C49458BB}"/>
                <c:ext xmlns:c16="http://schemas.microsoft.com/office/drawing/2014/chart" uri="{C3380CC4-5D6E-409C-BE32-E72D297353CC}">
                  <c16:uniqueId val="{00000005-C551-4EF7-A585-2104C8F1B846}"/>
                </c:ext>
              </c:extLst>
            </c:dLbl>
            <c:dLbl>
              <c:idx val="6"/>
              <c:delete val="1"/>
              <c:extLst>
                <c:ext xmlns:c15="http://schemas.microsoft.com/office/drawing/2012/chart" uri="{CE6537A1-D6FC-4f65-9D91-7224C49458BB}"/>
                <c:ext xmlns:c16="http://schemas.microsoft.com/office/drawing/2014/chart" uri="{C3380CC4-5D6E-409C-BE32-E72D297353CC}">
                  <c16:uniqueId val="{00000006-C551-4EF7-A585-2104C8F1B846}"/>
                </c:ext>
              </c:extLst>
            </c:dLbl>
            <c:dLbl>
              <c:idx val="7"/>
              <c:layout>
                <c:manualLayout>
                  <c:x val="0.14005212092369687"/>
                  <c:y val="-3.57945400075905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551-4EF7-A585-2104C8F1B846}"/>
                </c:ext>
              </c:extLst>
            </c:dLbl>
            <c:dLbl>
              <c:idx val="8"/>
              <c:delete val="1"/>
              <c:extLst>
                <c:ext xmlns:c15="http://schemas.microsoft.com/office/drawing/2012/chart" uri="{CE6537A1-D6FC-4f65-9D91-7224C49458BB}"/>
                <c:ext xmlns:c16="http://schemas.microsoft.com/office/drawing/2014/chart" uri="{C3380CC4-5D6E-409C-BE32-E72D297353CC}">
                  <c16:uniqueId val="{00000008-C551-4EF7-A585-2104C8F1B846}"/>
                </c:ext>
              </c:extLst>
            </c:dLbl>
            <c:dLbl>
              <c:idx val="9"/>
              <c:delete val="1"/>
              <c:extLst>
                <c:ext xmlns:c15="http://schemas.microsoft.com/office/drawing/2012/chart" uri="{CE6537A1-D6FC-4f65-9D91-7224C49458BB}"/>
                <c:ext xmlns:c16="http://schemas.microsoft.com/office/drawing/2014/chart" uri="{C3380CC4-5D6E-409C-BE32-E72D297353CC}">
                  <c16:uniqueId val="{00000009-C551-4EF7-A585-2104C8F1B846}"/>
                </c:ext>
              </c:extLst>
            </c:dLbl>
            <c:dLbl>
              <c:idx val="10"/>
              <c:layout>
                <c:manualLayout>
                  <c:x val="0.10231749262015513"/>
                  <c:y val="-4.9041660122224424E-3"/>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551-4EF7-A585-2104C8F1B846}"/>
                </c:ext>
              </c:extLst>
            </c:dLbl>
            <c:dLbl>
              <c:idx val="11"/>
              <c:layout>
                <c:manualLayout>
                  <c:x val="1.5051932543301252E-2"/>
                  <c:y val="-1.248627070499294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551-4EF7-A585-2104C8F1B846}"/>
                </c:ext>
              </c:extLst>
            </c:dLbl>
            <c:spPr>
              <a:noFill/>
              <a:ln w="25400">
                <a:noFill/>
              </a:ln>
            </c:spPr>
            <c:txPr>
              <a:bodyPr rot="-60000" vert="horz"/>
              <a:lstStyle/>
              <a:p>
                <a:pPr algn="ctr">
                  <a:defRPr sz="8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GRAFIK!$A$171:$A$182</c:f>
              <c:strCache>
                <c:ptCount val="12"/>
                <c:pt idx="0">
                  <c:v> MATA </c:v>
                </c:pt>
                <c:pt idx="1">
                  <c:v> LENGAN </c:v>
                </c:pt>
                <c:pt idx="2">
                  <c:v> PUNGGUNG </c:v>
                </c:pt>
                <c:pt idx="3">
                  <c:v> BATANG TUBUH </c:v>
                </c:pt>
                <c:pt idx="4">
                  <c:v> TANGAN </c:v>
                </c:pt>
                <c:pt idx="5">
                  <c:v> KAKI </c:v>
                </c:pt>
                <c:pt idx="6">
                  <c:v> TUNGKAI </c:v>
                </c:pt>
                <c:pt idx="7">
                  <c:v> JARI TANGAN </c:v>
                </c:pt>
                <c:pt idx="8">
                  <c:v> JARI KAKI </c:v>
                </c:pt>
                <c:pt idx="9">
                  <c:v> ORGAN DALAM </c:v>
                </c:pt>
                <c:pt idx="10">
                  <c:v> KEPALA </c:v>
                </c:pt>
                <c:pt idx="11">
                  <c:v> LAIN-LAIN </c:v>
                </c:pt>
              </c:strCache>
            </c:strRef>
          </c:cat>
          <c:val>
            <c:numRef>
              <c:f>GRAFIK!$B$171:$B$182</c:f>
              <c:numCache>
                <c:formatCode>General</c:formatCode>
                <c:ptCount val="12"/>
                <c:pt idx="0">
                  <c:v>0</c:v>
                </c:pt>
                <c:pt idx="1">
                  <c:v>2</c:v>
                </c:pt>
                <c:pt idx="2">
                  <c:v>0</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C-C551-4EF7-A585-2104C8F1B846}"/>
            </c:ext>
          </c:extLst>
        </c:ser>
        <c:dLbls>
          <c:showLegendKey val="0"/>
          <c:showVal val="1"/>
          <c:showCatName val="0"/>
          <c:showSerName val="0"/>
          <c:showPercent val="0"/>
          <c:showBubbleSize val="0"/>
        </c:dLbls>
        <c:gapWidth val="80"/>
        <c:overlap val="100"/>
        <c:axId val="2020850656"/>
        <c:axId val="2020858272"/>
      </c:barChart>
      <c:catAx>
        <c:axId val="2020850656"/>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8272"/>
        <c:crosses val="autoZero"/>
        <c:auto val="1"/>
        <c:lblAlgn val="ctr"/>
        <c:lblOffset val="100"/>
        <c:tickLblSkip val="1"/>
        <c:tickMarkSkip val="1"/>
        <c:noMultiLvlLbl val="0"/>
      </c:catAx>
      <c:valAx>
        <c:axId val="2020858272"/>
        <c:scaling>
          <c:orientation val="minMax"/>
          <c:max val="10"/>
        </c:scaling>
        <c:delete val="0"/>
        <c:axPos val="b"/>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JUMLAH</a:t>
                </a:r>
              </a:p>
            </c:rich>
          </c:tx>
          <c:layout>
            <c:manualLayout>
              <c:xMode val="edge"/>
              <c:yMode val="edge"/>
              <c:x val="0.49537110802327095"/>
              <c:y val="0.8881133858267290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2020850656"/>
        <c:crosses val="autoZero"/>
        <c:crossBetween val="between"/>
        <c:majorUnit val="2"/>
        <c:minorUnit val="1"/>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12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verticalDpi="1200"/>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BERDASARKAN JENIS INSIDEN</a:t>
            </a:r>
          </a:p>
        </c:rich>
      </c:tx>
      <c:layout>
        <c:manualLayout>
          <c:xMode val="edge"/>
          <c:yMode val="edge"/>
          <c:x val="0.32461532951655897"/>
          <c:y val="3.5294195820459416E-2"/>
        </c:manualLayout>
      </c:layout>
      <c:overlay val="0"/>
      <c:spPr>
        <a:noFill/>
        <a:ln w="25400">
          <a:noFill/>
        </a:ln>
      </c:spPr>
    </c:title>
    <c:autoTitleDeleted val="0"/>
    <c:plotArea>
      <c:layout>
        <c:manualLayout>
          <c:layoutTarget val="inner"/>
          <c:xMode val="edge"/>
          <c:yMode val="edge"/>
          <c:x val="0.29692307692308634"/>
          <c:y val="0.16470611889091091"/>
          <c:w val="0.66769230769232779"/>
          <c:h val="0.61764794584091487"/>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27634252056903258"/>
                  <c:y val="-7.9979192171175878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470-43A1-A63C-8AAC5A48B6F2}"/>
                </c:ext>
              </c:extLst>
            </c:dLbl>
            <c:dLbl>
              <c:idx val="1"/>
              <c:layout>
                <c:manualLayout>
                  <c:x val="4.5433748412805224E-2"/>
                  <c:y val="-5.3218656884747534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70-43A1-A63C-8AAC5A48B6F2}"/>
                </c:ext>
              </c:extLst>
            </c:dLbl>
            <c:dLbl>
              <c:idx val="2"/>
              <c:layout>
                <c:manualLayout>
                  <c:x val="0.12102814202950188"/>
                  <c:y val="-2.6489992615037468E-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70-43A1-A63C-8AAC5A48B6F2}"/>
                </c:ext>
              </c:extLst>
            </c:dLbl>
            <c:dLbl>
              <c:idx val="3"/>
              <c:layout>
                <c:manualLayout>
                  <c:x val="9.0258911260268498E-2"/>
                  <c:y val="-2.938793977933725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70-43A1-A63C-8AAC5A48B6F2}"/>
                </c:ext>
              </c:extLst>
            </c:dLbl>
            <c:dLbl>
              <c:idx val="4"/>
              <c:delete val="1"/>
              <c:extLst>
                <c:ext xmlns:c15="http://schemas.microsoft.com/office/drawing/2012/chart" uri="{CE6537A1-D6FC-4f65-9D91-7224C49458BB}"/>
                <c:ext xmlns:c16="http://schemas.microsoft.com/office/drawing/2014/chart" uri="{C3380CC4-5D6E-409C-BE32-E72D297353CC}">
                  <c16:uniqueId val="{00000004-7470-43A1-A63C-8AAC5A48B6F2}"/>
                </c:ext>
              </c:extLst>
            </c:dLbl>
            <c:dLbl>
              <c:idx val="5"/>
              <c:layout>
                <c:manualLayout>
                  <c:x val="4.8510671489728534E-2"/>
                  <c:y val="-8.28626337133341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70-43A1-A63C-8AAC5A48B6F2}"/>
                </c:ext>
              </c:extLst>
            </c:dLbl>
            <c:dLbl>
              <c:idx val="6"/>
              <c:layout>
                <c:manualLayout>
                  <c:x val="6.0463843118976394E-2"/>
                  <c:y val="3.1688806466451573E-3"/>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470-43A1-A63C-8AAC5A48B6F2}"/>
                </c:ext>
              </c:extLst>
            </c:dLbl>
            <c:dLbl>
              <c:idx val="7"/>
              <c:layout>
                <c:manualLayout>
                  <c:x val="3.75316624884212E-2"/>
                  <c:y val="-7.751690085939600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70-43A1-A63C-8AAC5A48B6F2}"/>
                </c:ext>
              </c:extLst>
            </c:dLbl>
            <c:dLbl>
              <c:idx val="8"/>
              <c:delete val="1"/>
              <c:extLst>
                <c:ext xmlns:c15="http://schemas.microsoft.com/office/drawing/2012/chart" uri="{CE6537A1-D6FC-4f65-9D91-7224C49458BB}"/>
                <c:ext xmlns:c16="http://schemas.microsoft.com/office/drawing/2014/chart" uri="{C3380CC4-5D6E-409C-BE32-E72D297353CC}">
                  <c16:uniqueId val="{00000008-7470-43A1-A63C-8AAC5A48B6F2}"/>
                </c:ext>
              </c:extLst>
            </c:dLbl>
            <c:dLbl>
              <c:idx val="9"/>
              <c:delete val="1"/>
              <c:extLst>
                <c:ext xmlns:c15="http://schemas.microsoft.com/office/drawing/2012/chart" uri="{CE6537A1-D6FC-4f65-9D91-7224C49458BB}"/>
                <c:ext xmlns:c16="http://schemas.microsoft.com/office/drawing/2014/chart" uri="{C3380CC4-5D6E-409C-BE32-E72D297353CC}">
                  <c16:uniqueId val="{00000009-7470-43A1-A63C-8AAC5A48B6F2}"/>
                </c:ext>
              </c:extLst>
            </c:dLbl>
            <c:dLbl>
              <c:idx val="10"/>
              <c:layout>
                <c:manualLayout>
                  <c:x val="9.9419666577126753E-2"/>
                  <c:y val="1.874030635761143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470-43A1-A63C-8AAC5A48B6F2}"/>
                </c:ext>
              </c:extLst>
            </c:dLbl>
            <c:spPr>
              <a:noFill/>
              <a:ln w="25400">
                <a:noFill/>
              </a:ln>
            </c:spPr>
            <c:txPr>
              <a:bodyPr/>
              <a:lstStyle/>
              <a:p>
                <a:pPr>
                  <a:defRPr sz="9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GRAFIK!$A$188:$A$198</c:f>
              <c:strCache>
                <c:ptCount val="11"/>
                <c:pt idx="0">
                  <c:v> Menabrak Sesuatu </c:v>
                </c:pt>
                <c:pt idx="1">
                  <c:v> Unit Rebah </c:v>
                </c:pt>
                <c:pt idx="2">
                  <c:v> Amblas </c:v>
                </c:pt>
                <c:pt idx="3">
                  <c:v> Jatuh Atau Kejatuhan </c:v>
                </c:pt>
                <c:pt idx="4">
                  <c:v> Jatuh Pada Permukaan Yang Sama </c:v>
                </c:pt>
                <c:pt idx="5">
                  <c:v> Kontak Dengan Pemukaan Kerja </c:v>
                </c:pt>
                <c:pt idx="6">
                  <c:v> Terjepit / Terkait </c:v>
                </c:pt>
                <c:pt idx="7">
                  <c:v> Terkena Suhu Panas / Dingin </c:v>
                </c:pt>
                <c:pt idx="8">
                  <c:v> Terkena Listrik, Kimia, Bising, Lentingan </c:v>
                </c:pt>
                <c:pt idx="9">
                  <c:v> Pencemaran Lingkungan </c:v>
                </c:pt>
                <c:pt idx="10">
                  <c:v> Jenis Insiden Lainnya </c:v>
                </c:pt>
              </c:strCache>
            </c:strRef>
          </c:cat>
          <c:val>
            <c:numRef>
              <c:f>GRAFIK!$B$188:$B$198</c:f>
              <c:numCache>
                <c:formatCode>General</c:formatCode>
                <c:ptCount val="11"/>
                <c:pt idx="0">
                  <c:v>21</c:v>
                </c:pt>
                <c:pt idx="1">
                  <c:v>11</c:v>
                </c:pt>
                <c:pt idx="2">
                  <c:v>25</c:v>
                </c:pt>
                <c:pt idx="3">
                  <c:v>0</c:v>
                </c:pt>
                <c:pt idx="4">
                  <c:v>0</c:v>
                </c:pt>
                <c:pt idx="5">
                  <c:v>0</c:v>
                </c:pt>
                <c:pt idx="6">
                  <c:v>0</c:v>
                </c:pt>
                <c:pt idx="7">
                  <c:v>0</c:v>
                </c:pt>
                <c:pt idx="8">
                  <c:v>0</c:v>
                </c:pt>
                <c:pt idx="9">
                  <c:v>5</c:v>
                </c:pt>
                <c:pt idx="10">
                  <c:v>7</c:v>
                </c:pt>
              </c:numCache>
            </c:numRef>
          </c:val>
          <c:extLst>
            <c:ext xmlns:c16="http://schemas.microsoft.com/office/drawing/2014/chart" uri="{C3380CC4-5D6E-409C-BE32-E72D297353CC}">
              <c16:uniqueId val="{0000000B-7470-43A1-A63C-8AAC5A48B6F2}"/>
            </c:ext>
          </c:extLst>
        </c:ser>
        <c:dLbls>
          <c:showLegendKey val="0"/>
          <c:showVal val="1"/>
          <c:showCatName val="0"/>
          <c:showSerName val="0"/>
          <c:showPercent val="0"/>
          <c:showBubbleSize val="0"/>
        </c:dLbls>
        <c:gapWidth val="90"/>
        <c:overlap val="100"/>
        <c:axId val="2020847936"/>
        <c:axId val="2020859904"/>
      </c:barChart>
      <c:catAx>
        <c:axId val="2020847936"/>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9904"/>
        <c:crosses val="autoZero"/>
        <c:auto val="1"/>
        <c:lblAlgn val="ctr"/>
        <c:lblOffset val="100"/>
        <c:tickLblSkip val="1"/>
        <c:tickMarkSkip val="1"/>
        <c:noMultiLvlLbl val="0"/>
      </c:catAx>
      <c:valAx>
        <c:axId val="2020859904"/>
        <c:scaling>
          <c:orientation val="minMax"/>
          <c:max val="22"/>
          <c:min val="0"/>
        </c:scaling>
        <c:delete val="0"/>
        <c:axPos val="b"/>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JUMLAH</a:t>
                </a:r>
              </a:p>
            </c:rich>
          </c:tx>
          <c:layout>
            <c:manualLayout>
              <c:xMode val="edge"/>
              <c:yMode val="edge"/>
              <c:x val="0.58153847728098318"/>
              <c:y val="0.8735306820824612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2020847936"/>
        <c:crosses val="autoZero"/>
        <c:crossBetween val="between"/>
        <c:majorUnit val="2"/>
        <c:minorUnit val="1"/>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verticalDpi="1200"/>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BERDASARKAN TINDAKAN BERBAHAYA</a:t>
            </a:r>
          </a:p>
        </c:rich>
      </c:tx>
      <c:layout>
        <c:manualLayout>
          <c:xMode val="edge"/>
          <c:yMode val="edge"/>
          <c:x val="0.30939961271965877"/>
          <c:y val="3.2258144202562913E-2"/>
        </c:manualLayout>
      </c:layout>
      <c:overlay val="0"/>
      <c:spPr>
        <a:noFill/>
        <a:ln w="25400">
          <a:noFill/>
        </a:ln>
      </c:spPr>
    </c:title>
    <c:autoTitleDeleted val="0"/>
    <c:plotArea>
      <c:layout>
        <c:manualLayout>
          <c:layoutTarget val="inner"/>
          <c:xMode val="edge"/>
          <c:yMode val="edge"/>
          <c:x val="0.32767644908391091"/>
          <c:y val="0.13440895499662694"/>
          <c:w val="0.63838160797620069"/>
          <c:h val="0.68817384958272843"/>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474A-4FBC-9D30-CDE91D309DE6}"/>
                </c:ext>
              </c:extLst>
            </c:dLbl>
            <c:dLbl>
              <c:idx val="1"/>
              <c:layout>
                <c:manualLayout>
                  <c:x val="8.3402643635001383E-2"/>
                  <c:y val="-3.8624031302741972E-3"/>
                </c:manualLayout>
              </c:layout>
              <c:spPr>
                <a:noFill/>
                <a:ln w="25400">
                  <a:noFill/>
                </a:ln>
              </c:spPr>
              <c:txPr>
                <a:bodyPr/>
                <a:lstStyle/>
                <a:p>
                  <a:pPr>
                    <a:defRPr sz="8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4A-4FBC-9D30-CDE91D309DE6}"/>
                </c:ext>
              </c:extLst>
            </c:dLbl>
            <c:dLbl>
              <c:idx val="2"/>
              <c:layout>
                <c:manualLayout>
                  <c:x val="9.4437762610316625E-2"/>
                  <c:y val="1.6718054872594894E-3"/>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4A-4FBC-9D30-CDE91D309DE6}"/>
                </c:ext>
              </c:extLst>
            </c:dLbl>
            <c:dLbl>
              <c:idx val="3"/>
              <c:delete val="1"/>
              <c:extLst>
                <c:ext xmlns:c15="http://schemas.microsoft.com/office/drawing/2012/chart" uri="{CE6537A1-D6FC-4f65-9D91-7224C49458BB}"/>
                <c:ext xmlns:c16="http://schemas.microsoft.com/office/drawing/2014/chart" uri="{C3380CC4-5D6E-409C-BE32-E72D297353CC}">
                  <c16:uniqueId val="{00000003-474A-4FBC-9D30-CDE91D309DE6}"/>
                </c:ext>
              </c:extLst>
            </c:dLbl>
            <c:dLbl>
              <c:idx val="4"/>
              <c:delete val="1"/>
              <c:extLst>
                <c:ext xmlns:c15="http://schemas.microsoft.com/office/drawing/2012/chart" uri="{CE6537A1-D6FC-4f65-9D91-7224C49458BB}"/>
                <c:ext xmlns:c16="http://schemas.microsoft.com/office/drawing/2014/chart" uri="{C3380CC4-5D6E-409C-BE32-E72D297353CC}">
                  <c16:uniqueId val="{00000004-474A-4FBC-9D30-CDE91D309DE6}"/>
                </c:ext>
              </c:extLst>
            </c:dLbl>
            <c:dLbl>
              <c:idx val="5"/>
              <c:delete val="1"/>
              <c:extLst>
                <c:ext xmlns:c15="http://schemas.microsoft.com/office/drawing/2012/chart" uri="{CE6537A1-D6FC-4f65-9D91-7224C49458BB}"/>
                <c:ext xmlns:c16="http://schemas.microsoft.com/office/drawing/2014/chart" uri="{C3380CC4-5D6E-409C-BE32-E72D297353CC}">
                  <c16:uniqueId val="{00000005-474A-4FBC-9D30-CDE91D309DE6}"/>
                </c:ext>
              </c:extLst>
            </c:dLbl>
            <c:dLbl>
              <c:idx val="6"/>
              <c:delete val="1"/>
              <c:extLst>
                <c:ext xmlns:c15="http://schemas.microsoft.com/office/drawing/2012/chart" uri="{CE6537A1-D6FC-4f65-9D91-7224C49458BB}"/>
                <c:ext xmlns:c16="http://schemas.microsoft.com/office/drawing/2014/chart" uri="{C3380CC4-5D6E-409C-BE32-E72D297353CC}">
                  <c16:uniqueId val="{00000006-474A-4FBC-9D30-CDE91D309DE6}"/>
                </c:ext>
              </c:extLst>
            </c:dLbl>
            <c:dLbl>
              <c:idx val="7"/>
              <c:delete val="1"/>
              <c:extLst>
                <c:ext xmlns:c15="http://schemas.microsoft.com/office/drawing/2012/chart" uri="{CE6537A1-D6FC-4f65-9D91-7224C49458BB}"/>
                <c:ext xmlns:c16="http://schemas.microsoft.com/office/drawing/2014/chart" uri="{C3380CC4-5D6E-409C-BE32-E72D297353CC}">
                  <c16:uniqueId val="{00000007-474A-4FBC-9D30-CDE91D309DE6}"/>
                </c:ext>
              </c:extLst>
            </c:dLbl>
            <c:dLbl>
              <c:idx val="8"/>
              <c:layout>
                <c:manualLayout>
                  <c:x val="1.4742370681991121E-2"/>
                  <c:y val="-2.7557047038091692E-3"/>
                </c:manualLayout>
              </c:layout>
              <c:spPr>
                <a:noFill/>
                <a:ln w="25400">
                  <a:noFill/>
                </a:ln>
              </c:spPr>
              <c:txPr>
                <a:bodyPr/>
                <a:lstStyle/>
                <a:p>
                  <a:pPr>
                    <a:defRPr sz="8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4A-4FBC-9D30-CDE91D309DE6}"/>
                </c:ext>
              </c:extLst>
            </c:dLbl>
            <c:dLbl>
              <c:idx val="9"/>
              <c:layout>
                <c:manualLayout>
                  <c:x val="0.1745825157594259"/>
                  <c:y val="9.0615730922828243E-5"/>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4A-4FBC-9D30-CDE91D309DE6}"/>
                </c:ext>
              </c:extLst>
            </c:dLbl>
            <c:dLbl>
              <c:idx val="10"/>
              <c:layout>
                <c:manualLayout>
                  <c:x val="1.2131402960207073E-2"/>
                  <c:y val="-7.8157802340753941E-3"/>
                </c:manualLayout>
              </c:layout>
              <c:spPr>
                <a:noFill/>
                <a:ln w="25400">
                  <a:noFill/>
                </a:ln>
              </c:spPr>
              <c:txPr>
                <a:bodyPr/>
                <a:lstStyle/>
                <a:p>
                  <a:pPr>
                    <a:defRPr sz="8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74A-4FBC-9D30-CDE91D309DE6}"/>
                </c:ext>
              </c:extLst>
            </c:dLbl>
            <c:dLbl>
              <c:idx val="11"/>
              <c:layout>
                <c:manualLayout>
                  <c:x val="9.7926083877386896E-2"/>
                  <c:y val="3.0950775004541411E-3"/>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74A-4FBC-9D30-CDE91D309DE6}"/>
                </c:ext>
              </c:extLst>
            </c:dLbl>
            <c:dLbl>
              <c:idx val="12"/>
              <c:layout>
                <c:manualLayout>
                  <c:x val="0.31557477273578194"/>
                  <c:y val="-4.8113184645442114E-3"/>
                </c:manualLayout>
              </c:layout>
              <c:spPr>
                <a:noFill/>
                <a:ln w="25400">
                  <a:noFill/>
                </a:ln>
              </c:spPr>
              <c:txPr>
                <a:bodyPr/>
                <a:lstStyle/>
                <a:p>
                  <a:pPr>
                    <a:defRPr sz="8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74A-4FBC-9D30-CDE91D309DE6}"/>
                </c:ext>
              </c:extLst>
            </c:dLbl>
            <c:dLbl>
              <c:idx val="13"/>
              <c:delete val="1"/>
              <c:extLst>
                <c:ext xmlns:c15="http://schemas.microsoft.com/office/drawing/2012/chart" uri="{CE6537A1-D6FC-4f65-9D91-7224C49458BB}"/>
                <c:ext xmlns:c16="http://schemas.microsoft.com/office/drawing/2014/chart" uri="{C3380CC4-5D6E-409C-BE32-E72D297353CC}">
                  <c16:uniqueId val="{0000000D-474A-4FBC-9D30-CDE91D309DE6}"/>
                </c:ext>
              </c:extLst>
            </c:dLbl>
            <c:dLbl>
              <c:idx val="14"/>
              <c:delete val="1"/>
              <c:extLst>
                <c:ext xmlns:c15="http://schemas.microsoft.com/office/drawing/2012/chart" uri="{CE6537A1-D6FC-4f65-9D91-7224C49458BB}"/>
                <c:ext xmlns:c16="http://schemas.microsoft.com/office/drawing/2014/chart" uri="{C3380CC4-5D6E-409C-BE32-E72D297353CC}">
                  <c16:uniqueId val="{0000000E-474A-4FBC-9D30-CDE91D309DE6}"/>
                </c:ext>
              </c:extLst>
            </c:dLbl>
            <c:dLbl>
              <c:idx val="15"/>
              <c:delete val="1"/>
              <c:extLst>
                <c:ext xmlns:c15="http://schemas.microsoft.com/office/drawing/2012/chart" uri="{CE6537A1-D6FC-4f65-9D91-7224C49458BB}"/>
                <c:ext xmlns:c16="http://schemas.microsoft.com/office/drawing/2014/chart" uri="{C3380CC4-5D6E-409C-BE32-E72D297353CC}">
                  <c16:uniqueId val="{0000000F-474A-4FBC-9D30-CDE91D309DE6}"/>
                </c:ext>
              </c:extLst>
            </c:dLbl>
            <c:dLbl>
              <c:idx val="16"/>
              <c:layout>
                <c:manualLayout>
                  <c:x val="5.6354598466859356E-2"/>
                  <c:y val="-4.1787531253464124E-3"/>
                </c:manualLayout>
              </c:layout>
              <c:spPr>
                <a:noFill/>
                <a:ln w="25400">
                  <a:noFill/>
                </a:ln>
              </c:spPr>
              <c:txPr>
                <a:bodyPr/>
                <a:lstStyle/>
                <a:p>
                  <a:pPr>
                    <a:defRPr sz="8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74A-4FBC-9D30-CDE91D309DE6}"/>
                </c:ext>
              </c:extLst>
            </c:dLbl>
            <c:spPr>
              <a:noFill/>
              <a:ln w="25400">
                <a:noFill/>
              </a:ln>
            </c:spPr>
            <c:txPr>
              <a:bodyPr/>
              <a:lstStyle/>
              <a:p>
                <a:pPr>
                  <a:defRPr sz="11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GRAFIK!$A$204:$A$220</c:f>
              <c:strCache>
                <c:ptCount val="17"/>
                <c:pt idx="0">
                  <c:v> Operasi Tanpa Wewenang </c:v>
                </c:pt>
                <c:pt idx="1">
                  <c:v> Gagal Memberi Peringatan </c:v>
                </c:pt>
                <c:pt idx="2">
                  <c:v> Gagal Mengamankan </c:v>
                </c:pt>
                <c:pt idx="3">
                  <c:v> Operasi Dengan Kecepatan Yang Salah </c:v>
                </c:pt>
                <c:pt idx="4">
                  <c:v> Membuat Alat Pengaman Tidak Berfungsi </c:v>
                </c:pt>
                <c:pt idx="5">
                  <c:v> Merusak Alat Pengaman </c:v>
                </c:pt>
                <c:pt idx="6">
                  <c:v> Memakai Peralatan Yang Rusak </c:v>
                </c:pt>
                <c:pt idx="7">
                  <c:v> APD Tidak Dipakai / Salah </c:v>
                </c:pt>
                <c:pt idx="8">
                  <c:v> Pemuatan Tidak Sesuai </c:v>
                </c:pt>
                <c:pt idx="9">
                  <c:v> Penempatan Tidak Sesuai </c:v>
                </c:pt>
                <c:pt idx="10">
                  <c:v> Pengangkatan Tidak Sesuai </c:v>
                </c:pt>
                <c:pt idx="11">
                  <c:v> Memakai Alat Tidak Benar </c:v>
                </c:pt>
                <c:pt idx="12">
                  <c:v> Berada Pada Posisi Yang Salah </c:v>
                </c:pt>
                <c:pt idx="13">
                  <c:v> Memperbaiki Alat Tanpa 'Lock Out' </c:v>
                </c:pt>
                <c:pt idx="14">
                  <c:v> Bercanda / Bermain-Main </c:v>
                </c:pt>
                <c:pt idx="15">
                  <c:v> Dibawah Pengaruh Obat / Alkohol </c:v>
                </c:pt>
                <c:pt idx="16">
                  <c:v> Sebab Lain </c:v>
                </c:pt>
              </c:strCache>
            </c:strRef>
          </c:cat>
          <c:val>
            <c:numRef>
              <c:f>GRAFIK!$B$204:$B$220</c:f>
              <c:numCache>
                <c:formatCode>General</c:formatCode>
                <c:ptCount val="17"/>
                <c:pt idx="0">
                  <c:v>2</c:v>
                </c:pt>
                <c:pt idx="1">
                  <c:v>16</c:v>
                </c:pt>
                <c:pt idx="2">
                  <c:v>35</c:v>
                </c:pt>
                <c:pt idx="3">
                  <c:v>7</c:v>
                </c:pt>
                <c:pt idx="4">
                  <c:v>0</c:v>
                </c:pt>
                <c:pt idx="5">
                  <c:v>0</c:v>
                </c:pt>
                <c:pt idx="6">
                  <c:v>1</c:v>
                </c:pt>
                <c:pt idx="7">
                  <c:v>0</c:v>
                </c:pt>
                <c:pt idx="8">
                  <c:v>0</c:v>
                </c:pt>
                <c:pt idx="9">
                  <c:v>0</c:v>
                </c:pt>
                <c:pt idx="10">
                  <c:v>0</c:v>
                </c:pt>
                <c:pt idx="11">
                  <c:v>0</c:v>
                </c:pt>
                <c:pt idx="12">
                  <c:v>1</c:v>
                </c:pt>
                <c:pt idx="13">
                  <c:v>0</c:v>
                </c:pt>
                <c:pt idx="14">
                  <c:v>0</c:v>
                </c:pt>
                <c:pt idx="15">
                  <c:v>1</c:v>
                </c:pt>
                <c:pt idx="16">
                  <c:v>2</c:v>
                </c:pt>
              </c:numCache>
            </c:numRef>
          </c:val>
          <c:extLst>
            <c:ext xmlns:c16="http://schemas.microsoft.com/office/drawing/2014/chart" uri="{C3380CC4-5D6E-409C-BE32-E72D297353CC}">
              <c16:uniqueId val="{00000011-474A-4FBC-9D30-CDE91D309DE6}"/>
            </c:ext>
          </c:extLst>
        </c:ser>
        <c:dLbls>
          <c:showLegendKey val="0"/>
          <c:showVal val="1"/>
          <c:showCatName val="0"/>
          <c:showSerName val="0"/>
          <c:showPercent val="0"/>
          <c:showBubbleSize val="0"/>
        </c:dLbls>
        <c:gapWidth val="90"/>
        <c:overlap val="100"/>
        <c:axId val="2020844672"/>
        <c:axId val="2020846304"/>
      </c:barChart>
      <c:catAx>
        <c:axId val="2020844672"/>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020846304"/>
        <c:crosses val="autoZero"/>
        <c:auto val="1"/>
        <c:lblAlgn val="ctr"/>
        <c:lblOffset val="100"/>
        <c:tickLblSkip val="1"/>
        <c:tickMarkSkip val="1"/>
        <c:noMultiLvlLbl val="0"/>
      </c:catAx>
      <c:valAx>
        <c:axId val="2020846304"/>
        <c:scaling>
          <c:orientation val="minMax"/>
        </c:scaling>
        <c:delete val="0"/>
        <c:axPos val="b"/>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JUMLAH</a:t>
                </a:r>
              </a:p>
            </c:rich>
          </c:tx>
          <c:layout>
            <c:manualLayout>
              <c:xMode val="edge"/>
              <c:yMode val="edge"/>
              <c:x val="0.5939952026544949"/>
              <c:y val="0.9112925737224015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020844672"/>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47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75" b="1" i="0" u="none" strike="noStrike" baseline="0">
                <a:solidFill>
                  <a:srgbClr val="000000"/>
                </a:solidFill>
                <a:latin typeface="Arial"/>
                <a:ea typeface="Arial"/>
                <a:cs typeface="Arial"/>
              </a:defRPr>
            </a:pPr>
            <a:r>
              <a:rPr lang="en-US"/>
              <a:t>BERDASARKAN KONDISI BERBAHAYA</a:t>
            </a:r>
          </a:p>
        </c:rich>
      </c:tx>
      <c:layout>
        <c:manualLayout>
          <c:xMode val="edge"/>
          <c:yMode val="edge"/>
          <c:x val="0.38603489269725083"/>
          <c:y val="3.5805756838534715E-2"/>
        </c:manualLayout>
      </c:layout>
      <c:overlay val="0"/>
      <c:spPr>
        <a:noFill/>
        <a:ln w="25400">
          <a:noFill/>
        </a:ln>
      </c:spPr>
    </c:title>
    <c:autoTitleDeleted val="0"/>
    <c:plotArea>
      <c:layout>
        <c:manualLayout>
          <c:layoutTarget val="inner"/>
          <c:xMode val="edge"/>
          <c:yMode val="edge"/>
          <c:x val="0.25691732660846739"/>
          <c:y val="0.15601042500503226"/>
          <c:w val="0.70882831648903866"/>
          <c:h val="0.68286530289085334"/>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7.8610885597658997E-2"/>
                  <c:y val="-6.87061881837054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08-482A-97CB-E8B5BB28075A}"/>
                </c:ext>
              </c:extLst>
            </c:dLbl>
            <c:dLbl>
              <c:idx val="1"/>
              <c:delete val="1"/>
              <c:extLst>
                <c:ext xmlns:c15="http://schemas.microsoft.com/office/drawing/2012/chart" uri="{CE6537A1-D6FC-4f65-9D91-7224C49458BB}"/>
                <c:ext xmlns:c16="http://schemas.microsoft.com/office/drawing/2014/chart" uri="{C3380CC4-5D6E-409C-BE32-E72D297353CC}">
                  <c16:uniqueId val="{00000001-1108-482A-97CB-E8B5BB28075A}"/>
                </c:ext>
              </c:extLst>
            </c:dLbl>
            <c:dLbl>
              <c:idx val="2"/>
              <c:delete val="1"/>
              <c:extLst>
                <c:ext xmlns:c15="http://schemas.microsoft.com/office/drawing/2012/chart" uri="{CE6537A1-D6FC-4f65-9D91-7224C49458BB}"/>
                <c:ext xmlns:c16="http://schemas.microsoft.com/office/drawing/2014/chart" uri="{C3380CC4-5D6E-409C-BE32-E72D297353CC}">
                  <c16:uniqueId val="{00000002-1108-482A-97CB-E8B5BB28075A}"/>
                </c:ext>
              </c:extLst>
            </c:dLbl>
            <c:dLbl>
              <c:idx val="3"/>
              <c:layout>
                <c:manualLayout>
                  <c:x val="0.16662151698066519"/>
                  <c:y val="-3.765150099171397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08-482A-97CB-E8B5BB28075A}"/>
                </c:ext>
              </c:extLst>
            </c:dLbl>
            <c:dLbl>
              <c:idx val="4"/>
              <c:layout>
                <c:manualLayout>
                  <c:x val="0.13816310332516926"/>
                  <c:y val="-6.13987303445483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08-482A-97CB-E8B5BB28075A}"/>
                </c:ext>
              </c:extLst>
            </c:dLbl>
            <c:dLbl>
              <c:idx val="5"/>
              <c:delete val="1"/>
              <c:extLst>
                <c:ext xmlns:c15="http://schemas.microsoft.com/office/drawing/2012/chart" uri="{CE6537A1-D6FC-4f65-9D91-7224C49458BB}"/>
                <c:ext xmlns:c16="http://schemas.microsoft.com/office/drawing/2014/chart" uri="{C3380CC4-5D6E-409C-BE32-E72D297353CC}">
                  <c16:uniqueId val="{00000005-1108-482A-97CB-E8B5BB28075A}"/>
                </c:ext>
              </c:extLst>
            </c:dLbl>
            <c:dLbl>
              <c:idx val="6"/>
              <c:delete val="1"/>
              <c:extLst>
                <c:ext xmlns:c15="http://schemas.microsoft.com/office/drawing/2012/chart" uri="{CE6537A1-D6FC-4f65-9D91-7224C49458BB}"/>
                <c:ext xmlns:c16="http://schemas.microsoft.com/office/drawing/2014/chart" uri="{C3380CC4-5D6E-409C-BE32-E72D297353CC}">
                  <c16:uniqueId val="{00000006-1108-482A-97CB-E8B5BB28075A}"/>
                </c:ext>
              </c:extLst>
            </c:dLbl>
            <c:dLbl>
              <c:idx val="7"/>
              <c:layout>
                <c:manualLayout>
                  <c:x val="0.35647688319279897"/>
                  <c:y val="-5.59195226615731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08-482A-97CB-E8B5BB28075A}"/>
                </c:ext>
              </c:extLst>
            </c:dLbl>
            <c:dLbl>
              <c:idx val="8"/>
              <c:delete val="1"/>
              <c:extLst>
                <c:ext xmlns:c15="http://schemas.microsoft.com/office/drawing/2012/chart" uri="{CE6537A1-D6FC-4f65-9D91-7224C49458BB}"/>
                <c:ext xmlns:c16="http://schemas.microsoft.com/office/drawing/2014/chart" uri="{C3380CC4-5D6E-409C-BE32-E72D297353CC}">
                  <c16:uniqueId val="{00000008-1108-482A-97CB-E8B5BB28075A}"/>
                </c:ext>
              </c:extLst>
            </c:dLbl>
            <c:dLbl>
              <c:idx val="9"/>
              <c:delete val="1"/>
              <c:extLst>
                <c:ext xmlns:c15="http://schemas.microsoft.com/office/drawing/2012/chart" uri="{CE6537A1-D6FC-4f65-9D91-7224C49458BB}"/>
                <c:ext xmlns:c16="http://schemas.microsoft.com/office/drawing/2014/chart" uri="{C3380CC4-5D6E-409C-BE32-E72D297353CC}">
                  <c16:uniqueId val="{00000009-1108-482A-97CB-E8B5BB28075A}"/>
                </c:ext>
              </c:extLst>
            </c:dLbl>
            <c:dLbl>
              <c:idx val="10"/>
              <c:delete val="1"/>
              <c:extLst>
                <c:ext xmlns:c15="http://schemas.microsoft.com/office/drawing/2012/chart" uri="{CE6537A1-D6FC-4f65-9D91-7224C49458BB}"/>
                <c:ext xmlns:c16="http://schemas.microsoft.com/office/drawing/2014/chart" uri="{C3380CC4-5D6E-409C-BE32-E72D297353CC}">
                  <c16:uniqueId val="{0000000A-1108-482A-97CB-E8B5BB28075A}"/>
                </c:ext>
              </c:extLst>
            </c:dLbl>
            <c:dLbl>
              <c:idx val="11"/>
              <c:layout>
                <c:manualLayout>
                  <c:x val="4.9757143004610094E-2"/>
                  <c:y val="-4.861206482241549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108-482A-97CB-E8B5BB28075A}"/>
                </c:ext>
              </c:extLst>
            </c:dLbl>
            <c:dLbl>
              <c:idx val="12"/>
              <c:delete val="1"/>
              <c:extLst>
                <c:ext xmlns:c15="http://schemas.microsoft.com/office/drawing/2012/chart" uri="{CE6537A1-D6FC-4f65-9D91-7224C49458BB}"/>
                <c:ext xmlns:c16="http://schemas.microsoft.com/office/drawing/2014/chart" uri="{C3380CC4-5D6E-409C-BE32-E72D297353CC}">
                  <c16:uniqueId val="{0000000C-1108-482A-97CB-E8B5BB28075A}"/>
                </c:ext>
              </c:extLst>
            </c:dLbl>
            <c:dLbl>
              <c:idx val="13"/>
              <c:layout>
                <c:manualLayout>
                  <c:x val="0.14066635088145868"/>
                  <c:y val="-1.938285639381338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108-482A-97CB-E8B5BB28075A}"/>
                </c:ext>
              </c:extLst>
            </c:dLbl>
            <c:spPr>
              <a:noFill/>
              <a:ln w="25400">
                <a:noFill/>
              </a:ln>
            </c:spPr>
            <c:txPr>
              <a:bodyPr/>
              <a:lstStyle/>
              <a:p>
                <a:pPr>
                  <a:defRPr sz="975"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GRAFIK!$A$226:$A$239</c:f>
              <c:strCache>
                <c:ptCount val="14"/>
                <c:pt idx="0">
                  <c:v> Pelindung Pada Alat Tidak Memadai </c:v>
                </c:pt>
                <c:pt idx="1">
                  <c:v> APD Tidak Memadai </c:v>
                </c:pt>
                <c:pt idx="2">
                  <c:v> Alat / Material Tidak Memadai </c:v>
                </c:pt>
                <c:pt idx="3">
                  <c:v> Ruang Gerak Terbatas </c:v>
                </c:pt>
                <c:pt idx="4">
                  <c:v> Sistem Peringatan Tidak Memadai </c:v>
                </c:pt>
                <c:pt idx="5">
                  <c:v> Bahaya Ledakan / Kebakaran </c:v>
                </c:pt>
                <c:pt idx="6">
                  <c:v> Housekeeping Buruk </c:v>
                </c:pt>
                <c:pt idx="7">
                  <c:v> Lingkungan Berbahaya </c:v>
                </c:pt>
                <c:pt idx="8">
                  <c:v> Terpapar Kebisingan Tinggi </c:v>
                </c:pt>
                <c:pt idx="9">
                  <c:v> Terpapar Radiasi Tinggi </c:v>
                </c:pt>
                <c:pt idx="10">
                  <c:v> Suhu Ekstrim (Panas / Dingin) </c:v>
                </c:pt>
                <c:pt idx="11">
                  <c:v> Penerangan Kurang / Berlebih </c:v>
                </c:pt>
                <c:pt idx="12">
                  <c:v> Penyempitan Jalan </c:v>
                </c:pt>
                <c:pt idx="13">
                  <c:v> Sebab Lain </c:v>
                </c:pt>
              </c:strCache>
            </c:strRef>
          </c:cat>
          <c:val>
            <c:numRef>
              <c:f>GRAFIK!$B$226:$B$239</c:f>
              <c:numCache>
                <c:formatCode>General</c:formatCode>
                <c:ptCount val="14"/>
                <c:pt idx="0">
                  <c:v>0</c:v>
                </c:pt>
                <c:pt idx="1">
                  <c:v>0</c:v>
                </c:pt>
                <c:pt idx="2">
                  <c:v>1</c:v>
                </c:pt>
                <c:pt idx="3">
                  <c:v>0</c:v>
                </c:pt>
                <c:pt idx="4">
                  <c:v>1</c:v>
                </c:pt>
                <c:pt idx="5">
                  <c:v>0</c:v>
                </c:pt>
                <c:pt idx="6">
                  <c:v>0</c:v>
                </c:pt>
                <c:pt idx="7">
                  <c:v>63</c:v>
                </c:pt>
                <c:pt idx="8">
                  <c:v>0</c:v>
                </c:pt>
                <c:pt idx="9">
                  <c:v>0</c:v>
                </c:pt>
                <c:pt idx="10">
                  <c:v>0</c:v>
                </c:pt>
                <c:pt idx="11">
                  <c:v>0</c:v>
                </c:pt>
                <c:pt idx="12">
                  <c:v>0</c:v>
                </c:pt>
                <c:pt idx="13">
                  <c:v>0</c:v>
                </c:pt>
              </c:numCache>
            </c:numRef>
          </c:val>
          <c:extLst>
            <c:ext xmlns:c16="http://schemas.microsoft.com/office/drawing/2014/chart" uri="{C3380CC4-5D6E-409C-BE32-E72D297353CC}">
              <c16:uniqueId val="{0000000E-1108-482A-97CB-E8B5BB28075A}"/>
            </c:ext>
          </c:extLst>
        </c:ser>
        <c:dLbls>
          <c:showLegendKey val="0"/>
          <c:showVal val="1"/>
          <c:showCatName val="0"/>
          <c:showSerName val="0"/>
          <c:showPercent val="0"/>
          <c:showBubbleSize val="0"/>
        </c:dLbls>
        <c:gapWidth val="100"/>
        <c:overlap val="100"/>
        <c:axId val="2020848480"/>
        <c:axId val="2020849024"/>
      </c:barChart>
      <c:catAx>
        <c:axId val="2020848480"/>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49024"/>
        <c:crosses val="autoZero"/>
        <c:auto val="1"/>
        <c:lblAlgn val="ctr"/>
        <c:lblOffset val="100"/>
        <c:tickLblSkip val="1"/>
        <c:tickMarkSkip val="1"/>
        <c:noMultiLvlLbl val="0"/>
      </c:catAx>
      <c:valAx>
        <c:axId val="2020849024"/>
        <c:scaling>
          <c:orientation val="minMax"/>
        </c:scaling>
        <c:delete val="0"/>
        <c:axPos val="b"/>
        <c:majorGridlines>
          <c:spPr>
            <a:ln w="3175">
              <a:solidFill>
                <a:srgbClr val="000000"/>
              </a:solidFill>
              <a:prstDash val="solid"/>
            </a:ln>
          </c:spPr>
        </c:majorGridlines>
        <c:title>
          <c:tx>
            <c:rich>
              <a:bodyPr/>
              <a:lstStyle/>
              <a:p>
                <a:pPr>
                  <a:defRPr sz="1075" b="1" i="0" u="none" strike="noStrike" baseline="0">
                    <a:solidFill>
                      <a:srgbClr val="000000"/>
                    </a:solidFill>
                    <a:latin typeface="Arial"/>
                    <a:ea typeface="Arial"/>
                    <a:cs typeface="Arial"/>
                  </a:defRPr>
                </a:pPr>
                <a:r>
                  <a:rPr lang="en-US"/>
                  <a:t>JUMLAH</a:t>
                </a:r>
              </a:p>
            </c:rich>
          </c:tx>
          <c:layout>
            <c:manualLayout>
              <c:xMode val="edge"/>
              <c:yMode val="edge"/>
              <c:x val="0.5652180536256497"/>
              <c:y val="0.9283898814973710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1" i="0" u="none" strike="noStrike" baseline="0">
                <a:solidFill>
                  <a:srgbClr val="000000"/>
                </a:solidFill>
                <a:latin typeface="Arial"/>
                <a:ea typeface="Arial"/>
                <a:cs typeface="Arial"/>
              </a:defRPr>
            </a:pPr>
            <a:endParaRPr lang="en-US"/>
          </a:p>
        </c:txPr>
        <c:crossAx val="2020848480"/>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BERDASARKAN FAKTOR PRIBADI</a:t>
            </a:r>
          </a:p>
        </c:rich>
      </c:tx>
      <c:layout>
        <c:manualLayout>
          <c:xMode val="edge"/>
          <c:yMode val="edge"/>
          <c:x val="0.32524955009307527"/>
          <c:y val="3.5714065153620501E-2"/>
        </c:manualLayout>
      </c:layout>
      <c:overlay val="0"/>
      <c:spPr>
        <a:noFill/>
        <a:ln w="25400">
          <a:noFill/>
        </a:ln>
      </c:spPr>
    </c:title>
    <c:autoTitleDeleted val="0"/>
    <c:plotArea>
      <c:layout>
        <c:manualLayout>
          <c:layoutTarget val="inner"/>
          <c:xMode val="edge"/>
          <c:yMode val="edge"/>
          <c:x val="0.28102710413694731"/>
          <c:y val="0.17207792207792241"/>
          <c:w val="0.68901569186875888"/>
          <c:h val="0.60389610389610393"/>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13E2-489F-B5CF-668C4A57737E}"/>
                </c:ext>
              </c:extLst>
            </c:dLbl>
            <c:dLbl>
              <c:idx val="1"/>
              <c:layout>
                <c:manualLayout>
                  <c:x val="0.1213755975559921"/>
                  <c:y val="-3.790749886330085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E2-489F-B5CF-668C4A57737E}"/>
                </c:ext>
              </c:extLst>
            </c:dLbl>
            <c:dLbl>
              <c:idx val="2"/>
              <c:layout>
                <c:manualLayout>
                  <c:x val="9.8551061179394092E-2"/>
                  <c:y val="1.311212618412455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E2-489F-B5CF-668C4A57737E}"/>
                </c:ext>
              </c:extLst>
            </c:dLbl>
            <c:dLbl>
              <c:idx val="3"/>
              <c:layout>
                <c:manualLayout>
                  <c:x val="4.7756889822757123E-2"/>
                  <c:y val="-3.32708461710504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E2-489F-B5CF-668C4A57737E}"/>
                </c:ext>
              </c:extLst>
            </c:dLbl>
            <c:dLbl>
              <c:idx val="4"/>
              <c:layout>
                <c:manualLayout>
                  <c:x val="6.4607765810429013E-2"/>
                  <c:y val="-7.96503010309043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E2-489F-B5CF-668C4A57737E}"/>
                </c:ext>
              </c:extLst>
            </c:dLbl>
            <c:dLbl>
              <c:idx val="5"/>
              <c:delete val="1"/>
              <c:extLst>
                <c:ext xmlns:c15="http://schemas.microsoft.com/office/drawing/2012/chart" uri="{CE6537A1-D6FC-4f65-9D91-7224C49458BB}"/>
                <c:ext xmlns:c16="http://schemas.microsoft.com/office/drawing/2014/chart" uri="{C3380CC4-5D6E-409C-BE32-E72D297353CC}">
                  <c16:uniqueId val="{00000005-13E2-489F-B5CF-668C4A57737E}"/>
                </c:ext>
              </c:extLst>
            </c:dLbl>
            <c:dLbl>
              <c:idx val="6"/>
              <c:layout>
                <c:manualLayout>
                  <c:x val="0.32526211117569065"/>
                  <c:y val="2.23889490639454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3E2-489F-B5CF-668C4A57737E}"/>
                </c:ext>
              </c:extLst>
            </c:dLbl>
            <c:spPr>
              <a:noFill/>
              <a:ln w="25400">
                <a:noFill/>
              </a:ln>
            </c:spPr>
            <c:txPr>
              <a:bodyPr/>
              <a:lstStyle/>
              <a:p>
                <a:pPr>
                  <a:defRPr sz="1000" b="1" i="0" u="none" strike="noStrike"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GRAFIK!$A$245:$A$251</c:f>
              <c:strCache>
                <c:ptCount val="7"/>
                <c:pt idx="0">
                  <c:v> Ketidakmampuan Fisik ( Fatigue) </c:v>
                </c:pt>
                <c:pt idx="1">
                  <c:v> Ketidakmampuan Mental / Psikologis </c:v>
                </c:pt>
                <c:pt idx="2">
                  <c:v> Kurang Pengetahuan </c:v>
                </c:pt>
                <c:pt idx="3">
                  <c:v> Kurang Ketrampilan </c:v>
                </c:pt>
                <c:pt idx="4">
                  <c:v> Stress Fisik </c:v>
                </c:pt>
                <c:pt idx="5">
                  <c:v> Stress Psikologis </c:v>
                </c:pt>
                <c:pt idx="6">
                  <c:v> Motivasi Yang Tidak Sesuai </c:v>
                </c:pt>
              </c:strCache>
            </c:strRef>
          </c:cat>
          <c:val>
            <c:numRef>
              <c:f>GRAFIK!$B$245:$B$251</c:f>
              <c:numCache>
                <c:formatCode>General</c:formatCode>
                <c:ptCount val="7"/>
                <c:pt idx="0">
                  <c:v>4</c:v>
                </c:pt>
                <c:pt idx="1">
                  <c:v>0</c:v>
                </c:pt>
                <c:pt idx="2">
                  <c:v>16</c:v>
                </c:pt>
                <c:pt idx="3">
                  <c:v>16</c:v>
                </c:pt>
                <c:pt idx="4">
                  <c:v>0</c:v>
                </c:pt>
                <c:pt idx="5">
                  <c:v>0</c:v>
                </c:pt>
                <c:pt idx="6">
                  <c:v>29</c:v>
                </c:pt>
              </c:numCache>
            </c:numRef>
          </c:val>
          <c:extLst>
            <c:ext xmlns:c16="http://schemas.microsoft.com/office/drawing/2014/chart" uri="{C3380CC4-5D6E-409C-BE32-E72D297353CC}">
              <c16:uniqueId val="{00000007-13E2-489F-B5CF-668C4A57737E}"/>
            </c:ext>
          </c:extLst>
        </c:ser>
        <c:dLbls>
          <c:showLegendKey val="0"/>
          <c:showVal val="1"/>
          <c:showCatName val="0"/>
          <c:showSerName val="0"/>
          <c:showPercent val="0"/>
          <c:showBubbleSize val="0"/>
        </c:dLbls>
        <c:gapWidth val="150"/>
        <c:overlap val="100"/>
        <c:axId val="2020845760"/>
        <c:axId val="2020852288"/>
      </c:barChart>
      <c:catAx>
        <c:axId val="2020845760"/>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52288"/>
        <c:crosses val="autoZero"/>
        <c:auto val="1"/>
        <c:lblAlgn val="ctr"/>
        <c:lblOffset val="100"/>
        <c:tickLblSkip val="1"/>
        <c:tickMarkSkip val="1"/>
        <c:noMultiLvlLbl val="0"/>
      </c:catAx>
      <c:valAx>
        <c:axId val="2020852288"/>
        <c:scaling>
          <c:orientation val="minMax"/>
        </c:scaling>
        <c:delete val="0"/>
        <c:axPos val="b"/>
        <c:majorGridlines>
          <c:spPr>
            <a:ln w="3175">
              <a:solidFill>
                <a:srgbClr val="000000"/>
              </a:solidFill>
              <a:prstDash val="solid"/>
            </a:ln>
          </c:spPr>
        </c:majorGridlines>
        <c:title>
          <c:tx>
            <c:rich>
              <a:bodyPr/>
              <a:lstStyle/>
              <a:p>
                <a:pPr>
                  <a:defRPr sz="1125" b="1" i="0" u="none" strike="noStrike" baseline="0">
                    <a:solidFill>
                      <a:srgbClr val="000000"/>
                    </a:solidFill>
                    <a:latin typeface="Arial"/>
                    <a:ea typeface="Arial"/>
                    <a:cs typeface="Arial"/>
                  </a:defRPr>
                </a:pPr>
                <a:r>
                  <a:rPr lang="en-US"/>
                  <a:t>JUMLAH</a:t>
                </a:r>
              </a:p>
            </c:rich>
          </c:tx>
          <c:layout>
            <c:manualLayout>
              <c:xMode val="edge"/>
              <c:yMode val="edge"/>
              <c:x val="0.57917258378064018"/>
              <c:y val="0.874980392156862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Arial"/>
                <a:ea typeface="Arial"/>
                <a:cs typeface="Arial"/>
              </a:defRPr>
            </a:pPr>
            <a:endParaRPr lang="en-US"/>
          </a:p>
        </c:txPr>
        <c:crossAx val="2020845760"/>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verticalDpi="1200"/>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US"/>
              <a:t>BERDASARKAN FAKTOR PEKERJAAN</a:t>
            </a:r>
          </a:p>
        </c:rich>
      </c:tx>
      <c:layout>
        <c:manualLayout>
          <c:xMode val="edge"/>
          <c:yMode val="edge"/>
          <c:x val="0.30496501296867384"/>
          <c:y val="3.662980957167724E-2"/>
        </c:manualLayout>
      </c:layout>
      <c:overlay val="0"/>
      <c:spPr>
        <a:noFill/>
        <a:ln w="25400">
          <a:noFill/>
        </a:ln>
      </c:spPr>
    </c:title>
    <c:autoTitleDeleted val="0"/>
    <c:plotArea>
      <c:layout>
        <c:manualLayout>
          <c:layoutTarget val="inner"/>
          <c:xMode val="edge"/>
          <c:yMode val="edge"/>
          <c:x val="0.30780184480530381"/>
          <c:y val="0.18681385507474491"/>
          <c:w val="0.65957538172565056"/>
          <c:h val="0.55677854845806363"/>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15483991482291876"/>
                  <c:y val="-1.142740472440588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B8-44B7-B74F-6A9254194825}"/>
                </c:ext>
              </c:extLst>
            </c:dLbl>
            <c:dLbl>
              <c:idx val="1"/>
              <c:layout>
                <c:manualLayout>
                  <c:x val="6.4604023609075328E-2"/>
                  <c:y val="-5.475135856963847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B8-44B7-B74F-6A9254194825}"/>
                </c:ext>
              </c:extLst>
            </c:dLbl>
            <c:dLbl>
              <c:idx val="2"/>
              <c:delete val="1"/>
              <c:extLst>
                <c:ext xmlns:c15="http://schemas.microsoft.com/office/drawing/2012/chart" uri="{CE6537A1-D6FC-4f65-9D91-7224C49458BB}"/>
                <c:ext xmlns:c16="http://schemas.microsoft.com/office/drawing/2014/chart" uri="{C3380CC4-5D6E-409C-BE32-E72D297353CC}">
                  <c16:uniqueId val="{00000002-16B8-44B7-B74F-6A9254194825}"/>
                </c:ext>
              </c:extLst>
            </c:dLbl>
            <c:dLbl>
              <c:idx val="3"/>
              <c:layout>
                <c:manualLayout>
                  <c:x val="6.318558192794492E-2"/>
                  <c:y val="-4.55925153897249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B8-44B7-B74F-6A9254194825}"/>
                </c:ext>
              </c:extLst>
            </c:dLbl>
            <c:dLbl>
              <c:idx val="4"/>
              <c:layout>
                <c:manualLayout>
                  <c:x val="6.3043796764382418E-2"/>
                  <c:y val="1.393414210091173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B8-44B7-B74F-6A9254194825}"/>
                </c:ext>
              </c:extLst>
            </c:dLbl>
            <c:dLbl>
              <c:idx val="5"/>
              <c:layout>
                <c:manualLayout>
                  <c:x val="5.5951588358730313E-2"/>
                  <c:y val="-3.64336722098140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B8-44B7-B74F-6A9254194825}"/>
                </c:ext>
              </c:extLst>
            </c:dLbl>
            <c:dLbl>
              <c:idx val="6"/>
              <c:delete val="1"/>
              <c:extLst>
                <c:ext xmlns:c15="http://schemas.microsoft.com/office/drawing/2012/chart" uri="{CE6537A1-D6FC-4f65-9D91-7224C49458BB}"/>
                <c:ext xmlns:c16="http://schemas.microsoft.com/office/drawing/2014/chart" uri="{C3380CC4-5D6E-409C-BE32-E72D297353CC}">
                  <c16:uniqueId val="{00000006-16B8-44B7-B74F-6A9254194825}"/>
                </c:ext>
              </c:extLst>
            </c:dLbl>
            <c:dLbl>
              <c:idx val="7"/>
              <c:layout>
                <c:manualLayout>
                  <c:x val="2.3752931858894683E-2"/>
                  <c:y val="-2.7274829029898602E-3"/>
                </c:manualLayout>
              </c:layout>
              <c:spPr>
                <a:noFill/>
                <a:ln w="25400">
                  <a:noFill/>
                </a:ln>
              </c:spPr>
              <c:txPr>
                <a:bodyPr/>
                <a:lstStyle/>
                <a:p>
                  <a:pPr>
                    <a:defRPr sz="1075" b="0"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B8-44B7-B74F-6A9254194825}"/>
                </c:ext>
              </c:extLst>
            </c:dLbl>
            <c:spPr>
              <a:noFill/>
              <a:ln w="25400">
                <a:noFill/>
              </a:ln>
            </c:spPr>
            <c:txPr>
              <a:bodyPr/>
              <a:lstStyle/>
              <a:p>
                <a:pPr>
                  <a:defRPr sz="1075" b="1" i="0" u="none" strike="noStrike" baseline="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GRAFIK!$A$257:$A$264</c:f>
              <c:strCache>
                <c:ptCount val="8"/>
                <c:pt idx="0">
                  <c:v> Pengawasan / Supervisi Tidak Memadai </c:v>
                </c:pt>
                <c:pt idx="1">
                  <c:v> Desain Perancangan Tidak Memadai </c:v>
                </c:pt>
                <c:pt idx="2">
                  <c:v> Spesifikasi Pembelian Tidak Memadai </c:v>
                </c:pt>
                <c:pt idx="3">
                  <c:v> Pemeliharaan Tidak Memadai </c:v>
                </c:pt>
                <c:pt idx="4">
                  <c:v> Perkakas / Alat / Material Tidak Memadai </c:v>
                </c:pt>
                <c:pt idx="5">
                  <c:v> Standar / SOP Tidak Memadai </c:v>
                </c:pt>
                <c:pt idx="6">
                  <c:v> Aus / Rusak Normal </c:v>
                </c:pt>
                <c:pt idx="7">
                  <c:v> Penyalahgunaan / Pemaksaan Peralatan </c:v>
                </c:pt>
              </c:strCache>
            </c:strRef>
          </c:cat>
          <c:val>
            <c:numRef>
              <c:f>GRAFIK!$B$257:$B$264</c:f>
              <c:numCache>
                <c:formatCode>General</c:formatCode>
                <c:ptCount val="8"/>
                <c:pt idx="0">
                  <c:v>6</c:v>
                </c:pt>
                <c:pt idx="1">
                  <c:v>0</c:v>
                </c:pt>
                <c:pt idx="2">
                  <c:v>0</c:v>
                </c:pt>
                <c:pt idx="3">
                  <c:v>11</c:v>
                </c:pt>
                <c:pt idx="4">
                  <c:v>0</c:v>
                </c:pt>
                <c:pt idx="5">
                  <c:v>5</c:v>
                </c:pt>
                <c:pt idx="6">
                  <c:v>0</c:v>
                </c:pt>
                <c:pt idx="7">
                  <c:v>2</c:v>
                </c:pt>
              </c:numCache>
            </c:numRef>
          </c:val>
          <c:extLst>
            <c:ext xmlns:c16="http://schemas.microsoft.com/office/drawing/2014/chart" uri="{C3380CC4-5D6E-409C-BE32-E72D297353CC}">
              <c16:uniqueId val="{00000008-16B8-44B7-B74F-6A9254194825}"/>
            </c:ext>
          </c:extLst>
        </c:ser>
        <c:dLbls>
          <c:showLegendKey val="0"/>
          <c:showVal val="1"/>
          <c:showCatName val="0"/>
          <c:showSerName val="0"/>
          <c:showPercent val="0"/>
          <c:showBubbleSize val="0"/>
        </c:dLbls>
        <c:gapWidth val="90"/>
        <c:overlap val="100"/>
        <c:axId val="2020846848"/>
        <c:axId val="2020847392"/>
      </c:barChart>
      <c:catAx>
        <c:axId val="2020846848"/>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0847392"/>
        <c:crosses val="autoZero"/>
        <c:auto val="1"/>
        <c:lblAlgn val="ctr"/>
        <c:lblOffset val="100"/>
        <c:tickLblSkip val="1"/>
        <c:tickMarkSkip val="1"/>
        <c:noMultiLvlLbl val="0"/>
      </c:catAx>
      <c:valAx>
        <c:axId val="2020847392"/>
        <c:scaling>
          <c:orientation val="minMax"/>
          <c:max val="25"/>
        </c:scaling>
        <c:delete val="0"/>
        <c:axPos val="b"/>
        <c:majorGridlines>
          <c:spPr>
            <a:ln w="3175">
              <a:solidFill>
                <a:srgbClr val="000000"/>
              </a:solidFill>
              <a:prstDash val="solid"/>
            </a:ln>
          </c:spPr>
        </c:majorGridlines>
        <c:title>
          <c:tx>
            <c:rich>
              <a:bodyPr/>
              <a:lstStyle/>
              <a:p>
                <a:pPr>
                  <a:defRPr sz="1075" b="1" i="0" u="none" strike="noStrike" baseline="0">
                    <a:solidFill>
                      <a:srgbClr val="000000"/>
                    </a:solidFill>
                    <a:latin typeface="Arial"/>
                    <a:ea typeface="Arial"/>
                    <a:cs typeface="Arial"/>
                  </a:defRPr>
                </a:pPr>
                <a:r>
                  <a:rPr lang="en-US"/>
                  <a:t>JUMLAH</a:t>
                </a:r>
              </a:p>
            </c:rich>
          </c:tx>
          <c:layout>
            <c:manualLayout>
              <c:xMode val="edge"/>
              <c:yMode val="edge"/>
              <c:x val="0.59290874495304957"/>
              <c:y val="0.857145808901565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n-US"/>
          </a:p>
        </c:txPr>
        <c:crossAx val="2020846848"/>
        <c:crosses val="autoZero"/>
        <c:crossBetween val="between"/>
        <c:majorUnit val="5"/>
        <c:minorUnit val="1"/>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TINDAKAN PERBAIKAN</a:t>
            </a:r>
          </a:p>
        </c:rich>
      </c:tx>
      <c:layout>
        <c:manualLayout>
          <c:xMode val="edge"/>
          <c:yMode val="edge"/>
          <c:x val="0.49147726397215979"/>
          <c:y val="2.9196912516114358E-2"/>
        </c:manualLayout>
      </c:layout>
      <c:overlay val="0"/>
      <c:spPr>
        <a:noFill/>
        <a:ln w="25400">
          <a:noFill/>
        </a:ln>
      </c:spPr>
    </c:title>
    <c:autoTitleDeleted val="0"/>
    <c:plotArea>
      <c:layout>
        <c:manualLayout>
          <c:layoutTarget val="inner"/>
          <c:xMode val="edge"/>
          <c:yMode val="edge"/>
          <c:x val="0.34232954545455635"/>
          <c:y val="0.2007302847183785"/>
          <c:w val="0.62357954545454564"/>
          <c:h val="0.58394264645345062"/>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11726257782210622"/>
                  <c:y val="-1.24569832812195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1D-4E57-A33D-BFBAA1EE6F2B}"/>
                </c:ext>
              </c:extLst>
            </c:dLbl>
            <c:dLbl>
              <c:idx val="1"/>
              <c:layout>
                <c:manualLayout>
                  <c:x val="0.27424647096487115"/>
                  <c:y val="-1.29784202484448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1D-4E57-A33D-BFBAA1EE6F2B}"/>
                </c:ext>
              </c:extLst>
            </c:dLbl>
            <c:dLbl>
              <c:idx val="2"/>
              <c:delete val="1"/>
              <c:extLst>
                <c:ext xmlns:c15="http://schemas.microsoft.com/office/drawing/2012/chart" uri="{CE6537A1-D6FC-4f65-9D91-7224C49458BB}"/>
                <c:ext xmlns:c16="http://schemas.microsoft.com/office/drawing/2014/chart" uri="{C3380CC4-5D6E-409C-BE32-E72D297353CC}">
                  <c16:uniqueId val="{00000002-101D-4E57-A33D-BFBAA1EE6F2B}"/>
                </c:ext>
              </c:extLst>
            </c:dLbl>
            <c:dLbl>
              <c:idx val="3"/>
              <c:delete val="1"/>
              <c:extLst>
                <c:ext xmlns:c15="http://schemas.microsoft.com/office/drawing/2012/chart" uri="{CE6537A1-D6FC-4f65-9D91-7224C49458BB}"/>
                <c:ext xmlns:c16="http://schemas.microsoft.com/office/drawing/2014/chart" uri="{C3380CC4-5D6E-409C-BE32-E72D297353CC}">
                  <c16:uniqueId val="{00000003-101D-4E57-A33D-BFBAA1EE6F2B}"/>
                </c:ext>
              </c:extLst>
            </c:dLbl>
            <c:dLbl>
              <c:idx val="4"/>
              <c:layout>
                <c:manualLayout>
                  <c:x val="3.8505587975012162E-2"/>
                  <c:y val="-1.089269422284523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1D-4E57-A33D-BFBAA1EE6F2B}"/>
                </c:ext>
              </c:extLst>
            </c:dLbl>
            <c:dLbl>
              <c:idx val="5"/>
              <c:layout>
                <c:manualLayout>
                  <c:x val="0.10100558797501526"/>
                  <c:y val="-4.114848109402409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1D-4E57-A33D-BFBAA1EE6F2B}"/>
                </c:ext>
              </c:extLst>
            </c:dLbl>
            <c:dLbl>
              <c:idx val="6"/>
              <c:delete val="1"/>
              <c:extLst>
                <c:ext xmlns:c15="http://schemas.microsoft.com/office/drawing/2012/chart" uri="{CE6537A1-D6FC-4f65-9D91-7224C49458BB}"/>
                <c:ext xmlns:c16="http://schemas.microsoft.com/office/drawing/2014/chart" uri="{C3380CC4-5D6E-409C-BE32-E72D297353CC}">
                  <c16:uniqueId val="{00000006-101D-4E57-A33D-BFBAA1EE6F2B}"/>
                </c:ext>
              </c:extLst>
            </c:dLbl>
            <c:spPr>
              <a:noFill/>
              <a:ln w="25400">
                <a:noFill/>
              </a:ln>
            </c:spPr>
            <c:txPr>
              <a:bodyPr/>
              <a:lstStyle/>
              <a:p>
                <a:pPr>
                  <a:defRPr sz="115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GRAFIK!$A$270:$A$276</c:f>
              <c:strCache>
                <c:ptCount val="7"/>
                <c:pt idx="0">
                  <c:v> Eliminasi Bahaya / Masalah </c:v>
                </c:pt>
                <c:pt idx="1">
                  <c:v> Penanggulangan Melalui Perancangan </c:v>
                </c:pt>
                <c:pt idx="2">
                  <c:v> Substitusi Bahaya </c:v>
                </c:pt>
                <c:pt idx="3">
                  <c:v> Pemisahan Bahaya / Masalah </c:v>
                </c:pt>
                <c:pt idx="4">
                  <c:v> Kontrol Administratif </c:v>
                </c:pt>
                <c:pt idx="5">
                  <c:v> Pelatihan / Bimbingan </c:v>
                </c:pt>
                <c:pt idx="6">
                  <c:v> Alat Pelindung Diri </c:v>
                </c:pt>
              </c:strCache>
            </c:strRef>
          </c:cat>
          <c:val>
            <c:numRef>
              <c:f>GRAFIK!$B$270:$B$276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7-101D-4E57-A33D-BFBAA1EE6F2B}"/>
            </c:ext>
          </c:extLst>
        </c:ser>
        <c:dLbls>
          <c:showLegendKey val="0"/>
          <c:showVal val="1"/>
          <c:showCatName val="0"/>
          <c:showSerName val="0"/>
          <c:showPercent val="0"/>
          <c:showBubbleSize val="0"/>
        </c:dLbls>
        <c:gapWidth val="90"/>
        <c:overlap val="100"/>
        <c:axId val="2020849568"/>
        <c:axId val="2020850112"/>
      </c:barChart>
      <c:catAx>
        <c:axId val="2020849568"/>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020850112"/>
        <c:crosses val="autoZero"/>
        <c:auto val="1"/>
        <c:lblAlgn val="ctr"/>
        <c:lblOffset val="100"/>
        <c:tickLblSkip val="1"/>
        <c:tickMarkSkip val="1"/>
        <c:noMultiLvlLbl val="0"/>
      </c:catAx>
      <c:valAx>
        <c:axId val="2020850112"/>
        <c:scaling>
          <c:orientation val="minMax"/>
        </c:scaling>
        <c:delete val="0"/>
        <c:axPos val="b"/>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n-US"/>
                  <a:t>JUMLAH</a:t>
                </a:r>
              </a:p>
            </c:rich>
          </c:tx>
          <c:layout>
            <c:manualLayout>
              <c:xMode val="edge"/>
              <c:yMode val="edge"/>
              <c:x val="0.60795455362602346"/>
              <c:y val="0.8720315581854225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2020849568"/>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75"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verticalDpi="1200"/>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BERDASARKAN PERUSAHAAN</a:t>
            </a:r>
          </a:p>
        </c:rich>
      </c:tx>
      <c:layout>
        <c:manualLayout>
          <c:xMode val="edge"/>
          <c:yMode val="edge"/>
          <c:x val="0.35437881915248542"/>
          <c:y val="4.5918460192475939E-2"/>
        </c:manualLayout>
      </c:layout>
      <c:overlay val="0"/>
      <c:spPr>
        <a:noFill/>
        <a:ln w="25400">
          <a:noFill/>
        </a:ln>
      </c:spPr>
    </c:title>
    <c:autoTitleDeleted val="0"/>
    <c:plotArea>
      <c:layout>
        <c:manualLayout>
          <c:layoutTarget val="inner"/>
          <c:xMode val="edge"/>
          <c:yMode val="edge"/>
          <c:x val="0.16904276985744082"/>
          <c:y val="0.22449035517567462"/>
          <c:w val="0.79837067209775969"/>
          <c:h val="0.56122588793919548"/>
        </c:manualLayout>
      </c:layout>
      <c:barChart>
        <c:barDir val="col"/>
        <c:grouping val="cluster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6.7888662593349434E-4"/>
                  <c:y val="-2.985276415789979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65-4CE4-AF96-01A39BCC7768}"/>
                </c:ext>
              </c:extLst>
            </c:dLbl>
            <c:dLbl>
              <c:idx val="1"/>
              <c:layout>
                <c:manualLayout>
                  <c:x val="2.3762101020468503E-3"/>
                  <c:y val="-3.04195189748209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65-4CE4-AF96-01A39BCC7768}"/>
                </c:ext>
              </c:extLst>
            </c:dLbl>
            <c:dLbl>
              <c:idx val="2"/>
              <c:layout>
                <c:manualLayout>
                  <c:x val="4.0055380042871404E-3"/>
                  <c:y val="-4.79935849285595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65-4CE4-AF96-01A39BCC7768}"/>
                </c:ext>
              </c:extLst>
            </c:dLbl>
            <c:dLbl>
              <c:idx val="3"/>
              <c:layout>
                <c:manualLayout>
                  <c:x val="5.6348659065274765E-3"/>
                  <c:y val="-1.1145397369055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65-4CE4-AF96-01A39BCC7768}"/>
                </c:ext>
              </c:extLst>
            </c:dLbl>
            <c:dLbl>
              <c:idx val="4"/>
              <c:layout>
                <c:manualLayout>
                  <c:x val="5.2275339309674346E-3"/>
                  <c:y val="8.12900386535974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65-4CE4-AF96-01A39BCC7768}"/>
                </c:ext>
              </c:extLst>
            </c:dLbl>
            <c:spPr>
              <a:noFill/>
              <a:ln w="25400">
                <a:noFill/>
              </a:ln>
            </c:spPr>
            <c:txPr>
              <a:bodyPr/>
              <a:lstStyle/>
              <a:p>
                <a:pPr>
                  <a:defRPr sz="8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GRAFIK!$A$13:$A$19</c:f>
              <c:strCache>
                <c:ptCount val="7"/>
                <c:pt idx="0">
                  <c:v> SIS </c:v>
                </c:pt>
                <c:pt idx="1">
                  <c:v> SKB </c:v>
                </c:pt>
                <c:pt idx="2">
                  <c:v> BMC </c:v>
                </c:pt>
                <c:pt idx="3">
                  <c:v> UT </c:v>
                </c:pt>
                <c:pt idx="4">
                  <c:v> UTE PATRIA </c:v>
                </c:pt>
                <c:pt idx="5">
                  <c:v> KMK </c:v>
                </c:pt>
                <c:pt idx="6">
                  <c:v> LAINYA </c:v>
                </c:pt>
              </c:strCache>
            </c:strRef>
          </c:cat>
          <c:val>
            <c:numRef>
              <c:f>GRAFIK!$B$13:$B$19</c:f>
              <c:numCache>
                <c:formatCode>General</c:formatCode>
                <c:ptCount val="7"/>
                <c:pt idx="0">
                  <c:v>66</c:v>
                </c:pt>
                <c:pt idx="1">
                  <c:v>0</c:v>
                </c:pt>
                <c:pt idx="2">
                  <c:v>2</c:v>
                </c:pt>
                <c:pt idx="3">
                  <c:v>0</c:v>
                </c:pt>
                <c:pt idx="4">
                  <c:v>0</c:v>
                </c:pt>
                <c:pt idx="5">
                  <c:v>0</c:v>
                </c:pt>
                <c:pt idx="6">
                  <c:v>1</c:v>
                </c:pt>
              </c:numCache>
            </c:numRef>
          </c:val>
          <c:extLst>
            <c:ext xmlns:c16="http://schemas.microsoft.com/office/drawing/2014/chart" uri="{C3380CC4-5D6E-409C-BE32-E72D297353CC}">
              <c16:uniqueId val="{00000005-D665-4CE4-AF96-01A39BCC7768}"/>
            </c:ext>
          </c:extLst>
        </c:ser>
        <c:dLbls>
          <c:showLegendKey val="0"/>
          <c:showVal val="1"/>
          <c:showCatName val="0"/>
          <c:showSerName val="0"/>
          <c:showPercent val="0"/>
          <c:showBubbleSize val="0"/>
        </c:dLbls>
        <c:gapWidth val="150"/>
        <c:axId val="2028315776"/>
        <c:axId val="2028308160"/>
      </c:barChart>
      <c:catAx>
        <c:axId val="2028315776"/>
        <c:scaling>
          <c:orientation val="minMax"/>
        </c:scaling>
        <c:delete val="0"/>
        <c:axPos val="b"/>
        <c:title>
          <c:tx>
            <c:rich>
              <a:bodyPr/>
              <a:lstStyle/>
              <a:p>
                <a:pPr>
                  <a:defRPr sz="800" b="1" i="0" u="none" strike="noStrike" baseline="0">
                    <a:solidFill>
                      <a:srgbClr val="000000"/>
                    </a:solidFill>
                    <a:latin typeface="Arial"/>
                    <a:ea typeface="Arial"/>
                    <a:cs typeface="Arial"/>
                  </a:defRPr>
                </a:pPr>
                <a:r>
                  <a:rPr lang="en-US"/>
                  <a:t>PERUSAHAAN</a:t>
                </a:r>
              </a:p>
            </c:rich>
          </c:tx>
          <c:layout>
            <c:manualLayout>
              <c:xMode val="edge"/>
              <c:yMode val="edge"/>
              <c:x val="0.54378819152460312"/>
              <c:y val="0.8724512102654092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600" b="1" i="0" u="none" strike="noStrike" baseline="0">
                <a:solidFill>
                  <a:srgbClr val="000000"/>
                </a:solidFill>
                <a:latin typeface="Arial"/>
                <a:ea typeface="Arial"/>
                <a:cs typeface="Arial"/>
              </a:defRPr>
            </a:pPr>
            <a:endParaRPr lang="en-US"/>
          </a:p>
        </c:txPr>
        <c:crossAx val="2028308160"/>
        <c:crosses val="autoZero"/>
        <c:auto val="1"/>
        <c:lblAlgn val="ctr"/>
        <c:lblOffset val="100"/>
        <c:tickLblSkip val="1"/>
        <c:tickMarkSkip val="1"/>
        <c:noMultiLvlLbl val="0"/>
      </c:catAx>
      <c:valAx>
        <c:axId val="2028308160"/>
        <c:scaling>
          <c:orientation val="minMax"/>
          <c:max val="70"/>
          <c:min val="0"/>
        </c:scaling>
        <c:delete val="0"/>
        <c:axPos val="l"/>
        <c:majorGridlines>
          <c:spPr>
            <a:ln w="3175">
              <a:solidFill>
                <a:srgbClr val="000000"/>
              </a:solidFill>
              <a:prstDash val="solid"/>
            </a:ln>
          </c:spPr>
        </c:majorGridlines>
        <c:title>
          <c:tx>
            <c:rich>
              <a:bodyPr rot="0" vert="horz"/>
              <a:lstStyle/>
              <a:p>
                <a:pPr algn="ctr">
                  <a:defRPr sz="800" b="0" i="0" u="none" strike="noStrike" baseline="0">
                    <a:solidFill>
                      <a:srgbClr val="000000"/>
                    </a:solidFill>
                    <a:latin typeface="Arial"/>
                    <a:ea typeface="Arial"/>
                    <a:cs typeface="Arial"/>
                  </a:defRPr>
                </a:pPr>
                <a:r>
                  <a:rPr lang="en-US"/>
                  <a:t>JUMLAH</a:t>
                </a:r>
              </a:p>
            </c:rich>
          </c:tx>
          <c:layout>
            <c:manualLayout>
              <c:xMode val="edge"/>
              <c:yMode val="edge"/>
              <c:x val="2.0366638636189868E-2"/>
              <c:y val="0.4540827063283758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8315776"/>
        <c:crosses val="autoZero"/>
        <c:crossBetween val="between"/>
        <c:minorUnit val="2"/>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orientation="landscape" horizontalDpi="-3"/>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US"/>
              <a:t> BERDASARKAN KLASIFIKASI INSIDEN (HPRI)</a:t>
            </a:r>
          </a:p>
        </c:rich>
      </c:tx>
      <c:layout>
        <c:manualLayout>
          <c:xMode val="edge"/>
          <c:yMode val="edge"/>
          <c:x val="0.3095721938867339"/>
          <c:y val="4.9382743241013487E-2"/>
        </c:manualLayout>
      </c:layout>
      <c:overlay val="0"/>
      <c:spPr>
        <a:noFill/>
        <a:ln w="25400">
          <a:noFill/>
        </a:ln>
      </c:spPr>
    </c:title>
    <c:autoTitleDeleted val="0"/>
    <c:plotArea>
      <c:layout>
        <c:manualLayout>
          <c:layoutTarget val="inner"/>
          <c:xMode val="edge"/>
          <c:yMode val="edge"/>
          <c:x val="0.28920570264765788"/>
          <c:y val="0.26543369884318829"/>
          <c:w val="0.66598778004073322"/>
          <c:h val="0.45062000036169197"/>
        </c:manualLayout>
      </c:layout>
      <c:barChart>
        <c:barDir val="bar"/>
        <c:grouping val="stacked"/>
        <c:varyColors val="0"/>
        <c:ser>
          <c:idx val="0"/>
          <c:order val="0"/>
          <c:spPr>
            <a:gradFill rotWithShape="0">
              <a:gsLst>
                <a:gs pos="0">
                  <a:srgbClr val="9999FF">
                    <a:gamma/>
                    <a:shade val="46275"/>
                    <a:invGamma/>
                  </a:srgbClr>
                </a:gs>
                <a:gs pos="50000">
                  <a:srgbClr val="9999FF"/>
                </a:gs>
                <a:gs pos="100000">
                  <a:srgbClr val="9999FF">
                    <a:gamma/>
                    <a:shade val="46275"/>
                    <a:invGamma/>
                  </a:srgbClr>
                </a:gs>
              </a:gsLst>
              <a:lin ang="5400000" scaled="1"/>
            </a:gradFill>
            <a:ln w="12700">
              <a:solidFill>
                <a:srgbClr val="000000"/>
              </a:solidFill>
              <a:prstDash val="solid"/>
            </a:ln>
          </c:spPr>
          <c:invertIfNegative val="0"/>
          <c:dLbls>
            <c:dLbl>
              <c:idx val="0"/>
              <c:layout>
                <c:manualLayout>
                  <c:x val="0.12202981755590127"/>
                  <c:y val="-1.668686048398094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8A-4948-917E-AAAEB525A600}"/>
                </c:ext>
              </c:extLst>
            </c:dLbl>
            <c:dLbl>
              <c:idx val="1"/>
              <c:layout>
                <c:manualLayout>
                  <c:x val="0.33876442634081788"/>
                  <c:y val="-8.45661559748870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8A-4948-917E-AAAEB525A600}"/>
                </c:ext>
              </c:extLst>
            </c:dLbl>
            <c:dLbl>
              <c:idx val="2"/>
              <c:layout>
                <c:manualLayout>
                  <c:x val="4.6978954514596105E-2"/>
                  <c:y val="-1.25714760784223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8A-4948-917E-AAAEB525A600}"/>
                </c:ext>
              </c:extLst>
            </c:dLbl>
            <c:spPr>
              <a:noFill/>
              <a:ln w="25400">
                <a:noFill/>
              </a:ln>
            </c:spPr>
            <c:txPr>
              <a:bodyPr/>
              <a:lstStyle/>
              <a:p>
                <a:pPr>
                  <a:defRPr sz="800" b="1" i="0" u="none" strike="noStrike" baseline="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GRAFIK!$A$37:$A$38</c:f>
              <c:strCache>
                <c:ptCount val="2"/>
                <c:pt idx="0">
                  <c:v> HPRI </c:v>
                </c:pt>
                <c:pt idx="1">
                  <c:v> NON HPRI </c:v>
                </c:pt>
              </c:strCache>
            </c:strRef>
          </c:cat>
          <c:val>
            <c:numRef>
              <c:f>GRAFIK!$B$37:$B$38</c:f>
              <c:numCache>
                <c:formatCode>General</c:formatCode>
                <c:ptCount val="2"/>
                <c:pt idx="0">
                  <c:v>32</c:v>
                </c:pt>
                <c:pt idx="1">
                  <c:v>37</c:v>
                </c:pt>
              </c:numCache>
            </c:numRef>
          </c:val>
          <c:extLst>
            <c:ext xmlns:c16="http://schemas.microsoft.com/office/drawing/2014/chart" uri="{C3380CC4-5D6E-409C-BE32-E72D297353CC}">
              <c16:uniqueId val="{00000003-C48A-4948-917E-AAAEB525A600}"/>
            </c:ext>
          </c:extLst>
        </c:ser>
        <c:dLbls>
          <c:showLegendKey val="0"/>
          <c:showVal val="1"/>
          <c:showCatName val="0"/>
          <c:showSerName val="0"/>
          <c:showPercent val="0"/>
          <c:showBubbleSize val="0"/>
        </c:dLbls>
        <c:gapWidth val="150"/>
        <c:overlap val="100"/>
        <c:axId val="2028307072"/>
        <c:axId val="2028319584"/>
      </c:barChart>
      <c:catAx>
        <c:axId val="2028307072"/>
        <c:scaling>
          <c:orientation val="minMax"/>
        </c:scaling>
        <c:delete val="0"/>
        <c:axPos val="l"/>
        <c:numFmt formatCode="General" sourceLinked="1"/>
        <c:majorTickMark val="none"/>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28319584"/>
        <c:crosses val="autoZero"/>
        <c:auto val="1"/>
        <c:lblAlgn val="ctr"/>
        <c:lblOffset val="100"/>
        <c:tickLblSkip val="1"/>
        <c:tickMarkSkip val="1"/>
        <c:noMultiLvlLbl val="0"/>
      </c:catAx>
      <c:valAx>
        <c:axId val="2028319584"/>
        <c:scaling>
          <c:orientation val="minMax"/>
        </c:scaling>
        <c:delete val="0"/>
        <c:axPos val="b"/>
        <c:majorGridlines>
          <c:spPr>
            <a:ln w="3175">
              <a:solidFill>
                <a:srgbClr val="000000"/>
              </a:solidFill>
              <a:prstDash val="solid"/>
            </a:ln>
          </c:spPr>
        </c:majorGridlines>
        <c:title>
          <c:tx>
            <c:rich>
              <a:bodyPr/>
              <a:lstStyle/>
              <a:p>
                <a:pPr>
                  <a:defRPr sz="800" b="0" i="0" u="none" strike="noStrike" baseline="0">
                    <a:solidFill>
                      <a:srgbClr val="000000"/>
                    </a:solidFill>
                    <a:latin typeface="Arial"/>
                    <a:ea typeface="Arial"/>
                    <a:cs typeface="Arial"/>
                  </a:defRPr>
                </a:pPr>
                <a:r>
                  <a:rPr lang="en-US"/>
                  <a:t>JUMLAH</a:t>
                </a:r>
              </a:p>
            </c:rich>
          </c:tx>
          <c:layout>
            <c:manualLayout>
              <c:xMode val="edge"/>
              <c:yMode val="edge"/>
              <c:x val="0.57637466549560001"/>
              <c:y val="0.8456839748178330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028307072"/>
        <c:crosses val="autoZero"/>
        <c:crossBetween val="between"/>
      </c:valAx>
      <c:spPr>
        <a:gradFill rotWithShape="0">
          <a:gsLst>
            <a:gs pos="0">
              <a:srgbClr val="CCFFCC"/>
            </a:gs>
            <a:gs pos="100000">
              <a:srgbClr val="00FFFF"/>
            </a:gs>
          </a:gsLst>
          <a:lin ang="5400000" scaled="1"/>
        </a:grad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1465" r="0.7500000000000146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Sheet2!$O$4</c:f>
              <c:strCache>
                <c:ptCount val="1"/>
                <c:pt idx="0">
                  <c:v>Open </c:v>
                </c:pt>
              </c:strCache>
            </c:strRef>
          </c:tx>
          <c:spPr>
            <a:solidFill>
              <a:schemeClr val="accent6">
                <a:lumMod val="40000"/>
                <a:lumOff val="6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Sheet2!$N$5:$N$8</c:f>
              <c:strCache>
                <c:ptCount val="4"/>
                <c:pt idx="0">
                  <c:v>HRGA</c:v>
                </c:pt>
                <c:pt idx="1">
                  <c:v>PT MC</c:v>
                </c:pt>
                <c:pt idx="2">
                  <c:v>PROD</c:v>
                </c:pt>
                <c:pt idx="3">
                  <c:v>TOTAL</c:v>
                </c:pt>
              </c:strCache>
            </c:strRef>
          </c:cat>
          <c:val>
            <c:numRef>
              <c:f>Sheet2!$O$5:$O$8</c:f>
              <c:numCache>
                <c:formatCode>General</c:formatCode>
                <c:ptCount val="4"/>
                <c:pt idx="0">
                  <c:v>6</c:v>
                </c:pt>
                <c:pt idx="1">
                  <c:v>7</c:v>
                </c:pt>
                <c:pt idx="2">
                  <c:v>0</c:v>
                </c:pt>
                <c:pt idx="3">
                  <c:v>13</c:v>
                </c:pt>
              </c:numCache>
            </c:numRef>
          </c:val>
          <c:extLst>
            <c:ext xmlns:c16="http://schemas.microsoft.com/office/drawing/2014/chart" uri="{C3380CC4-5D6E-409C-BE32-E72D297353CC}">
              <c16:uniqueId val="{00000000-D398-4E83-8E0C-95A6E13EF1C3}"/>
            </c:ext>
          </c:extLst>
        </c:ser>
        <c:ser>
          <c:idx val="1"/>
          <c:order val="1"/>
          <c:tx>
            <c:strRef>
              <c:f>Sheet2!$P$4</c:f>
              <c:strCache>
                <c:ptCount val="1"/>
                <c:pt idx="0">
                  <c:v>Overdue</c:v>
                </c:pt>
              </c:strCache>
            </c:strRef>
          </c:tx>
          <c:spPr>
            <a:solidFill>
              <a:schemeClr val="accent2">
                <a:lumMod val="60000"/>
                <a:lumOff val="40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Sheet2!$N$5:$N$8</c:f>
              <c:strCache>
                <c:ptCount val="4"/>
                <c:pt idx="0">
                  <c:v>HRGA</c:v>
                </c:pt>
                <c:pt idx="1">
                  <c:v>PT MC</c:v>
                </c:pt>
                <c:pt idx="2">
                  <c:v>PROD</c:v>
                </c:pt>
                <c:pt idx="3">
                  <c:v>TOTAL</c:v>
                </c:pt>
              </c:strCache>
            </c:strRef>
          </c:cat>
          <c:val>
            <c:numRef>
              <c:f>Sheet2!$P$5:$P$8</c:f>
              <c:numCache>
                <c:formatCode>General</c:formatCode>
                <c:ptCount val="4"/>
                <c:pt idx="0">
                  <c:v>4</c:v>
                </c:pt>
                <c:pt idx="1">
                  <c:v>1</c:v>
                </c:pt>
                <c:pt idx="2">
                  <c:v>4</c:v>
                </c:pt>
                <c:pt idx="3">
                  <c:v>9</c:v>
                </c:pt>
              </c:numCache>
            </c:numRef>
          </c:val>
          <c:extLst>
            <c:ext xmlns:c16="http://schemas.microsoft.com/office/drawing/2014/chart" uri="{C3380CC4-5D6E-409C-BE32-E72D297353CC}">
              <c16:uniqueId val="{00000001-D398-4E83-8E0C-95A6E13EF1C3}"/>
            </c:ext>
          </c:extLst>
        </c:ser>
        <c:dLbls>
          <c:showLegendKey val="0"/>
          <c:showVal val="0"/>
          <c:showCatName val="0"/>
          <c:showSerName val="0"/>
          <c:showPercent val="0"/>
          <c:showBubbleSize val="0"/>
        </c:dLbls>
        <c:gapWidth val="219"/>
        <c:overlap val="-27"/>
        <c:axId val="2028316320"/>
        <c:axId val="2028308704"/>
      </c:barChart>
      <c:catAx>
        <c:axId val="2028316320"/>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28308704"/>
        <c:crosses val="autoZero"/>
        <c:auto val="1"/>
        <c:lblAlgn val="ctr"/>
        <c:lblOffset val="100"/>
        <c:noMultiLvlLbl val="0"/>
      </c:catAx>
      <c:valAx>
        <c:axId val="2028308704"/>
        <c:scaling>
          <c:orientation val="minMax"/>
        </c:scaling>
        <c:delete val="1"/>
        <c:axPos val="l"/>
        <c:numFmt formatCode="General" sourceLinked="1"/>
        <c:majorTickMark val="none"/>
        <c:minorTickMark val="none"/>
        <c:tickLblPos val="nextTo"/>
        <c:crossAx val="2028316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2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Sheet1!$G$23:$G$33</c:f>
              <c:strCache>
                <c:ptCount val="11"/>
                <c:pt idx="0">
                  <c:v>Radang Gigi</c:v>
                </c:pt>
                <c:pt idx="1">
                  <c:v>Radang pada usus besar </c:v>
                </c:pt>
                <c:pt idx="2">
                  <c:v>Rada Gusi</c:v>
                </c:pt>
                <c:pt idx="3">
                  <c:v>Diare Akut</c:v>
                </c:pt>
                <c:pt idx="4">
                  <c:v>Mata Merah dan Berair</c:v>
                </c:pt>
                <c:pt idx="5">
                  <c:v>Dermatitis Kontak Alergi</c:v>
                </c:pt>
                <c:pt idx="6">
                  <c:v>Inspeksi Jamur </c:v>
                </c:pt>
                <c:pt idx="7">
                  <c:v>Nyeri Perut</c:v>
                </c:pt>
                <c:pt idx="8">
                  <c:v>Low Back Pain</c:v>
                </c:pt>
                <c:pt idx="9">
                  <c:v>Radang Lambung</c:v>
                </c:pt>
                <c:pt idx="10">
                  <c:v>TOTAL</c:v>
                </c:pt>
              </c:strCache>
            </c:strRef>
          </c:cat>
          <c:val>
            <c:numRef>
              <c:f>Sheet1!$H$23:$H$33</c:f>
              <c:numCache>
                <c:formatCode>General</c:formatCode>
                <c:ptCount val="11"/>
                <c:pt idx="0">
                  <c:v>7</c:v>
                </c:pt>
                <c:pt idx="1">
                  <c:v>3</c:v>
                </c:pt>
                <c:pt idx="2">
                  <c:v>3</c:v>
                </c:pt>
                <c:pt idx="3">
                  <c:v>2</c:v>
                </c:pt>
                <c:pt idx="4">
                  <c:v>2</c:v>
                </c:pt>
                <c:pt idx="5">
                  <c:v>1</c:v>
                </c:pt>
                <c:pt idx="6">
                  <c:v>2</c:v>
                </c:pt>
                <c:pt idx="7">
                  <c:v>2</c:v>
                </c:pt>
                <c:pt idx="8">
                  <c:v>1</c:v>
                </c:pt>
                <c:pt idx="9">
                  <c:v>0</c:v>
                </c:pt>
                <c:pt idx="10">
                  <c:v>23</c:v>
                </c:pt>
              </c:numCache>
            </c:numRef>
          </c:val>
          <c:extLst>
            <c:ext xmlns:c16="http://schemas.microsoft.com/office/drawing/2014/chart" uri="{C3380CC4-5D6E-409C-BE32-E72D297353CC}">
              <c16:uniqueId val="{00000000-8AB2-4182-9A2C-393437A9D2BD}"/>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Sheet1!$G$23:$G$33</c:f>
              <c:strCache>
                <c:ptCount val="11"/>
                <c:pt idx="0">
                  <c:v>Radang Gigi</c:v>
                </c:pt>
                <c:pt idx="1">
                  <c:v>Radang pada usus besar </c:v>
                </c:pt>
                <c:pt idx="2">
                  <c:v>Rada Gusi</c:v>
                </c:pt>
                <c:pt idx="3">
                  <c:v>Diare Akut</c:v>
                </c:pt>
                <c:pt idx="4">
                  <c:v>Mata Merah dan Berair</c:v>
                </c:pt>
                <c:pt idx="5">
                  <c:v>Dermatitis Kontak Alergi</c:v>
                </c:pt>
                <c:pt idx="6">
                  <c:v>Inspeksi Jamur </c:v>
                </c:pt>
                <c:pt idx="7">
                  <c:v>Nyeri Perut</c:v>
                </c:pt>
                <c:pt idx="8">
                  <c:v>Low Back Pain</c:v>
                </c:pt>
                <c:pt idx="9">
                  <c:v>Radang Lambung</c:v>
                </c:pt>
                <c:pt idx="10">
                  <c:v>TOTAL</c:v>
                </c:pt>
              </c:strCache>
            </c:strRef>
          </c:cat>
          <c:val>
            <c:numRef>
              <c:f>Sheet1!$I$23:$I$33</c:f>
              <c:numCache>
                <c:formatCode>General</c:formatCode>
                <c:ptCount val="11"/>
                <c:pt idx="0">
                  <c:v>0</c:v>
                </c:pt>
                <c:pt idx="1">
                  <c:v>1</c:v>
                </c:pt>
                <c:pt idx="2">
                  <c:v>0</c:v>
                </c:pt>
                <c:pt idx="3">
                  <c:v>1</c:v>
                </c:pt>
                <c:pt idx="4">
                  <c:v>0</c:v>
                </c:pt>
                <c:pt idx="5">
                  <c:v>1</c:v>
                </c:pt>
                <c:pt idx="6">
                  <c:v>0</c:v>
                </c:pt>
                <c:pt idx="7">
                  <c:v>0</c:v>
                </c:pt>
                <c:pt idx="8">
                  <c:v>0</c:v>
                </c:pt>
                <c:pt idx="9">
                  <c:v>1</c:v>
                </c:pt>
                <c:pt idx="10">
                  <c:v>4</c:v>
                </c:pt>
              </c:numCache>
            </c:numRef>
          </c:val>
          <c:extLst>
            <c:ext xmlns:c16="http://schemas.microsoft.com/office/drawing/2014/chart" uri="{C3380CC4-5D6E-409C-BE32-E72D297353CC}">
              <c16:uniqueId val="{00000001-8AB2-4182-9A2C-393437A9D2BD}"/>
            </c:ext>
          </c:extLst>
        </c:ser>
        <c:dLbls>
          <c:showLegendKey val="0"/>
          <c:showVal val="0"/>
          <c:showCatName val="0"/>
          <c:showSerName val="0"/>
          <c:showPercent val="0"/>
          <c:showBubbleSize val="0"/>
        </c:dLbls>
        <c:gapWidth val="150"/>
        <c:overlap val="100"/>
        <c:axId val="2028314144"/>
        <c:axId val="2028309248"/>
      </c:barChart>
      <c:catAx>
        <c:axId val="202831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309248"/>
        <c:crosses val="autoZero"/>
        <c:auto val="1"/>
        <c:lblAlgn val="ctr"/>
        <c:lblOffset val="100"/>
        <c:noMultiLvlLbl val="0"/>
      </c:catAx>
      <c:valAx>
        <c:axId val="202830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31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b="1"/>
              <a:t>TOP 10 Desease</a:t>
            </a:r>
          </a:p>
        </c:rich>
      </c:tx>
      <c:overlay val="0"/>
      <c:spPr>
        <a:noFill/>
        <a:ln>
          <a:noFill/>
        </a:ln>
        <a:effectLst/>
      </c:spPr>
      <c:txPr>
        <a:bodyPr rot="0" spcFirstLastPara="1" vertOverflow="ellipsis" vert="horz" wrap="square" anchor="ctr" anchorCtr="1"/>
        <a:lstStyle/>
        <a:p>
          <a:pPr>
            <a:defRPr sz="108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bar"/>
        <c:grouping val="stacked"/>
        <c:varyColors val="0"/>
        <c:ser>
          <c:idx val="0"/>
          <c:order val="0"/>
          <c:tx>
            <c:strRef>
              <c:f>Sheet1!$H$22</c:f>
              <c:strCache>
                <c:ptCount val="1"/>
                <c:pt idx="0">
                  <c:v>SIS</c:v>
                </c:pt>
              </c:strCache>
            </c:strRef>
          </c:tx>
          <c:spPr>
            <a:solidFill>
              <a:srgbClr val="00B0F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Sheet1!$G$23:$G$33</c:f>
              <c:strCache>
                <c:ptCount val="11"/>
                <c:pt idx="0">
                  <c:v>Radang Gigi</c:v>
                </c:pt>
                <c:pt idx="1">
                  <c:v>Radang pada usus besar </c:v>
                </c:pt>
                <c:pt idx="2">
                  <c:v>Rada Gusi</c:v>
                </c:pt>
                <c:pt idx="3">
                  <c:v>Diare Akut</c:v>
                </c:pt>
                <c:pt idx="4">
                  <c:v>Mata Merah dan Berair</c:v>
                </c:pt>
                <c:pt idx="5">
                  <c:v>Dermatitis Kontak Alergi</c:v>
                </c:pt>
                <c:pt idx="6">
                  <c:v>Inspeksi Jamur </c:v>
                </c:pt>
                <c:pt idx="7">
                  <c:v>Nyeri Perut</c:v>
                </c:pt>
                <c:pt idx="8">
                  <c:v>Low Back Pain</c:v>
                </c:pt>
                <c:pt idx="9">
                  <c:v>Radang Lambung</c:v>
                </c:pt>
                <c:pt idx="10">
                  <c:v>TOTAL</c:v>
                </c:pt>
              </c:strCache>
            </c:strRef>
          </c:cat>
          <c:val>
            <c:numRef>
              <c:f>Sheet1!$H$23:$H$33</c:f>
              <c:numCache>
                <c:formatCode>General</c:formatCode>
                <c:ptCount val="11"/>
                <c:pt idx="0">
                  <c:v>7</c:v>
                </c:pt>
                <c:pt idx="1">
                  <c:v>3</c:v>
                </c:pt>
                <c:pt idx="2">
                  <c:v>3</c:v>
                </c:pt>
                <c:pt idx="3">
                  <c:v>2</c:v>
                </c:pt>
                <c:pt idx="4">
                  <c:v>2</c:v>
                </c:pt>
                <c:pt idx="5">
                  <c:v>1</c:v>
                </c:pt>
                <c:pt idx="6">
                  <c:v>2</c:v>
                </c:pt>
                <c:pt idx="7">
                  <c:v>2</c:v>
                </c:pt>
                <c:pt idx="8">
                  <c:v>1</c:v>
                </c:pt>
                <c:pt idx="9">
                  <c:v>0</c:v>
                </c:pt>
                <c:pt idx="10">
                  <c:v>23</c:v>
                </c:pt>
              </c:numCache>
            </c:numRef>
          </c:val>
          <c:extLst>
            <c:ext xmlns:c16="http://schemas.microsoft.com/office/drawing/2014/chart" uri="{C3380CC4-5D6E-409C-BE32-E72D297353CC}">
              <c16:uniqueId val="{00000000-FC89-4C61-B7A3-8B8CA911896A}"/>
            </c:ext>
          </c:extLst>
        </c:ser>
        <c:ser>
          <c:idx val="1"/>
          <c:order val="1"/>
          <c:tx>
            <c:strRef>
              <c:f>Sheet1!$I$22</c:f>
              <c:strCache>
                <c:ptCount val="1"/>
                <c:pt idx="0">
                  <c:v>MITRA KERJA</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Sheet1!$G$23:$G$33</c:f>
              <c:strCache>
                <c:ptCount val="11"/>
                <c:pt idx="0">
                  <c:v>Radang Gigi</c:v>
                </c:pt>
                <c:pt idx="1">
                  <c:v>Radang pada usus besar </c:v>
                </c:pt>
                <c:pt idx="2">
                  <c:v>Rada Gusi</c:v>
                </c:pt>
                <c:pt idx="3">
                  <c:v>Diare Akut</c:v>
                </c:pt>
                <c:pt idx="4">
                  <c:v>Mata Merah dan Berair</c:v>
                </c:pt>
                <c:pt idx="5">
                  <c:v>Dermatitis Kontak Alergi</c:v>
                </c:pt>
                <c:pt idx="6">
                  <c:v>Inspeksi Jamur </c:v>
                </c:pt>
                <c:pt idx="7">
                  <c:v>Nyeri Perut</c:v>
                </c:pt>
                <c:pt idx="8">
                  <c:v>Low Back Pain</c:v>
                </c:pt>
                <c:pt idx="9">
                  <c:v>Radang Lambung</c:v>
                </c:pt>
                <c:pt idx="10">
                  <c:v>TOTAL</c:v>
                </c:pt>
              </c:strCache>
            </c:strRef>
          </c:cat>
          <c:val>
            <c:numRef>
              <c:f>Sheet1!$I$23:$I$33</c:f>
              <c:numCache>
                <c:formatCode>General</c:formatCode>
                <c:ptCount val="11"/>
                <c:pt idx="0">
                  <c:v>0</c:v>
                </c:pt>
                <c:pt idx="1">
                  <c:v>1</c:v>
                </c:pt>
                <c:pt idx="2">
                  <c:v>0</c:v>
                </c:pt>
                <c:pt idx="3">
                  <c:v>1</c:v>
                </c:pt>
                <c:pt idx="4">
                  <c:v>0</c:v>
                </c:pt>
                <c:pt idx="5">
                  <c:v>1</c:v>
                </c:pt>
                <c:pt idx="6">
                  <c:v>0</c:v>
                </c:pt>
                <c:pt idx="7">
                  <c:v>0</c:v>
                </c:pt>
                <c:pt idx="8">
                  <c:v>0</c:v>
                </c:pt>
                <c:pt idx="9">
                  <c:v>1</c:v>
                </c:pt>
                <c:pt idx="10">
                  <c:v>4</c:v>
                </c:pt>
              </c:numCache>
            </c:numRef>
          </c:val>
          <c:extLst>
            <c:ext xmlns:c16="http://schemas.microsoft.com/office/drawing/2014/chart" uri="{C3380CC4-5D6E-409C-BE32-E72D297353CC}">
              <c16:uniqueId val="{00000001-FC89-4C61-B7A3-8B8CA911896A}"/>
            </c:ext>
          </c:extLst>
        </c:ser>
        <c:dLbls>
          <c:showLegendKey val="0"/>
          <c:showVal val="0"/>
          <c:showCatName val="0"/>
          <c:showSerName val="0"/>
          <c:showPercent val="0"/>
          <c:showBubbleSize val="0"/>
        </c:dLbls>
        <c:gapWidth val="150"/>
        <c:overlap val="100"/>
        <c:axId val="2028314688"/>
        <c:axId val="2028313600"/>
      </c:barChart>
      <c:catAx>
        <c:axId val="2028314688"/>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28313600"/>
        <c:crosses val="autoZero"/>
        <c:auto val="1"/>
        <c:lblAlgn val="ctr"/>
        <c:lblOffset val="100"/>
        <c:noMultiLvlLbl val="0"/>
      </c:catAx>
      <c:valAx>
        <c:axId val="2028313600"/>
        <c:scaling>
          <c:orientation val="minMax"/>
        </c:scaling>
        <c:delete val="1"/>
        <c:axPos val="b"/>
        <c:numFmt formatCode="General" sourceLinked="1"/>
        <c:majorTickMark val="none"/>
        <c:minorTickMark val="none"/>
        <c:tickLblPos val="nextTo"/>
        <c:crossAx val="202831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6.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5.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1.emf"/><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11" Type="http://schemas.openxmlformats.org/officeDocument/2006/relationships/chart" Target="../charts/chart39.xml"/><Relationship Id="rId5" Type="http://schemas.openxmlformats.org/officeDocument/2006/relationships/chart" Target="../charts/chart33.xml"/><Relationship Id="rId10" Type="http://schemas.openxmlformats.org/officeDocument/2006/relationships/chart" Target="../charts/chart38.xml"/><Relationship Id="rId4" Type="http://schemas.openxmlformats.org/officeDocument/2006/relationships/chart" Target="../charts/chart32.xml"/><Relationship Id="rId9"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png"/><Relationship Id="rId7" Type="http://schemas.openxmlformats.org/officeDocument/2006/relationships/image" Target="../media/image8.jpe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3.xml"/><Relationship Id="rId1" Type="http://schemas.openxmlformats.org/officeDocument/2006/relationships/chart" Target="../charts/chart4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cid:image001.png@01D38AFC.8CA8A2D0" TargetMode="External"/><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18" Type="http://schemas.openxmlformats.org/officeDocument/2006/relationships/chart" Target="../charts/chart61.xml"/><Relationship Id="rId3" Type="http://schemas.openxmlformats.org/officeDocument/2006/relationships/chart" Target="../charts/chart46.xml"/><Relationship Id="rId21" Type="http://schemas.openxmlformats.org/officeDocument/2006/relationships/chart" Target="../charts/chart62.xml"/><Relationship Id="rId7" Type="http://schemas.openxmlformats.org/officeDocument/2006/relationships/chart" Target="../charts/chart50.xml"/><Relationship Id="rId12" Type="http://schemas.openxmlformats.org/officeDocument/2006/relationships/chart" Target="../charts/chart55.xml"/><Relationship Id="rId17" Type="http://schemas.openxmlformats.org/officeDocument/2006/relationships/chart" Target="../charts/chart60.xml"/><Relationship Id="rId2" Type="http://schemas.openxmlformats.org/officeDocument/2006/relationships/chart" Target="../charts/chart45.xml"/><Relationship Id="rId16" Type="http://schemas.openxmlformats.org/officeDocument/2006/relationships/chart" Target="../charts/chart59.xml"/><Relationship Id="rId20" Type="http://schemas.openxmlformats.org/officeDocument/2006/relationships/image" Target="cid:image001.png@01D38AFC.8CA8A2D0" TargetMode="External"/><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5" Type="http://schemas.openxmlformats.org/officeDocument/2006/relationships/chart" Target="../charts/chart58.xml"/><Relationship Id="rId10" Type="http://schemas.openxmlformats.org/officeDocument/2006/relationships/chart" Target="../charts/chart53.xml"/><Relationship Id="rId19" Type="http://schemas.openxmlformats.org/officeDocument/2006/relationships/image" Target="../media/image12.png"/><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chart" Target="../charts/chart5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65.xml"/><Relationship Id="rId1" Type="http://schemas.openxmlformats.org/officeDocument/2006/relationships/chart" Target="../charts/chart64.xml"/></Relationships>
</file>

<file path=xl/drawings/drawing1.xml><?xml version="1.0" encoding="utf-8"?>
<xdr:wsDr xmlns:xdr="http://schemas.openxmlformats.org/drawingml/2006/spreadsheetDrawing" xmlns:a="http://schemas.openxmlformats.org/drawingml/2006/main">
  <xdr:twoCellAnchor>
    <xdr:from>
      <xdr:col>0</xdr:col>
      <xdr:colOff>532279</xdr:colOff>
      <xdr:row>18</xdr:row>
      <xdr:rowOff>176893</xdr:rowOff>
    </xdr:from>
    <xdr:to>
      <xdr:col>2</xdr:col>
      <xdr:colOff>1285875</xdr:colOff>
      <xdr:row>29</xdr:row>
      <xdr:rowOff>176893</xdr:rowOff>
    </xdr:to>
    <xdr:graphicFrame macro="">
      <xdr:nvGraphicFramePr>
        <xdr:cNvPr id="2" name="Chart 1">
          <a:extLst>
            <a:ext uri="{FF2B5EF4-FFF2-40B4-BE49-F238E27FC236}">
              <a16:creationId xmlns:a16="http://schemas.microsoft.com/office/drawing/2014/main" id="{29A47111-3086-4FD6-8E83-A13C9FF7E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6801</xdr:colOff>
      <xdr:row>18</xdr:row>
      <xdr:rowOff>166006</xdr:rowOff>
    </xdr:from>
    <xdr:to>
      <xdr:col>6</xdr:col>
      <xdr:colOff>47625</xdr:colOff>
      <xdr:row>30</xdr:row>
      <xdr:rowOff>13607</xdr:rowOff>
    </xdr:to>
    <xdr:graphicFrame macro="">
      <xdr:nvGraphicFramePr>
        <xdr:cNvPr id="3" name="Chart 2">
          <a:extLst>
            <a:ext uri="{FF2B5EF4-FFF2-40B4-BE49-F238E27FC236}">
              <a16:creationId xmlns:a16="http://schemas.microsoft.com/office/drawing/2014/main" id="{AD88AF5F-629C-4CB2-8610-715CE92D4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6803</xdr:colOff>
      <xdr:row>19</xdr:row>
      <xdr:rowOff>152399</xdr:rowOff>
    </xdr:from>
    <xdr:to>
      <xdr:col>10</xdr:col>
      <xdr:colOff>63500</xdr:colOff>
      <xdr:row>29</xdr:row>
      <xdr:rowOff>163285</xdr:rowOff>
    </xdr:to>
    <xdr:graphicFrame macro="">
      <xdr:nvGraphicFramePr>
        <xdr:cNvPr id="4" name="Chart 3">
          <a:extLst>
            <a:ext uri="{FF2B5EF4-FFF2-40B4-BE49-F238E27FC236}">
              <a16:creationId xmlns:a16="http://schemas.microsoft.com/office/drawing/2014/main" id="{C3ED931D-25EC-4BC7-80D5-7CBAF8B76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816429</xdr:colOff>
      <xdr:row>44</xdr:row>
      <xdr:rowOff>166007</xdr:rowOff>
    </xdr:from>
    <xdr:to>
      <xdr:col>6</xdr:col>
      <xdr:colOff>476250</xdr:colOff>
      <xdr:row>53</xdr:row>
      <xdr:rowOff>122465</xdr:rowOff>
    </xdr:to>
    <xdr:graphicFrame macro="">
      <xdr:nvGraphicFramePr>
        <xdr:cNvPr id="5" name="Chart 4">
          <a:extLst>
            <a:ext uri="{FF2B5EF4-FFF2-40B4-BE49-F238E27FC236}">
              <a16:creationId xmlns:a16="http://schemas.microsoft.com/office/drawing/2014/main" id="{363880AC-5C7F-4738-ADD5-2EBB4F495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61232</xdr:colOff>
      <xdr:row>44</xdr:row>
      <xdr:rowOff>159883</xdr:rowOff>
    </xdr:from>
    <xdr:to>
      <xdr:col>3</xdr:col>
      <xdr:colOff>500062</xdr:colOff>
      <xdr:row>53</xdr:row>
      <xdr:rowOff>0</xdr:rowOff>
    </xdr:to>
    <xdr:graphicFrame macro="">
      <xdr:nvGraphicFramePr>
        <xdr:cNvPr id="6" name="Chart 5">
          <a:extLst>
            <a:ext uri="{FF2B5EF4-FFF2-40B4-BE49-F238E27FC236}">
              <a16:creationId xmlns:a16="http://schemas.microsoft.com/office/drawing/2014/main" id="{B0BD3F96-F51A-4FE7-9ACA-1CB242E8A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646339</xdr:colOff>
      <xdr:row>44</xdr:row>
      <xdr:rowOff>166687</xdr:rowOff>
    </xdr:from>
    <xdr:to>
      <xdr:col>10</xdr:col>
      <xdr:colOff>571500</xdr:colOff>
      <xdr:row>53</xdr:row>
      <xdr:rowOff>119062</xdr:rowOff>
    </xdr:to>
    <xdr:graphicFrame macro="">
      <xdr:nvGraphicFramePr>
        <xdr:cNvPr id="7" name="Chart 6">
          <a:extLst>
            <a:ext uri="{FF2B5EF4-FFF2-40B4-BE49-F238E27FC236}">
              <a16:creationId xmlns:a16="http://schemas.microsoft.com/office/drawing/2014/main" id="{D45B6C1F-8FC7-4165-8AD6-7BECC6D3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831273</xdr:colOff>
      <xdr:row>43</xdr:row>
      <xdr:rowOff>104362</xdr:rowOff>
    </xdr:from>
    <xdr:to>
      <xdr:col>32</xdr:col>
      <xdr:colOff>288636</xdr:colOff>
      <xdr:row>52</xdr:row>
      <xdr:rowOff>75458</xdr:rowOff>
    </xdr:to>
    <xdr:graphicFrame macro="">
      <xdr:nvGraphicFramePr>
        <xdr:cNvPr id="8" name="Chart 7">
          <a:extLst>
            <a:ext uri="{FF2B5EF4-FFF2-40B4-BE49-F238E27FC236}">
              <a16:creationId xmlns:a16="http://schemas.microsoft.com/office/drawing/2014/main" id="{4493A7E6-DE48-4D6D-86A4-6580FC504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721386</xdr:colOff>
      <xdr:row>44</xdr:row>
      <xdr:rowOff>163739</xdr:rowOff>
    </xdr:from>
    <xdr:to>
      <xdr:col>13</xdr:col>
      <xdr:colOff>588818</xdr:colOff>
      <xdr:row>53</xdr:row>
      <xdr:rowOff>103909</xdr:rowOff>
    </xdr:to>
    <xdr:graphicFrame macro="">
      <xdr:nvGraphicFramePr>
        <xdr:cNvPr id="9" name="Chart 8">
          <a:extLst>
            <a:ext uri="{FF2B5EF4-FFF2-40B4-BE49-F238E27FC236}">
              <a16:creationId xmlns:a16="http://schemas.microsoft.com/office/drawing/2014/main" id="{6508C6DC-FF77-4C63-9658-2457F9F7C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741624</xdr:colOff>
      <xdr:row>29</xdr:row>
      <xdr:rowOff>17927</xdr:rowOff>
    </xdr:from>
    <xdr:to>
      <xdr:col>23</xdr:col>
      <xdr:colOff>499171</xdr:colOff>
      <xdr:row>42</xdr:row>
      <xdr:rowOff>20780</xdr:rowOff>
    </xdr:to>
    <xdr:graphicFrame macro="">
      <xdr:nvGraphicFramePr>
        <xdr:cNvPr id="10" name="Chart 9">
          <a:extLst>
            <a:ext uri="{FF2B5EF4-FFF2-40B4-BE49-F238E27FC236}">
              <a16:creationId xmlns:a16="http://schemas.microsoft.com/office/drawing/2014/main" id="{67C7D03A-CE58-4A3D-BB8A-91358162C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171738</xdr:colOff>
      <xdr:row>29</xdr:row>
      <xdr:rowOff>79663</xdr:rowOff>
    </xdr:from>
    <xdr:to>
      <xdr:col>32</xdr:col>
      <xdr:colOff>102465</xdr:colOff>
      <xdr:row>42</xdr:row>
      <xdr:rowOff>66385</xdr:rowOff>
    </xdr:to>
    <xdr:graphicFrame macro="">
      <xdr:nvGraphicFramePr>
        <xdr:cNvPr id="11" name="Chart 10">
          <a:extLst>
            <a:ext uri="{FF2B5EF4-FFF2-40B4-BE49-F238E27FC236}">
              <a16:creationId xmlns:a16="http://schemas.microsoft.com/office/drawing/2014/main" id="{BCAD6BC2-E412-48A4-8566-D619B054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31751</xdr:colOff>
      <xdr:row>66</xdr:row>
      <xdr:rowOff>107044</xdr:rowOff>
    </xdr:from>
    <xdr:to>
      <xdr:col>3</xdr:col>
      <xdr:colOff>680358</xdr:colOff>
      <xdr:row>82</xdr:row>
      <xdr:rowOff>110673</xdr:rowOff>
    </xdr:to>
    <xdr:graphicFrame macro="">
      <xdr:nvGraphicFramePr>
        <xdr:cNvPr id="12" name="Chart 11">
          <a:extLst>
            <a:ext uri="{FF2B5EF4-FFF2-40B4-BE49-F238E27FC236}">
              <a16:creationId xmlns:a16="http://schemas.microsoft.com/office/drawing/2014/main" id="{C6523F1B-8835-44BF-AFA9-F0B29246C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423108</xdr:colOff>
      <xdr:row>79</xdr:row>
      <xdr:rowOff>21663</xdr:rowOff>
    </xdr:from>
    <xdr:to>
      <xdr:col>12</xdr:col>
      <xdr:colOff>27167</xdr:colOff>
      <xdr:row>92</xdr:row>
      <xdr:rowOff>206527</xdr:rowOff>
    </xdr:to>
    <xdr:graphicFrame macro="">
      <xdr:nvGraphicFramePr>
        <xdr:cNvPr id="13" name="Chart 12">
          <a:extLst>
            <a:ext uri="{FF2B5EF4-FFF2-40B4-BE49-F238E27FC236}">
              <a16:creationId xmlns:a16="http://schemas.microsoft.com/office/drawing/2014/main" id="{BE60514F-D3EC-421D-8E07-4517FD703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306295</xdr:colOff>
      <xdr:row>78</xdr:row>
      <xdr:rowOff>178547</xdr:rowOff>
    </xdr:from>
    <xdr:to>
      <xdr:col>8</xdr:col>
      <xdr:colOff>1</xdr:colOff>
      <xdr:row>92</xdr:row>
      <xdr:rowOff>172571</xdr:rowOff>
    </xdr:to>
    <xdr:graphicFrame macro="">
      <xdr:nvGraphicFramePr>
        <xdr:cNvPr id="14" name="Chart 13">
          <a:extLst>
            <a:ext uri="{FF2B5EF4-FFF2-40B4-BE49-F238E27FC236}">
              <a16:creationId xmlns:a16="http://schemas.microsoft.com/office/drawing/2014/main" id="{EA4E10D9-EE5C-454D-856B-6258B47F2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351797</xdr:colOff>
      <xdr:row>79</xdr:row>
      <xdr:rowOff>63771</xdr:rowOff>
    </xdr:from>
    <xdr:to>
      <xdr:col>17</xdr:col>
      <xdr:colOff>126322</xdr:colOff>
      <xdr:row>91</xdr:row>
      <xdr:rowOff>436758</xdr:rowOff>
    </xdr:to>
    <xdr:graphicFrame macro="">
      <xdr:nvGraphicFramePr>
        <xdr:cNvPr id="15" name="Chart 14">
          <a:extLst>
            <a:ext uri="{FF2B5EF4-FFF2-40B4-BE49-F238E27FC236}">
              <a16:creationId xmlns:a16="http://schemas.microsoft.com/office/drawing/2014/main" id="{26025A8C-72A1-4A8B-93D3-9B55BF866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437079</xdr:colOff>
      <xdr:row>15</xdr:row>
      <xdr:rowOff>826</xdr:rowOff>
    </xdr:from>
    <xdr:to>
      <xdr:col>17</xdr:col>
      <xdr:colOff>33812</xdr:colOff>
      <xdr:row>21</xdr:row>
      <xdr:rowOff>111282</xdr:rowOff>
    </xdr:to>
    <xdr:pic>
      <xdr:nvPicPr>
        <xdr:cNvPr id="16" name="Picture 15">
          <a:extLst>
            <a:ext uri="{FF2B5EF4-FFF2-40B4-BE49-F238E27FC236}">
              <a16:creationId xmlns:a16="http://schemas.microsoft.com/office/drawing/2014/main" id="{1D1B4671-1EB3-39D9-69E4-5EE4149A3A6C}"/>
            </a:ext>
          </a:extLst>
        </xdr:cNvPr>
        <xdr:cNvPicPr>
          <a:picLocks noChangeAspect="1" noChangeArrowheads="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bwMode="auto">
        <a:xfrm>
          <a:off x="7722261" y="3787735"/>
          <a:ext cx="5231739" cy="1218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268742</xdr:colOff>
      <xdr:row>14</xdr:row>
      <xdr:rowOff>39007</xdr:rowOff>
    </xdr:from>
    <xdr:to>
      <xdr:col>28</xdr:col>
      <xdr:colOff>10206</xdr:colOff>
      <xdr:row>28</xdr:row>
      <xdr:rowOff>106136</xdr:rowOff>
    </xdr:to>
    <xdr:graphicFrame macro="">
      <xdr:nvGraphicFramePr>
        <xdr:cNvPr id="18" name="Chart 17">
          <a:extLst>
            <a:ext uri="{FF2B5EF4-FFF2-40B4-BE49-F238E27FC236}">
              <a16:creationId xmlns:a16="http://schemas.microsoft.com/office/drawing/2014/main" id="{26DE183C-B066-4774-8CFA-BEC5CC717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532279</xdr:colOff>
      <xdr:row>18</xdr:row>
      <xdr:rowOff>176893</xdr:rowOff>
    </xdr:from>
    <xdr:to>
      <xdr:col>3</xdr:col>
      <xdr:colOff>204107</xdr:colOff>
      <xdr:row>29</xdr:row>
      <xdr:rowOff>176893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965074</xdr:colOff>
      <xdr:row>18</xdr:row>
      <xdr:rowOff>177551</xdr:rowOff>
    </xdr:from>
    <xdr:to>
      <xdr:col>6</xdr:col>
      <xdr:colOff>354611</xdr:colOff>
      <xdr:row>30</xdr:row>
      <xdr:rowOff>25152</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999712</xdr:colOff>
      <xdr:row>19</xdr:row>
      <xdr:rowOff>94672</xdr:rowOff>
    </xdr:from>
    <xdr:to>
      <xdr:col>15</xdr:col>
      <xdr:colOff>110299</xdr:colOff>
      <xdr:row>30</xdr:row>
      <xdr:rowOff>57727</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816429</xdr:colOff>
      <xdr:row>43</xdr:row>
      <xdr:rowOff>166007</xdr:rowOff>
    </xdr:from>
    <xdr:to>
      <xdr:col>6</xdr:col>
      <xdr:colOff>476250</xdr:colOff>
      <xdr:row>52</xdr:row>
      <xdr:rowOff>122465</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61232</xdr:colOff>
      <xdr:row>43</xdr:row>
      <xdr:rowOff>159883</xdr:rowOff>
    </xdr:from>
    <xdr:to>
      <xdr:col>3</xdr:col>
      <xdr:colOff>500062</xdr:colOff>
      <xdr:row>52</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588819</xdr:colOff>
      <xdr:row>43</xdr:row>
      <xdr:rowOff>150090</xdr:rowOff>
    </xdr:from>
    <xdr:to>
      <xdr:col>10</xdr:col>
      <xdr:colOff>571501</xdr:colOff>
      <xdr:row>52</xdr:row>
      <xdr:rowOff>119062</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142876</xdr:colOff>
      <xdr:row>43</xdr:row>
      <xdr:rowOff>159203</xdr:rowOff>
    </xdr:from>
    <xdr:to>
      <xdr:col>21</xdr:col>
      <xdr:colOff>449036</xdr:colOff>
      <xdr:row>52</xdr:row>
      <xdr:rowOff>136072</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836839</xdr:colOff>
      <xdr:row>54</xdr:row>
      <xdr:rowOff>36738</xdr:rowOff>
    </xdr:from>
    <xdr:to>
      <xdr:col>6</xdr:col>
      <xdr:colOff>435429</xdr:colOff>
      <xdr:row>61</xdr:row>
      <xdr:rowOff>27215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425554</xdr:colOff>
      <xdr:row>59</xdr:row>
      <xdr:rowOff>55969</xdr:rowOff>
    </xdr:from>
    <xdr:to>
      <xdr:col>21</xdr:col>
      <xdr:colOff>259300</xdr:colOff>
      <xdr:row>71</xdr:row>
      <xdr:rowOff>45578</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467591</xdr:colOff>
      <xdr:row>73</xdr:row>
      <xdr:rowOff>5195</xdr:rowOff>
    </xdr:from>
    <xdr:to>
      <xdr:col>20</xdr:col>
      <xdr:colOff>519545</xdr:colOff>
      <xdr:row>87</xdr:row>
      <xdr:rowOff>81395</xdr:rowOff>
    </xdr:to>
    <xdr:graphicFrame macro="">
      <xdr:nvGraphicFramePr>
        <xdr:cNvPr id="15" name="Chart 14">
          <a:extLst>
            <a:ext uri="{FF2B5EF4-FFF2-40B4-BE49-F238E27FC236}">
              <a16:creationId xmlns:a16="http://schemas.microsoft.com/office/drawing/2014/main" id="{D043362A-50C0-4E99-B40F-A4F7ADCC5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327603</xdr:colOff>
      <xdr:row>57</xdr:row>
      <xdr:rowOff>38387</xdr:rowOff>
    </xdr:from>
    <xdr:to>
      <xdr:col>30</xdr:col>
      <xdr:colOff>50512</xdr:colOff>
      <xdr:row>69</xdr:row>
      <xdr:rowOff>98712</xdr:rowOff>
    </xdr:to>
    <xdr:graphicFrame macro="">
      <xdr:nvGraphicFramePr>
        <xdr:cNvPr id="16" name="Chart 15">
          <a:extLst>
            <a:ext uri="{FF2B5EF4-FFF2-40B4-BE49-F238E27FC236}">
              <a16:creationId xmlns:a16="http://schemas.microsoft.com/office/drawing/2014/main" id="{E0070DEE-4A0D-42E4-8D15-ABF5E526D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500063</xdr:colOff>
      <xdr:row>53</xdr:row>
      <xdr:rowOff>128588</xdr:rowOff>
    </xdr:from>
    <xdr:to>
      <xdr:col>10</xdr:col>
      <xdr:colOff>476250</xdr:colOff>
      <xdr:row>61</xdr:row>
      <xdr:rowOff>95250</xdr:rowOff>
    </xdr:to>
    <xdr:graphicFrame macro="">
      <xdr:nvGraphicFramePr>
        <xdr:cNvPr id="10" name="Chart 9">
          <a:extLst>
            <a:ext uri="{FF2B5EF4-FFF2-40B4-BE49-F238E27FC236}">
              <a16:creationId xmlns:a16="http://schemas.microsoft.com/office/drawing/2014/main" id="{E7B41EFF-FAF0-F7DB-0FA1-222D8CE31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635015</xdr:colOff>
      <xdr:row>79</xdr:row>
      <xdr:rowOff>80963</xdr:rowOff>
    </xdr:from>
    <xdr:to>
      <xdr:col>8</xdr:col>
      <xdr:colOff>1016015</xdr:colOff>
      <xdr:row>90</xdr:row>
      <xdr:rowOff>411163</xdr:rowOff>
    </xdr:to>
    <xdr:graphicFrame macro="">
      <xdr:nvGraphicFramePr>
        <xdr:cNvPr id="13" name="Chart 12">
          <a:extLst>
            <a:ext uri="{FF2B5EF4-FFF2-40B4-BE49-F238E27FC236}">
              <a16:creationId xmlns:a16="http://schemas.microsoft.com/office/drawing/2014/main" id="{A994D971-5AF0-B6D9-6231-EC765B2DD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31</xdr:col>
      <xdr:colOff>161636</xdr:colOff>
      <xdr:row>71</xdr:row>
      <xdr:rowOff>152398</xdr:rowOff>
    </xdr:from>
    <xdr:to>
      <xdr:col>43</xdr:col>
      <xdr:colOff>80818</xdr:colOff>
      <xdr:row>87</xdr:row>
      <xdr:rowOff>161635</xdr:rowOff>
    </xdr:to>
    <xdr:graphicFrame macro="">
      <xdr:nvGraphicFramePr>
        <xdr:cNvPr id="17" name="Chart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34635</xdr:colOff>
      <xdr:row>8</xdr:row>
      <xdr:rowOff>184728</xdr:rowOff>
    </xdr:from>
    <xdr:to>
      <xdr:col>45</xdr:col>
      <xdr:colOff>565727</xdr:colOff>
      <xdr:row>26</xdr:row>
      <xdr:rowOff>138545</xdr:rowOff>
    </xdr:to>
    <xdr:graphicFrame macro="">
      <xdr:nvGraphicFramePr>
        <xdr:cNvPr id="34" name="Chart 33">
          <a:extLst>
            <a:ext uri="{FF2B5EF4-FFF2-40B4-BE49-F238E27FC236}">
              <a16:creationId xmlns:a16="http://schemas.microsoft.com/office/drawing/2014/main" id="{00000000-0008-0000-01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92362</xdr:colOff>
      <xdr:row>9</xdr:row>
      <xdr:rowOff>2309</xdr:rowOff>
    </xdr:from>
    <xdr:to>
      <xdr:col>60</xdr:col>
      <xdr:colOff>277091</xdr:colOff>
      <xdr:row>26</xdr:row>
      <xdr:rowOff>138545</xdr:rowOff>
    </xdr:to>
    <xdr:graphicFrame macro="">
      <xdr:nvGraphicFramePr>
        <xdr:cNvPr id="36" name="Chart 35">
          <a:extLst>
            <a:ext uri="{FF2B5EF4-FFF2-40B4-BE49-F238E27FC236}">
              <a16:creationId xmlns:a16="http://schemas.microsoft.com/office/drawing/2014/main" id="{00000000-0008-0000-01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60</xdr:col>
      <xdr:colOff>415638</xdr:colOff>
      <xdr:row>9</xdr:row>
      <xdr:rowOff>0</xdr:rowOff>
    </xdr:from>
    <xdr:to>
      <xdr:col>74</xdr:col>
      <xdr:colOff>600367</xdr:colOff>
      <xdr:row>26</xdr:row>
      <xdr:rowOff>136236</xdr:rowOff>
    </xdr:to>
    <xdr:graphicFrame macro="">
      <xdr:nvGraphicFramePr>
        <xdr:cNvPr id="37" name="Chart 36">
          <a:extLst>
            <a:ext uri="{FF2B5EF4-FFF2-40B4-BE49-F238E27FC236}">
              <a16:creationId xmlns:a16="http://schemas.microsoft.com/office/drawing/2014/main" id="{00000000-0008-0000-01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75</xdr:col>
      <xdr:colOff>127002</xdr:colOff>
      <xdr:row>9</xdr:row>
      <xdr:rowOff>11547</xdr:rowOff>
    </xdr:from>
    <xdr:to>
      <xdr:col>89</xdr:col>
      <xdr:colOff>311730</xdr:colOff>
      <xdr:row>26</xdr:row>
      <xdr:rowOff>147783</xdr:rowOff>
    </xdr:to>
    <xdr:graphicFrame macro="">
      <xdr:nvGraphicFramePr>
        <xdr:cNvPr id="38" name="Chart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23088</xdr:colOff>
      <xdr:row>29</xdr:row>
      <xdr:rowOff>129308</xdr:rowOff>
    </xdr:from>
    <xdr:to>
      <xdr:col>45</xdr:col>
      <xdr:colOff>554179</xdr:colOff>
      <xdr:row>45</xdr:row>
      <xdr:rowOff>69273</xdr:rowOff>
    </xdr:to>
    <xdr:graphicFrame macro="">
      <xdr:nvGraphicFramePr>
        <xdr:cNvPr id="41" name="Chart 40">
          <a:extLst>
            <a:ext uri="{FF2B5EF4-FFF2-40B4-BE49-F238E27FC236}">
              <a16:creationId xmlns:a16="http://schemas.microsoft.com/office/drawing/2014/main" id="{00000000-0008-0000-01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103907</xdr:colOff>
      <xdr:row>29</xdr:row>
      <xdr:rowOff>129308</xdr:rowOff>
    </xdr:from>
    <xdr:to>
      <xdr:col>60</xdr:col>
      <xdr:colOff>265545</xdr:colOff>
      <xdr:row>45</xdr:row>
      <xdr:rowOff>69272</xdr:rowOff>
    </xdr:to>
    <xdr:graphicFrame macro="">
      <xdr:nvGraphicFramePr>
        <xdr:cNvPr id="44" name="Chart 43">
          <a:extLst>
            <a:ext uri="{FF2B5EF4-FFF2-40B4-BE49-F238E27FC236}">
              <a16:creationId xmlns:a16="http://schemas.microsoft.com/office/drawing/2014/main" id="{00000000-0008-0000-0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60</xdr:col>
      <xdr:colOff>415637</xdr:colOff>
      <xdr:row>29</xdr:row>
      <xdr:rowOff>140853</xdr:rowOff>
    </xdr:from>
    <xdr:to>
      <xdr:col>74</xdr:col>
      <xdr:colOff>554182</xdr:colOff>
      <xdr:row>45</xdr:row>
      <xdr:rowOff>69271</xdr:rowOff>
    </xdr:to>
    <xdr:graphicFrame macro="">
      <xdr:nvGraphicFramePr>
        <xdr:cNvPr id="48" name="Chart 47">
          <a:extLst>
            <a:ext uri="{FF2B5EF4-FFF2-40B4-BE49-F238E27FC236}">
              <a16:creationId xmlns:a16="http://schemas.microsoft.com/office/drawing/2014/main" id="{00000000-0008-0000-01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11546</xdr:colOff>
      <xdr:row>49</xdr:row>
      <xdr:rowOff>140855</xdr:rowOff>
    </xdr:from>
    <xdr:to>
      <xdr:col>45</xdr:col>
      <xdr:colOff>531091</xdr:colOff>
      <xdr:row>64</xdr:row>
      <xdr:rowOff>46182</xdr:rowOff>
    </xdr:to>
    <xdr:graphicFrame macro="">
      <xdr:nvGraphicFramePr>
        <xdr:cNvPr id="49" name="Chart 48">
          <a:extLst>
            <a:ext uri="{FF2B5EF4-FFF2-40B4-BE49-F238E27FC236}">
              <a16:creationId xmlns:a16="http://schemas.microsoft.com/office/drawing/2014/main" id="{00000000-0008-0000-01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89</xdr:col>
      <xdr:colOff>496453</xdr:colOff>
      <xdr:row>9</xdr:row>
      <xdr:rowOff>13854</xdr:rowOff>
    </xdr:from>
    <xdr:to>
      <xdr:col>104</xdr:col>
      <xdr:colOff>80817</xdr:colOff>
      <xdr:row>26</xdr:row>
      <xdr:rowOff>127000</xdr:rowOff>
    </xdr:to>
    <xdr:graphicFrame macro="">
      <xdr:nvGraphicFramePr>
        <xdr:cNvPr id="51" name="Chart 50">
          <a:extLst>
            <a:ext uri="{FF2B5EF4-FFF2-40B4-BE49-F238E27FC236}">
              <a16:creationId xmlns:a16="http://schemas.microsoft.com/office/drawing/2014/main" id="{00000000-0008-0000-01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495301</xdr:colOff>
      <xdr:row>71</xdr:row>
      <xdr:rowOff>117764</xdr:rowOff>
    </xdr:from>
    <xdr:to>
      <xdr:col>51</xdr:col>
      <xdr:colOff>293914</xdr:colOff>
      <xdr:row>87</xdr:row>
      <xdr:rowOff>109683</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409575</xdr:colOff>
      <xdr:row>441</xdr:row>
      <xdr:rowOff>0</xdr:rowOff>
    </xdr:from>
    <xdr:to>
      <xdr:col>10</xdr:col>
      <xdr:colOff>790575</xdr:colOff>
      <xdr:row>441</xdr:row>
      <xdr:rowOff>277517</xdr:rowOff>
    </xdr:to>
    <xdr:sp macro="" textlink="">
      <xdr:nvSpPr>
        <xdr:cNvPr id="2" name="Rectangle 8">
          <a:extLst>
            <a:ext uri="{FF2B5EF4-FFF2-40B4-BE49-F238E27FC236}">
              <a16:creationId xmlns:a16="http://schemas.microsoft.com/office/drawing/2014/main" id="{00000000-0008-0000-0500-000002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twoCellAnchor editAs="oneCell">
    <xdr:from>
      <xdr:col>10</xdr:col>
      <xdr:colOff>409575</xdr:colOff>
      <xdr:row>441</xdr:row>
      <xdr:rowOff>0</xdr:rowOff>
    </xdr:from>
    <xdr:to>
      <xdr:col>10</xdr:col>
      <xdr:colOff>790575</xdr:colOff>
      <xdr:row>441</xdr:row>
      <xdr:rowOff>277517</xdr:rowOff>
    </xdr:to>
    <xdr:sp macro="" textlink="">
      <xdr:nvSpPr>
        <xdr:cNvPr id="3" name="Rectangle 8">
          <a:extLst>
            <a:ext uri="{FF2B5EF4-FFF2-40B4-BE49-F238E27FC236}">
              <a16:creationId xmlns:a16="http://schemas.microsoft.com/office/drawing/2014/main" id="{00000000-0008-0000-0500-000003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twoCellAnchor editAs="oneCell">
    <xdr:from>
      <xdr:col>10</xdr:col>
      <xdr:colOff>409575</xdr:colOff>
      <xdr:row>441</xdr:row>
      <xdr:rowOff>0</xdr:rowOff>
    </xdr:from>
    <xdr:to>
      <xdr:col>10</xdr:col>
      <xdr:colOff>790575</xdr:colOff>
      <xdr:row>441</xdr:row>
      <xdr:rowOff>277517</xdr:rowOff>
    </xdr:to>
    <xdr:sp macro="" textlink="">
      <xdr:nvSpPr>
        <xdr:cNvPr id="4" name="Rectangle 8">
          <a:extLst>
            <a:ext uri="{FF2B5EF4-FFF2-40B4-BE49-F238E27FC236}">
              <a16:creationId xmlns:a16="http://schemas.microsoft.com/office/drawing/2014/main" id="{00000000-0008-0000-0500-000004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twoCellAnchor editAs="oneCell">
    <xdr:from>
      <xdr:col>10</xdr:col>
      <xdr:colOff>409575</xdr:colOff>
      <xdr:row>441</xdr:row>
      <xdr:rowOff>0</xdr:rowOff>
    </xdr:from>
    <xdr:to>
      <xdr:col>10</xdr:col>
      <xdr:colOff>790575</xdr:colOff>
      <xdr:row>441</xdr:row>
      <xdr:rowOff>277517</xdr:rowOff>
    </xdr:to>
    <xdr:sp macro="" textlink="">
      <xdr:nvSpPr>
        <xdr:cNvPr id="5" name="Rectangle 8">
          <a:extLst>
            <a:ext uri="{FF2B5EF4-FFF2-40B4-BE49-F238E27FC236}">
              <a16:creationId xmlns:a16="http://schemas.microsoft.com/office/drawing/2014/main" id="{00000000-0008-0000-0500-000005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twoCellAnchor editAs="oneCell">
    <xdr:from>
      <xdr:col>10</xdr:col>
      <xdr:colOff>409575</xdr:colOff>
      <xdr:row>441</xdr:row>
      <xdr:rowOff>0</xdr:rowOff>
    </xdr:from>
    <xdr:to>
      <xdr:col>10</xdr:col>
      <xdr:colOff>790575</xdr:colOff>
      <xdr:row>441</xdr:row>
      <xdr:rowOff>277517</xdr:rowOff>
    </xdr:to>
    <xdr:sp macro="" textlink="">
      <xdr:nvSpPr>
        <xdr:cNvPr id="6" name="Rectangle 8">
          <a:extLst>
            <a:ext uri="{FF2B5EF4-FFF2-40B4-BE49-F238E27FC236}">
              <a16:creationId xmlns:a16="http://schemas.microsoft.com/office/drawing/2014/main" id="{00000000-0008-0000-0500-000006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twoCellAnchor editAs="oneCell">
    <xdr:from>
      <xdr:col>10</xdr:col>
      <xdr:colOff>409575</xdr:colOff>
      <xdr:row>441</xdr:row>
      <xdr:rowOff>0</xdr:rowOff>
    </xdr:from>
    <xdr:to>
      <xdr:col>10</xdr:col>
      <xdr:colOff>790575</xdr:colOff>
      <xdr:row>441</xdr:row>
      <xdr:rowOff>277517</xdr:rowOff>
    </xdr:to>
    <xdr:sp macro="" textlink="">
      <xdr:nvSpPr>
        <xdr:cNvPr id="7" name="Rectangle 6">
          <a:extLst>
            <a:ext uri="{FF2B5EF4-FFF2-40B4-BE49-F238E27FC236}">
              <a16:creationId xmlns:a16="http://schemas.microsoft.com/office/drawing/2014/main" id="{00000000-0008-0000-0500-000007000000}"/>
            </a:ext>
          </a:extLst>
        </xdr:cNvPr>
        <xdr:cNvSpPr>
          <a:spLocks noChangeArrowheads="1"/>
        </xdr:cNvSpPr>
      </xdr:nvSpPr>
      <xdr:spPr bwMode="auto">
        <a:xfrm>
          <a:off x="10540711" y="296868273"/>
          <a:ext cx="381000" cy="277517"/>
        </a:xfrm>
        <a:prstGeom prst="rect">
          <a:avLst/>
        </a:prstGeom>
        <a:noFill/>
        <a:ln w="9525">
          <a:noFill/>
          <a:miter lim="800000"/>
          <a:headEnd/>
          <a:tailEnd/>
        </a:ln>
      </xdr:spPr>
    </xdr:sp>
    <xdr:clientData/>
  </xdr:twoCellAnchor>
  <xdr:oneCellAnchor>
    <xdr:from>
      <xdr:col>10</xdr:col>
      <xdr:colOff>409575</xdr:colOff>
      <xdr:row>441</xdr:row>
      <xdr:rowOff>0</xdr:rowOff>
    </xdr:from>
    <xdr:ext cx="190500" cy="266700"/>
    <xdr:sp macro="" textlink="">
      <xdr:nvSpPr>
        <xdr:cNvPr id="8" name="Rectangle 8">
          <a:extLst>
            <a:ext uri="{FF2B5EF4-FFF2-40B4-BE49-F238E27FC236}">
              <a16:creationId xmlns:a16="http://schemas.microsoft.com/office/drawing/2014/main" id="{00000000-0008-0000-0500-000008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9" name="Rectangle 8">
          <a:extLst>
            <a:ext uri="{FF2B5EF4-FFF2-40B4-BE49-F238E27FC236}">
              <a16:creationId xmlns:a16="http://schemas.microsoft.com/office/drawing/2014/main" id="{00000000-0008-0000-0500-000009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0" name="Rectangle 8">
          <a:extLst>
            <a:ext uri="{FF2B5EF4-FFF2-40B4-BE49-F238E27FC236}">
              <a16:creationId xmlns:a16="http://schemas.microsoft.com/office/drawing/2014/main" id="{00000000-0008-0000-0500-00000A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1" name="Rectangle 8">
          <a:extLst>
            <a:ext uri="{FF2B5EF4-FFF2-40B4-BE49-F238E27FC236}">
              <a16:creationId xmlns:a16="http://schemas.microsoft.com/office/drawing/2014/main" id="{00000000-0008-0000-0500-00000B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2" name="Rectangle 8">
          <a:extLst>
            <a:ext uri="{FF2B5EF4-FFF2-40B4-BE49-F238E27FC236}">
              <a16:creationId xmlns:a16="http://schemas.microsoft.com/office/drawing/2014/main" id="{00000000-0008-0000-0500-00000C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3" name="Rectangle 12">
          <a:extLst>
            <a:ext uri="{FF2B5EF4-FFF2-40B4-BE49-F238E27FC236}">
              <a16:creationId xmlns:a16="http://schemas.microsoft.com/office/drawing/2014/main" id="{00000000-0008-0000-0500-00000D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4" name="Rectangle 8">
          <a:extLst>
            <a:ext uri="{FF2B5EF4-FFF2-40B4-BE49-F238E27FC236}">
              <a16:creationId xmlns:a16="http://schemas.microsoft.com/office/drawing/2014/main" id="{00000000-0008-0000-0500-00000E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5" name="Rectangle 8">
          <a:extLst>
            <a:ext uri="{FF2B5EF4-FFF2-40B4-BE49-F238E27FC236}">
              <a16:creationId xmlns:a16="http://schemas.microsoft.com/office/drawing/2014/main" id="{00000000-0008-0000-0500-00000F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6" name="Rectangle 8">
          <a:extLst>
            <a:ext uri="{FF2B5EF4-FFF2-40B4-BE49-F238E27FC236}">
              <a16:creationId xmlns:a16="http://schemas.microsoft.com/office/drawing/2014/main" id="{00000000-0008-0000-0500-000010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7" name="Rectangle 8">
          <a:extLst>
            <a:ext uri="{FF2B5EF4-FFF2-40B4-BE49-F238E27FC236}">
              <a16:creationId xmlns:a16="http://schemas.microsoft.com/office/drawing/2014/main" id="{00000000-0008-0000-0500-000011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8" name="Rectangle 8">
          <a:extLst>
            <a:ext uri="{FF2B5EF4-FFF2-40B4-BE49-F238E27FC236}">
              <a16:creationId xmlns:a16="http://schemas.microsoft.com/office/drawing/2014/main" id="{00000000-0008-0000-0500-000012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19" name="Rectangle 18">
          <a:extLst>
            <a:ext uri="{FF2B5EF4-FFF2-40B4-BE49-F238E27FC236}">
              <a16:creationId xmlns:a16="http://schemas.microsoft.com/office/drawing/2014/main" id="{00000000-0008-0000-0500-000013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0" name="Rectangle 8">
          <a:extLst>
            <a:ext uri="{FF2B5EF4-FFF2-40B4-BE49-F238E27FC236}">
              <a16:creationId xmlns:a16="http://schemas.microsoft.com/office/drawing/2014/main" id="{00000000-0008-0000-0500-000014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1" name="Rectangle 8">
          <a:extLst>
            <a:ext uri="{FF2B5EF4-FFF2-40B4-BE49-F238E27FC236}">
              <a16:creationId xmlns:a16="http://schemas.microsoft.com/office/drawing/2014/main" id="{00000000-0008-0000-0500-000015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2" name="Rectangle 8">
          <a:extLst>
            <a:ext uri="{FF2B5EF4-FFF2-40B4-BE49-F238E27FC236}">
              <a16:creationId xmlns:a16="http://schemas.microsoft.com/office/drawing/2014/main" id="{00000000-0008-0000-0500-000016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3" name="Rectangle 8">
          <a:extLst>
            <a:ext uri="{FF2B5EF4-FFF2-40B4-BE49-F238E27FC236}">
              <a16:creationId xmlns:a16="http://schemas.microsoft.com/office/drawing/2014/main" id="{00000000-0008-0000-0500-000017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4" name="Rectangle 8">
          <a:extLst>
            <a:ext uri="{FF2B5EF4-FFF2-40B4-BE49-F238E27FC236}">
              <a16:creationId xmlns:a16="http://schemas.microsoft.com/office/drawing/2014/main" id="{00000000-0008-0000-0500-000018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5" name="Rectangle 24">
          <a:extLst>
            <a:ext uri="{FF2B5EF4-FFF2-40B4-BE49-F238E27FC236}">
              <a16:creationId xmlns:a16="http://schemas.microsoft.com/office/drawing/2014/main" id="{00000000-0008-0000-0500-000019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6" name="Rectangle 8">
          <a:extLst>
            <a:ext uri="{FF2B5EF4-FFF2-40B4-BE49-F238E27FC236}">
              <a16:creationId xmlns:a16="http://schemas.microsoft.com/office/drawing/2014/main" id="{00000000-0008-0000-0500-00001A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7" name="Rectangle 8">
          <a:extLst>
            <a:ext uri="{FF2B5EF4-FFF2-40B4-BE49-F238E27FC236}">
              <a16:creationId xmlns:a16="http://schemas.microsoft.com/office/drawing/2014/main" id="{00000000-0008-0000-0500-00001B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8" name="Rectangle 8">
          <a:extLst>
            <a:ext uri="{FF2B5EF4-FFF2-40B4-BE49-F238E27FC236}">
              <a16:creationId xmlns:a16="http://schemas.microsoft.com/office/drawing/2014/main" id="{00000000-0008-0000-0500-00001C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29" name="Rectangle 8">
          <a:extLst>
            <a:ext uri="{FF2B5EF4-FFF2-40B4-BE49-F238E27FC236}">
              <a16:creationId xmlns:a16="http://schemas.microsoft.com/office/drawing/2014/main" id="{00000000-0008-0000-0500-00001D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0" name="Rectangle 8">
          <a:extLst>
            <a:ext uri="{FF2B5EF4-FFF2-40B4-BE49-F238E27FC236}">
              <a16:creationId xmlns:a16="http://schemas.microsoft.com/office/drawing/2014/main" id="{00000000-0008-0000-0500-00001E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1" name="Rectangle 30">
          <a:extLst>
            <a:ext uri="{FF2B5EF4-FFF2-40B4-BE49-F238E27FC236}">
              <a16:creationId xmlns:a16="http://schemas.microsoft.com/office/drawing/2014/main" id="{00000000-0008-0000-0500-00001F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2" name="Rectangle 8">
          <a:extLst>
            <a:ext uri="{FF2B5EF4-FFF2-40B4-BE49-F238E27FC236}">
              <a16:creationId xmlns:a16="http://schemas.microsoft.com/office/drawing/2014/main" id="{00000000-0008-0000-0500-000020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3" name="Rectangle 8">
          <a:extLst>
            <a:ext uri="{FF2B5EF4-FFF2-40B4-BE49-F238E27FC236}">
              <a16:creationId xmlns:a16="http://schemas.microsoft.com/office/drawing/2014/main" id="{00000000-0008-0000-0500-000021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4" name="Rectangle 8">
          <a:extLst>
            <a:ext uri="{FF2B5EF4-FFF2-40B4-BE49-F238E27FC236}">
              <a16:creationId xmlns:a16="http://schemas.microsoft.com/office/drawing/2014/main" id="{00000000-0008-0000-0500-000022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5" name="Rectangle 8">
          <a:extLst>
            <a:ext uri="{FF2B5EF4-FFF2-40B4-BE49-F238E27FC236}">
              <a16:creationId xmlns:a16="http://schemas.microsoft.com/office/drawing/2014/main" id="{00000000-0008-0000-0500-000023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6" name="Rectangle 8">
          <a:extLst>
            <a:ext uri="{FF2B5EF4-FFF2-40B4-BE49-F238E27FC236}">
              <a16:creationId xmlns:a16="http://schemas.microsoft.com/office/drawing/2014/main" id="{00000000-0008-0000-0500-000024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7" name="Rectangle 36">
          <a:extLst>
            <a:ext uri="{FF2B5EF4-FFF2-40B4-BE49-F238E27FC236}">
              <a16:creationId xmlns:a16="http://schemas.microsoft.com/office/drawing/2014/main" id="{00000000-0008-0000-0500-000025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8" name="Rectangle 8">
          <a:extLst>
            <a:ext uri="{FF2B5EF4-FFF2-40B4-BE49-F238E27FC236}">
              <a16:creationId xmlns:a16="http://schemas.microsoft.com/office/drawing/2014/main" id="{00000000-0008-0000-0500-000026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39" name="Rectangle 8">
          <a:extLst>
            <a:ext uri="{FF2B5EF4-FFF2-40B4-BE49-F238E27FC236}">
              <a16:creationId xmlns:a16="http://schemas.microsoft.com/office/drawing/2014/main" id="{00000000-0008-0000-0500-000027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0" name="Rectangle 8">
          <a:extLst>
            <a:ext uri="{FF2B5EF4-FFF2-40B4-BE49-F238E27FC236}">
              <a16:creationId xmlns:a16="http://schemas.microsoft.com/office/drawing/2014/main" id="{00000000-0008-0000-0500-000028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1" name="Rectangle 8">
          <a:extLst>
            <a:ext uri="{FF2B5EF4-FFF2-40B4-BE49-F238E27FC236}">
              <a16:creationId xmlns:a16="http://schemas.microsoft.com/office/drawing/2014/main" id="{00000000-0008-0000-0500-000029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2" name="Rectangle 8">
          <a:extLst>
            <a:ext uri="{FF2B5EF4-FFF2-40B4-BE49-F238E27FC236}">
              <a16:creationId xmlns:a16="http://schemas.microsoft.com/office/drawing/2014/main" id="{00000000-0008-0000-0500-00002A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3" name="Rectangle 42">
          <a:extLst>
            <a:ext uri="{FF2B5EF4-FFF2-40B4-BE49-F238E27FC236}">
              <a16:creationId xmlns:a16="http://schemas.microsoft.com/office/drawing/2014/main" id="{00000000-0008-0000-0500-00002B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4" name="Rectangle 8">
          <a:extLst>
            <a:ext uri="{FF2B5EF4-FFF2-40B4-BE49-F238E27FC236}">
              <a16:creationId xmlns:a16="http://schemas.microsoft.com/office/drawing/2014/main" id="{00000000-0008-0000-0500-00002C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5" name="Rectangle 8">
          <a:extLst>
            <a:ext uri="{FF2B5EF4-FFF2-40B4-BE49-F238E27FC236}">
              <a16:creationId xmlns:a16="http://schemas.microsoft.com/office/drawing/2014/main" id="{00000000-0008-0000-0500-00002D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6" name="Rectangle 8">
          <a:extLst>
            <a:ext uri="{FF2B5EF4-FFF2-40B4-BE49-F238E27FC236}">
              <a16:creationId xmlns:a16="http://schemas.microsoft.com/office/drawing/2014/main" id="{00000000-0008-0000-0500-00002E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7" name="Rectangle 8">
          <a:extLst>
            <a:ext uri="{FF2B5EF4-FFF2-40B4-BE49-F238E27FC236}">
              <a16:creationId xmlns:a16="http://schemas.microsoft.com/office/drawing/2014/main" id="{00000000-0008-0000-0500-00002F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8" name="Rectangle 8">
          <a:extLst>
            <a:ext uri="{FF2B5EF4-FFF2-40B4-BE49-F238E27FC236}">
              <a16:creationId xmlns:a16="http://schemas.microsoft.com/office/drawing/2014/main" id="{00000000-0008-0000-0500-000030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oneCellAnchor>
    <xdr:from>
      <xdr:col>10</xdr:col>
      <xdr:colOff>409575</xdr:colOff>
      <xdr:row>441</xdr:row>
      <xdr:rowOff>0</xdr:rowOff>
    </xdr:from>
    <xdr:ext cx="190500" cy="266700"/>
    <xdr:sp macro="" textlink="">
      <xdr:nvSpPr>
        <xdr:cNvPr id="49" name="Rectangle 48">
          <a:extLst>
            <a:ext uri="{FF2B5EF4-FFF2-40B4-BE49-F238E27FC236}">
              <a16:creationId xmlns:a16="http://schemas.microsoft.com/office/drawing/2014/main" id="{00000000-0008-0000-0500-000031000000}"/>
            </a:ext>
          </a:extLst>
        </xdr:cNvPr>
        <xdr:cNvSpPr>
          <a:spLocks noChangeArrowheads="1"/>
        </xdr:cNvSpPr>
      </xdr:nvSpPr>
      <xdr:spPr bwMode="auto">
        <a:xfrm>
          <a:off x="10540711" y="296868273"/>
          <a:ext cx="190500" cy="266700"/>
        </a:xfrm>
        <a:prstGeom prst="rect">
          <a:avLst/>
        </a:prstGeom>
        <a:noFill/>
        <a:ln w="9525">
          <a:noFill/>
          <a:miter lim="800000"/>
          <a:headEnd/>
          <a:tailEnd/>
        </a:ln>
      </xdr:spPr>
    </xdr:sp>
    <xdr:clientData/>
  </xdr:oneCellAnchor>
  <xdr:twoCellAnchor>
    <xdr:from>
      <xdr:col>6</xdr:col>
      <xdr:colOff>174625</xdr:colOff>
      <xdr:row>457</xdr:row>
      <xdr:rowOff>436564</xdr:rowOff>
    </xdr:from>
    <xdr:to>
      <xdr:col>14</xdr:col>
      <xdr:colOff>750888</xdr:colOff>
      <xdr:row>467</xdr:row>
      <xdr:rowOff>238126</xdr:rowOff>
    </xdr:to>
    <xdr:graphicFrame macro="">
      <xdr:nvGraphicFramePr>
        <xdr:cNvPr id="50" name="Chart 2">
          <a:extLst>
            <a:ext uri="{FF2B5EF4-FFF2-40B4-BE49-F238E27FC236}">
              <a16:creationId xmlns:a16="http://schemas.microsoft.com/office/drawing/2014/main" id="{00000000-0008-0000-05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261937</xdr:colOff>
      <xdr:row>2</xdr:row>
      <xdr:rowOff>214313</xdr:rowOff>
    </xdr:from>
    <xdr:to>
      <xdr:col>10</xdr:col>
      <xdr:colOff>3881437</xdr:colOff>
      <xdr:row>2</xdr:row>
      <xdr:rowOff>3865015</xdr:rowOff>
    </xdr:to>
    <xdr:pic>
      <xdr:nvPicPr>
        <xdr:cNvPr id="2" name="Picture 1">
          <a:extLst>
            <a:ext uri="{FF2B5EF4-FFF2-40B4-BE49-F238E27FC236}">
              <a16:creationId xmlns:a16="http://schemas.microsoft.com/office/drawing/2014/main" id="{6DAFF572-AB16-4C1E-98A0-6AEE1D4B1D1C}"/>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3623250" y="1095376"/>
          <a:ext cx="3619500" cy="3650702"/>
        </a:xfrm>
        <a:prstGeom prst="rect">
          <a:avLst/>
        </a:prstGeom>
      </xdr:spPr>
    </xdr:pic>
    <xdr:clientData/>
  </xdr:twoCellAnchor>
  <xdr:twoCellAnchor editAs="oneCell">
    <xdr:from>
      <xdr:col>10</xdr:col>
      <xdr:colOff>23814</xdr:colOff>
      <xdr:row>3</xdr:row>
      <xdr:rowOff>285750</xdr:rowOff>
    </xdr:from>
    <xdr:to>
      <xdr:col>10</xdr:col>
      <xdr:colOff>4206876</xdr:colOff>
      <xdr:row>3</xdr:row>
      <xdr:rowOff>2647950</xdr:rowOff>
    </xdr:to>
    <xdr:pic>
      <xdr:nvPicPr>
        <xdr:cNvPr id="4" name="Picture 3">
          <a:extLst>
            <a:ext uri="{FF2B5EF4-FFF2-40B4-BE49-F238E27FC236}">
              <a16:creationId xmlns:a16="http://schemas.microsoft.com/office/drawing/2014/main" id="{47ED50A3-E994-4860-A5A4-BC0DAFC670D2}"/>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3385127" y="5524500"/>
          <a:ext cx="4183062" cy="2362200"/>
        </a:xfrm>
        <a:prstGeom prst="rect">
          <a:avLst/>
        </a:prstGeom>
      </xdr:spPr>
    </xdr:pic>
    <xdr:clientData/>
  </xdr:twoCellAnchor>
  <xdr:twoCellAnchor editAs="oneCell">
    <xdr:from>
      <xdr:col>10</xdr:col>
      <xdr:colOff>152400</xdr:colOff>
      <xdr:row>4</xdr:row>
      <xdr:rowOff>266700</xdr:rowOff>
    </xdr:from>
    <xdr:to>
      <xdr:col>10</xdr:col>
      <xdr:colOff>4114800</xdr:colOff>
      <xdr:row>4</xdr:row>
      <xdr:rowOff>3715836</xdr:rowOff>
    </xdr:to>
    <xdr:pic>
      <xdr:nvPicPr>
        <xdr:cNvPr id="5" name="Picture 4">
          <a:extLst>
            <a:ext uri="{FF2B5EF4-FFF2-40B4-BE49-F238E27FC236}">
              <a16:creationId xmlns:a16="http://schemas.microsoft.com/office/drawing/2014/main" id="{8F93F0D0-4423-4DE9-A953-97DA36AE0B6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3566100" y="9029700"/>
          <a:ext cx="3962400" cy="3449136"/>
        </a:xfrm>
        <a:prstGeom prst="rect">
          <a:avLst/>
        </a:prstGeom>
      </xdr:spPr>
    </xdr:pic>
    <xdr:clientData/>
  </xdr:twoCellAnchor>
  <xdr:twoCellAnchor editAs="oneCell">
    <xdr:from>
      <xdr:col>10</xdr:col>
      <xdr:colOff>190500</xdr:colOff>
      <xdr:row>6</xdr:row>
      <xdr:rowOff>228600</xdr:rowOff>
    </xdr:from>
    <xdr:to>
      <xdr:col>10</xdr:col>
      <xdr:colOff>4152900</xdr:colOff>
      <xdr:row>6</xdr:row>
      <xdr:rowOff>3677736</xdr:rowOff>
    </xdr:to>
    <xdr:pic>
      <xdr:nvPicPr>
        <xdr:cNvPr id="6" name="Picture 5">
          <a:extLst>
            <a:ext uri="{FF2B5EF4-FFF2-40B4-BE49-F238E27FC236}">
              <a16:creationId xmlns:a16="http://schemas.microsoft.com/office/drawing/2014/main" id="{E0B1AC0D-350D-4CD9-9DBA-53BA4ED783DE}"/>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3604200" y="12915900"/>
          <a:ext cx="3962400" cy="3449136"/>
        </a:xfrm>
        <a:prstGeom prst="rect">
          <a:avLst/>
        </a:prstGeom>
      </xdr:spPr>
    </xdr:pic>
    <xdr:clientData/>
  </xdr:twoCellAnchor>
  <xdr:twoCellAnchor editAs="oneCell">
    <xdr:from>
      <xdr:col>10</xdr:col>
      <xdr:colOff>381001</xdr:colOff>
      <xdr:row>7</xdr:row>
      <xdr:rowOff>457200</xdr:rowOff>
    </xdr:from>
    <xdr:to>
      <xdr:col>10</xdr:col>
      <xdr:colOff>3848101</xdr:colOff>
      <xdr:row>7</xdr:row>
      <xdr:rowOff>2415092</xdr:rowOff>
    </xdr:to>
    <xdr:pic>
      <xdr:nvPicPr>
        <xdr:cNvPr id="7" name="Picture 6">
          <a:extLst>
            <a:ext uri="{FF2B5EF4-FFF2-40B4-BE49-F238E27FC236}">
              <a16:creationId xmlns:a16="http://schemas.microsoft.com/office/drawing/2014/main" id="{A2DB038C-C688-4C21-88E1-97EBCD49F705}"/>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33794701" y="17030700"/>
          <a:ext cx="3467100" cy="1957892"/>
        </a:xfrm>
        <a:prstGeom prst="rect">
          <a:avLst/>
        </a:prstGeom>
      </xdr:spPr>
    </xdr:pic>
    <xdr:clientData/>
  </xdr:twoCellAnchor>
  <xdr:twoCellAnchor editAs="oneCell">
    <xdr:from>
      <xdr:col>10</xdr:col>
      <xdr:colOff>190501</xdr:colOff>
      <xdr:row>8</xdr:row>
      <xdr:rowOff>457201</xdr:rowOff>
    </xdr:from>
    <xdr:to>
      <xdr:col>10</xdr:col>
      <xdr:colOff>4103688</xdr:colOff>
      <xdr:row>8</xdr:row>
      <xdr:rowOff>2667001</xdr:rowOff>
    </xdr:to>
    <xdr:pic>
      <xdr:nvPicPr>
        <xdr:cNvPr id="8" name="Picture 7">
          <a:extLst>
            <a:ext uri="{FF2B5EF4-FFF2-40B4-BE49-F238E27FC236}">
              <a16:creationId xmlns:a16="http://schemas.microsoft.com/office/drawing/2014/main" id="{08581054-25F4-4D46-982A-EB66CFE7C29D}"/>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3604201" y="20459701"/>
          <a:ext cx="3913187" cy="2209800"/>
        </a:xfrm>
        <a:prstGeom prst="rect">
          <a:avLst/>
        </a:prstGeom>
      </xdr:spPr>
    </xdr:pic>
    <xdr:clientData/>
  </xdr:twoCellAnchor>
  <xdr:twoCellAnchor editAs="oneCell">
    <xdr:from>
      <xdr:col>10</xdr:col>
      <xdr:colOff>95249</xdr:colOff>
      <xdr:row>17</xdr:row>
      <xdr:rowOff>138111</xdr:rowOff>
    </xdr:from>
    <xdr:to>
      <xdr:col>10</xdr:col>
      <xdr:colOff>4252912</xdr:colOff>
      <xdr:row>17</xdr:row>
      <xdr:rowOff>1500186</xdr:rowOff>
    </xdr:to>
    <xdr:pic>
      <xdr:nvPicPr>
        <xdr:cNvPr id="9" name="Picture 8">
          <a:extLst>
            <a:ext uri="{FF2B5EF4-FFF2-40B4-BE49-F238E27FC236}">
              <a16:creationId xmlns:a16="http://schemas.microsoft.com/office/drawing/2014/main" id="{7E86C8D2-845F-421B-B624-2C30582EAD8D}"/>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33956624" y="35666361"/>
          <a:ext cx="4157663" cy="1362075"/>
        </a:xfrm>
        <a:prstGeom prst="rect">
          <a:avLst/>
        </a:prstGeom>
      </xdr:spPr>
    </xdr:pic>
    <xdr:clientData/>
  </xdr:twoCellAnchor>
  <xdr:twoCellAnchor editAs="oneCell">
    <xdr:from>
      <xdr:col>10</xdr:col>
      <xdr:colOff>228599</xdr:colOff>
      <xdr:row>11</xdr:row>
      <xdr:rowOff>152400</xdr:rowOff>
    </xdr:from>
    <xdr:to>
      <xdr:col>10</xdr:col>
      <xdr:colOff>4229100</xdr:colOff>
      <xdr:row>11</xdr:row>
      <xdr:rowOff>2983523</xdr:rowOff>
    </xdr:to>
    <xdr:pic>
      <xdr:nvPicPr>
        <xdr:cNvPr id="10" name="Picture 9">
          <a:extLst>
            <a:ext uri="{FF2B5EF4-FFF2-40B4-BE49-F238E27FC236}">
              <a16:creationId xmlns:a16="http://schemas.microsoft.com/office/drawing/2014/main" id="{8032C246-C85D-407C-9385-8E5E5CA74D15}"/>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34137599" y="23926800"/>
          <a:ext cx="4000501" cy="2831123"/>
        </a:xfrm>
        <a:prstGeom prst="rect">
          <a:avLst/>
        </a:prstGeom>
      </xdr:spPr>
    </xdr:pic>
    <xdr:clientData/>
  </xdr:twoCellAnchor>
  <xdr:twoCellAnchor editAs="oneCell">
    <xdr:from>
      <xdr:col>10</xdr:col>
      <xdr:colOff>266699</xdr:colOff>
      <xdr:row>12</xdr:row>
      <xdr:rowOff>152400</xdr:rowOff>
    </xdr:from>
    <xdr:to>
      <xdr:col>10</xdr:col>
      <xdr:colOff>4089146</xdr:colOff>
      <xdr:row>12</xdr:row>
      <xdr:rowOff>4000500</xdr:rowOff>
    </xdr:to>
    <xdr:pic>
      <xdr:nvPicPr>
        <xdr:cNvPr id="11" name="Picture 10">
          <a:extLst>
            <a:ext uri="{FF2B5EF4-FFF2-40B4-BE49-F238E27FC236}">
              <a16:creationId xmlns:a16="http://schemas.microsoft.com/office/drawing/2014/main" id="{AB993F41-9C6D-4F84-8B72-7FD7D3BFF8A0}"/>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34175699" y="27089100"/>
          <a:ext cx="3822447" cy="3848100"/>
        </a:xfrm>
        <a:prstGeom prst="rect">
          <a:avLst/>
        </a:prstGeom>
      </xdr:spPr>
    </xdr:pic>
    <xdr:clientData/>
  </xdr:twoCellAnchor>
  <xdr:twoCellAnchor editAs="oneCell">
    <xdr:from>
      <xdr:col>10</xdr:col>
      <xdr:colOff>85724</xdr:colOff>
      <xdr:row>14</xdr:row>
      <xdr:rowOff>157161</xdr:rowOff>
    </xdr:from>
    <xdr:to>
      <xdr:col>10</xdr:col>
      <xdr:colOff>4243387</xdr:colOff>
      <xdr:row>14</xdr:row>
      <xdr:rowOff>1519236</xdr:rowOff>
    </xdr:to>
    <xdr:pic>
      <xdr:nvPicPr>
        <xdr:cNvPr id="12" name="Picture 11">
          <a:extLst>
            <a:ext uri="{FF2B5EF4-FFF2-40B4-BE49-F238E27FC236}">
              <a16:creationId xmlns:a16="http://schemas.microsoft.com/office/drawing/2014/main" id="{1A285F8D-DC07-449C-810D-5EBD234680D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33994724" y="33304161"/>
          <a:ext cx="4157663" cy="1362075"/>
        </a:xfrm>
        <a:prstGeom prst="rect">
          <a:avLst/>
        </a:prstGeom>
      </xdr:spPr>
    </xdr:pic>
    <xdr:clientData/>
  </xdr:twoCellAnchor>
  <xdr:twoCellAnchor editAs="oneCell">
    <xdr:from>
      <xdr:col>10</xdr:col>
      <xdr:colOff>304800</xdr:colOff>
      <xdr:row>13</xdr:row>
      <xdr:rowOff>228600</xdr:rowOff>
    </xdr:from>
    <xdr:to>
      <xdr:col>10</xdr:col>
      <xdr:colOff>3771900</xdr:colOff>
      <xdr:row>13</xdr:row>
      <xdr:rowOff>2186492</xdr:rowOff>
    </xdr:to>
    <xdr:pic>
      <xdr:nvPicPr>
        <xdr:cNvPr id="13" name="Picture 12">
          <a:extLst>
            <a:ext uri="{FF2B5EF4-FFF2-40B4-BE49-F238E27FC236}">
              <a16:creationId xmlns:a16="http://schemas.microsoft.com/office/drawing/2014/main" id="{4886C81B-E2E4-4DCE-9C45-30455634F7D8}"/>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34213800" y="31623000"/>
          <a:ext cx="3467100" cy="19578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117475</xdr:colOff>
      <xdr:row>22</xdr:row>
      <xdr:rowOff>111125</xdr:rowOff>
    </xdr:from>
    <xdr:to>
      <xdr:col>9</xdr:col>
      <xdr:colOff>244475</xdr:colOff>
      <xdr:row>37</xdr:row>
      <xdr:rowOff>92075</xdr:rowOff>
    </xdr:to>
    <xdr:graphicFrame macro="">
      <xdr:nvGraphicFramePr>
        <xdr:cNvPr id="3" name="Chart 2">
          <a:extLst>
            <a:ext uri="{FF2B5EF4-FFF2-40B4-BE49-F238E27FC236}">
              <a16:creationId xmlns:a16="http://schemas.microsoft.com/office/drawing/2014/main" id="{B51F5761-A04C-6DF0-648E-642521D2C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504825</xdr:colOff>
      <xdr:row>18</xdr:row>
      <xdr:rowOff>163285</xdr:rowOff>
    </xdr:from>
    <xdr:to>
      <xdr:col>17</xdr:col>
      <xdr:colOff>209097</xdr:colOff>
      <xdr:row>29</xdr:row>
      <xdr:rowOff>58511</xdr:rowOff>
    </xdr:to>
    <xdr:graphicFrame macro="">
      <xdr:nvGraphicFramePr>
        <xdr:cNvPr id="2" name="Chart 1">
          <a:extLst>
            <a:ext uri="{FF2B5EF4-FFF2-40B4-BE49-F238E27FC236}">
              <a16:creationId xmlns:a16="http://schemas.microsoft.com/office/drawing/2014/main" id="{64DC93D9-89BB-EB7E-D20B-BC86A3A52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240394</xdr:colOff>
      <xdr:row>32</xdr:row>
      <xdr:rowOff>34471</xdr:rowOff>
    </xdr:from>
    <xdr:to>
      <xdr:col>12</xdr:col>
      <xdr:colOff>412751</xdr:colOff>
      <xdr:row>47</xdr:row>
      <xdr:rowOff>56242</xdr:rowOff>
    </xdr:to>
    <xdr:graphicFrame macro="">
      <xdr:nvGraphicFramePr>
        <xdr:cNvPr id="3" name="Chart 2">
          <a:extLst>
            <a:ext uri="{FF2B5EF4-FFF2-40B4-BE49-F238E27FC236}">
              <a16:creationId xmlns:a16="http://schemas.microsoft.com/office/drawing/2014/main" id="{B7B0018D-A35B-FE14-25C6-FA6B4EF3F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838200</xdr:colOff>
      <xdr:row>85</xdr:row>
      <xdr:rowOff>0</xdr:rowOff>
    </xdr:from>
    <xdr:to>
      <xdr:col>3</xdr:col>
      <xdr:colOff>914400</xdr:colOff>
      <xdr:row>85</xdr:row>
      <xdr:rowOff>200025</xdr:rowOff>
    </xdr:to>
    <xdr:sp macro="" textlink="">
      <xdr:nvSpPr>
        <xdr:cNvPr id="2" name="Text Box 3">
          <a:extLst>
            <a:ext uri="{FF2B5EF4-FFF2-40B4-BE49-F238E27FC236}">
              <a16:creationId xmlns:a16="http://schemas.microsoft.com/office/drawing/2014/main" id="{00000000-0008-0000-0800-000002000000}"/>
            </a:ext>
          </a:extLst>
        </xdr:cNvPr>
        <xdr:cNvSpPr txBox="1">
          <a:spLocks noChangeArrowheads="1"/>
        </xdr:cNvSpPr>
      </xdr:nvSpPr>
      <xdr:spPr bwMode="auto">
        <a:xfrm>
          <a:off x="2440641" y="15441706"/>
          <a:ext cx="76200" cy="200025"/>
        </a:xfrm>
        <a:prstGeom prst="rect">
          <a:avLst/>
        </a:prstGeom>
        <a:noFill/>
        <a:ln w="9525">
          <a:noFill/>
          <a:miter lim="800000"/>
          <a:headEnd/>
          <a:tailEnd/>
        </a:ln>
      </xdr:spPr>
    </xdr:sp>
    <xdr:clientData/>
  </xdr:twoCellAnchor>
  <xdr:twoCellAnchor editAs="oneCell">
    <xdr:from>
      <xdr:col>9</xdr:col>
      <xdr:colOff>357189</xdr:colOff>
      <xdr:row>0</xdr:row>
      <xdr:rowOff>95250</xdr:rowOff>
    </xdr:from>
    <xdr:to>
      <xdr:col>11</xdr:col>
      <xdr:colOff>404811</xdr:colOff>
      <xdr:row>2</xdr:row>
      <xdr:rowOff>130969</xdr:rowOff>
    </xdr:to>
    <xdr:pic>
      <xdr:nvPicPr>
        <xdr:cNvPr id="3" name="Gambar 3" descr="cid:image001.png@01D38AFC.8CA8A2D0">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r:link="rId2" cstate="email">
          <a:extLst>
            <a:ext uri="{28A0092B-C50C-407E-A947-70E740481C1C}">
              <a14:useLocalDpi xmlns:a14="http://schemas.microsoft.com/office/drawing/2010/main"/>
            </a:ext>
          </a:extLst>
        </a:blip>
        <a:srcRect/>
        <a:stretch>
          <a:fillRect/>
        </a:stretch>
      </xdr:blipFill>
      <xdr:spPr bwMode="auto">
        <a:xfrm>
          <a:off x="8408989" y="95250"/>
          <a:ext cx="993773" cy="492919"/>
        </a:xfrm>
        <a:prstGeom prst="rect">
          <a:avLst/>
        </a:prstGeom>
        <a:noFill/>
        <a:ln>
          <a:noFill/>
        </a:ln>
      </xdr:spPr>
    </xdr:pic>
    <xdr:clientData/>
  </xdr:twoCellAnchor>
  <xdr:twoCellAnchor editAs="oneCell">
    <xdr:from>
      <xdr:col>34</xdr:col>
      <xdr:colOff>257736</xdr:colOff>
      <xdr:row>10</xdr:row>
      <xdr:rowOff>100853</xdr:rowOff>
    </xdr:from>
    <xdr:to>
      <xdr:col>40</xdr:col>
      <xdr:colOff>391085</xdr:colOff>
      <xdr:row>19</xdr:row>
      <xdr:rowOff>2241</xdr:rowOff>
    </xdr:to>
    <xdr:pic>
      <xdr:nvPicPr>
        <xdr:cNvPr id="18" name="Picture 17">
          <a:extLst>
            <a:ext uri="{FF2B5EF4-FFF2-40B4-BE49-F238E27FC236}">
              <a16:creationId xmlns:a16="http://schemas.microsoft.com/office/drawing/2014/main" id="{D52BAA8E-FA11-921F-8753-D24B35EFE5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rcRect/>
        <a:stretch>
          <a:fillRect/>
        </a:stretch>
      </xdr:blipFill>
      <xdr:spPr bwMode="auto">
        <a:xfrm>
          <a:off x="22456589" y="2342029"/>
          <a:ext cx="3629585" cy="1817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542925</xdr:colOff>
      <xdr:row>21</xdr:row>
      <xdr:rowOff>152399</xdr:rowOff>
    </xdr:from>
    <xdr:to>
      <xdr:col>11</xdr:col>
      <xdr:colOff>533400</xdr:colOff>
      <xdr:row>31</xdr:row>
      <xdr:rowOff>202406</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40</xdr:row>
      <xdr:rowOff>152400</xdr:rowOff>
    </xdr:from>
    <xdr:to>
      <xdr:col>17</xdr:col>
      <xdr:colOff>212912</xdr:colOff>
      <xdr:row>55</xdr:row>
      <xdr:rowOff>11206</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600075</xdr:colOff>
      <xdr:row>61</xdr:row>
      <xdr:rowOff>19050</xdr:rowOff>
    </xdr:from>
    <xdr:to>
      <xdr:col>12</xdr:col>
      <xdr:colOff>0</xdr:colOff>
      <xdr:row>87</xdr:row>
      <xdr:rowOff>142875</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90</xdr:row>
      <xdr:rowOff>19050</xdr:rowOff>
    </xdr:from>
    <xdr:to>
      <xdr:col>12</xdr:col>
      <xdr:colOff>0</xdr:colOff>
      <xdr:row>99</xdr:row>
      <xdr:rowOff>133350</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102</xdr:row>
      <xdr:rowOff>19050</xdr:rowOff>
    </xdr:from>
    <xdr:to>
      <xdr:col>12</xdr:col>
      <xdr:colOff>0</xdr:colOff>
      <xdr:row>106</xdr:row>
      <xdr:rowOff>152400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19050</xdr:colOff>
      <xdr:row>109</xdr:row>
      <xdr:rowOff>0</xdr:rowOff>
    </xdr:from>
    <xdr:to>
      <xdr:col>12</xdr:col>
      <xdr:colOff>0</xdr:colOff>
      <xdr:row>118</xdr:row>
      <xdr:rowOff>104775</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121</xdr:row>
      <xdr:rowOff>0</xdr:rowOff>
    </xdr:from>
    <xdr:to>
      <xdr:col>12</xdr:col>
      <xdr:colOff>0</xdr:colOff>
      <xdr:row>130</xdr:row>
      <xdr:rowOff>0</xdr:rowOff>
    </xdr:to>
    <xdr:graphicFrame macro="">
      <xdr:nvGraphicFramePr>
        <xdr:cNvPr id="8" name="Chart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555812</xdr:colOff>
      <xdr:row>133</xdr:row>
      <xdr:rowOff>150346</xdr:rowOff>
    </xdr:from>
    <xdr:to>
      <xdr:col>11</xdr:col>
      <xdr:colOff>546287</xdr:colOff>
      <xdr:row>144</xdr:row>
      <xdr:rowOff>131296</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558800</xdr:colOff>
      <xdr:row>147</xdr:row>
      <xdr:rowOff>138206</xdr:rowOff>
    </xdr:from>
    <xdr:to>
      <xdr:col>11</xdr:col>
      <xdr:colOff>539750</xdr:colOff>
      <xdr:row>156</xdr:row>
      <xdr:rowOff>33431</xdr:rowOff>
    </xdr:to>
    <xdr:graphicFrame macro="">
      <xdr:nvGraphicFramePr>
        <xdr:cNvPr id="10" name="Chart 9">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519206</xdr:colOff>
      <xdr:row>158</xdr:row>
      <xdr:rowOff>40341</xdr:rowOff>
    </xdr:from>
    <xdr:to>
      <xdr:col>11</xdr:col>
      <xdr:colOff>519206</xdr:colOff>
      <xdr:row>166</xdr:row>
      <xdr:rowOff>30816</xdr:rowOff>
    </xdr:to>
    <xdr:graphicFrame macro="">
      <xdr:nvGraphicFramePr>
        <xdr:cNvPr id="11" name="Chart 10">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522381</xdr:colOff>
      <xdr:row>167</xdr:row>
      <xdr:rowOff>105896</xdr:rowOff>
    </xdr:from>
    <xdr:to>
      <xdr:col>11</xdr:col>
      <xdr:colOff>503331</xdr:colOff>
      <xdr:row>182</xdr:row>
      <xdr:rowOff>63313</xdr:rowOff>
    </xdr:to>
    <xdr:graphicFrame macro="">
      <xdr:nvGraphicFramePr>
        <xdr:cNvPr id="12" name="Chart 11">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530038</xdr:colOff>
      <xdr:row>185</xdr:row>
      <xdr:rowOff>17930</xdr:rowOff>
    </xdr:from>
    <xdr:to>
      <xdr:col>11</xdr:col>
      <xdr:colOff>535081</xdr:colOff>
      <xdr:row>199</xdr:row>
      <xdr:rowOff>8405</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508187</xdr:colOff>
      <xdr:row>201</xdr:row>
      <xdr:rowOff>17930</xdr:rowOff>
    </xdr:from>
    <xdr:to>
      <xdr:col>11</xdr:col>
      <xdr:colOff>498662</xdr:colOff>
      <xdr:row>220</xdr:row>
      <xdr:rowOff>127000</xdr:rowOff>
    </xdr:to>
    <xdr:graphicFrame macro="">
      <xdr:nvGraphicFramePr>
        <xdr:cNvPr id="14" name="Chart 13">
          <a:extLst>
            <a:ext uri="{FF2B5EF4-FFF2-40B4-BE49-F238E27FC236}">
              <a16:creationId xmlns:a16="http://schemas.microsoft.com/office/drawing/2014/main" id="{00000000-0008-0000-09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597087</xdr:colOff>
      <xdr:row>222</xdr:row>
      <xdr:rowOff>143623</xdr:rowOff>
    </xdr:from>
    <xdr:to>
      <xdr:col>11</xdr:col>
      <xdr:colOff>578037</xdr:colOff>
      <xdr:row>240</xdr:row>
      <xdr:rowOff>101040</xdr:rowOff>
    </xdr:to>
    <xdr:graphicFrame macro="">
      <xdr:nvGraphicFramePr>
        <xdr:cNvPr id="15" name="Chart 14">
          <a:extLst>
            <a:ext uri="{FF2B5EF4-FFF2-40B4-BE49-F238E27FC236}">
              <a16:creationId xmlns:a16="http://schemas.microsoft.com/office/drawing/2014/main" id="{00000000-0008-0000-09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9525</xdr:colOff>
      <xdr:row>242</xdr:row>
      <xdr:rowOff>19050</xdr:rowOff>
    </xdr:from>
    <xdr:to>
      <xdr:col>11</xdr:col>
      <xdr:colOff>590550</xdr:colOff>
      <xdr:row>252</xdr:row>
      <xdr:rowOff>19050</xdr:rowOff>
    </xdr:to>
    <xdr:graphicFrame macro="">
      <xdr:nvGraphicFramePr>
        <xdr:cNvPr id="16" name="Chart 15">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0</xdr:colOff>
      <xdr:row>254</xdr:row>
      <xdr:rowOff>9525</xdr:rowOff>
    </xdr:from>
    <xdr:to>
      <xdr:col>11</xdr:col>
      <xdr:colOff>581025</xdr:colOff>
      <xdr:row>265</xdr:row>
      <xdr:rowOff>19050</xdr:rowOff>
    </xdr:to>
    <xdr:graphicFrame macro="">
      <xdr:nvGraphicFramePr>
        <xdr:cNvPr id="17" name="Chart 16">
          <a:extLst>
            <a:ext uri="{FF2B5EF4-FFF2-40B4-BE49-F238E27FC236}">
              <a16:creationId xmlns:a16="http://schemas.microsoft.com/office/drawing/2014/main" id="{00000000-0008-0000-09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600075</xdr:colOff>
      <xdr:row>267</xdr:row>
      <xdr:rowOff>9525</xdr:rowOff>
    </xdr:from>
    <xdr:to>
      <xdr:col>11</xdr:col>
      <xdr:colOff>590550</xdr:colOff>
      <xdr:row>277</xdr:row>
      <xdr:rowOff>0</xdr:rowOff>
    </xdr:to>
    <xdr:graphicFrame macro="">
      <xdr:nvGraphicFramePr>
        <xdr:cNvPr id="18" name="Chart 17">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547688</xdr:colOff>
      <xdr:row>9</xdr:row>
      <xdr:rowOff>214313</xdr:rowOff>
    </xdr:from>
    <xdr:to>
      <xdr:col>11</xdr:col>
      <xdr:colOff>576263</xdr:colOff>
      <xdr:row>20</xdr:row>
      <xdr:rowOff>23812</xdr:rowOff>
    </xdr:to>
    <xdr:graphicFrame macro="">
      <xdr:nvGraphicFramePr>
        <xdr:cNvPr id="19" name="Chart 2">
          <a:extLst>
            <a:ext uri="{FF2B5EF4-FFF2-40B4-BE49-F238E27FC236}">
              <a16:creationId xmlns:a16="http://schemas.microsoft.com/office/drawing/2014/main" id="{00000000-0008-0000-09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xdr:col>
      <xdr:colOff>476250</xdr:colOff>
      <xdr:row>0</xdr:row>
      <xdr:rowOff>95250</xdr:rowOff>
    </xdr:from>
    <xdr:to>
      <xdr:col>5</xdr:col>
      <xdr:colOff>190498</xdr:colOff>
      <xdr:row>3</xdr:row>
      <xdr:rowOff>83344</xdr:rowOff>
    </xdr:to>
    <xdr:pic>
      <xdr:nvPicPr>
        <xdr:cNvPr id="20" name="Gambar 3" descr="cid:image001.png@01D38AFC.8CA8A2D0">
          <a:extLst>
            <a:ext uri="{FF2B5EF4-FFF2-40B4-BE49-F238E27FC236}">
              <a16:creationId xmlns:a16="http://schemas.microsoft.com/office/drawing/2014/main" id="{00000000-0008-0000-0900-000014000000}"/>
            </a:ext>
          </a:extLst>
        </xdr:cNvPr>
        <xdr:cNvPicPr/>
      </xdr:nvPicPr>
      <xdr:blipFill>
        <a:blip xmlns:r="http://schemas.openxmlformats.org/officeDocument/2006/relationships" r:embed="rId19" r:link="rId20" cstate="email">
          <a:extLst>
            <a:ext uri="{28A0092B-C50C-407E-A947-70E740481C1C}">
              <a14:useLocalDpi xmlns:a14="http://schemas.microsoft.com/office/drawing/2010/main"/>
            </a:ext>
          </a:extLst>
        </a:blip>
        <a:srcRect/>
        <a:stretch>
          <a:fillRect/>
        </a:stretch>
      </xdr:blipFill>
      <xdr:spPr bwMode="auto">
        <a:xfrm>
          <a:off x="4254500" y="95250"/>
          <a:ext cx="933448" cy="464344"/>
        </a:xfrm>
        <a:prstGeom prst="rect">
          <a:avLst/>
        </a:prstGeom>
        <a:noFill/>
        <a:ln>
          <a:noFill/>
        </a:ln>
      </xdr:spPr>
    </xdr:pic>
    <xdr:clientData/>
  </xdr:twoCellAnchor>
  <xdr:twoCellAnchor>
    <xdr:from>
      <xdr:col>4</xdr:col>
      <xdr:colOff>1</xdr:colOff>
      <xdr:row>34</xdr:row>
      <xdr:rowOff>23813</xdr:rowOff>
    </xdr:from>
    <xdr:to>
      <xdr:col>11</xdr:col>
      <xdr:colOff>597695</xdr:colOff>
      <xdr:row>39</xdr:row>
      <xdr:rowOff>121444</xdr:rowOff>
    </xdr:to>
    <xdr:graphicFrame macro="">
      <xdr:nvGraphicFramePr>
        <xdr:cNvPr id="21" name="Chart 1">
          <a:extLst>
            <a:ext uri="{FF2B5EF4-FFF2-40B4-BE49-F238E27FC236}">
              <a16:creationId xmlns:a16="http://schemas.microsoft.com/office/drawing/2014/main" id="{00000000-0008-0000-09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504263</xdr:colOff>
      <xdr:row>6</xdr:row>
      <xdr:rowOff>242453</xdr:rowOff>
    </xdr:from>
    <xdr:to>
      <xdr:col>37</xdr:col>
      <xdr:colOff>51955</xdr:colOff>
      <xdr:row>11</xdr:row>
      <xdr:rowOff>161364</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133350</xdr:colOff>
      <xdr:row>21</xdr:row>
      <xdr:rowOff>76200</xdr:rowOff>
    </xdr:from>
    <xdr:to>
      <xdr:col>22</xdr:col>
      <xdr:colOff>590550</xdr:colOff>
      <xdr:row>35</xdr:row>
      <xdr:rowOff>152400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257530</xdr:colOff>
      <xdr:row>33</xdr:row>
      <xdr:rowOff>152341</xdr:rowOff>
    </xdr:from>
    <xdr:to>
      <xdr:col>6</xdr:col>
      <xdr:colOff>3250747</xdr:colOff>
      <xdr:row>52</xdr:row>
      <xdr:rowOff>157310</xdr:rowOff>
    </xdr:to>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ogisticbimo\SHE\Users\suparli\AppData\Local\Microsoft\Windows\Temporary%20Internet%20Files\Content.Outlook\LN9KIN3D\CAR%20PTBC_Master%20Data%20LMO-28%20April%202014%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gisticbimo\SHE\Users\wiena.pasaribu\AppData\Local\Microsoft\Windows\Temporary%20Internet%20Files\Content.Outlook\KUB4Z7OL\Incident_Accident_LMO_Juni%20201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f-nas01-svr\Safety%20&amp;%20Health$\Share%20Folder\2013%20BMO%201\Monitoring%20Investigasi%20upd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f-nas01-svr\Safety%20&amp;%20Health$\Share%20Folder\1.%20BMO%20I\2015\1.%20Monthly%20Report\7.%20Juli\Monitoring%20Investigasi%20BMO-1_May%202015%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ogisticbimo\SHE\Users\suparli\AppData\Roaming\Microsoft\Excel\Monitoring%20Investigas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ogisticbimo\SHE\PT%20BERAU%20COAL\PT%20Berau%20Coal_HO\INVESTIGASI\4.%20LMO\2013\Daily%20Report_LMO\New%20folder\-CAR%2024%20Maret%20201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SAPTA%20NIRBHAYA%20MACO\01_Manajemen%20dan%20Kepemimpinan\01_G_Tujuan,%20Sasaran%20dan%20Program\01_G_03_Pelaporan%20Kinerja%20KPLM\01_G_03_03_Laporan%20Bulanan\01_Internal\03_2022\01_Jan\02_Catatan%20&amp;%20Analisa%20Insiden%202022%20MA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SI"/>
      <sheetName val="CAR"/>
      <sheetName val="Insiden"/>
      <sheetName val="Aktifitas"/>
      <sheetName val="Utilisasi LV"/>
      <sheetName val="Compatibility Report"/>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si"/>
      <sheetName val="June"/>
      <sheetName val="Sum"/>
      <sheetName val="For Report_GRAPH"/>
    </sheetNames>
    <sheetDataSet>
      <sheetData sheetId="0" refreshError="1"/>
      <sheetData sheetId="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
      <sheetName val="For Report_GRAPH"/>
      <sheetName val="Presentasi Open Close Report"/>
      <sheetName val="Lentingan Batu"/>
      <sheetName val="For Meeting"/>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
      <sheetName val="CLC"/>
      <sheetName val="For Report_GRAPH"/>
      <sheetName val="SITE"/>
      <sheetName val="Summary SITE"/>
      <sheetName val="All Kontraktor"/>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
      <sheetName val="For Report_GRAPH"/>
      <sheetName val="Presentasi Open Close Report"/>
      <sheetName val="Lentingan Batu"/>
      <sheetName val="For Meeting"/>
      <sheetName val="CLC"/>
      <sheetName val="SITE"/>
      <sheetName val="Summary SITE"/>
      <sheetName val="All Kontraktor"/>
      <sheetName val="Sheet1"/>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zard Report &amp; CAR"/>
      <sheetName val="Accident"/>
      <sheetName val="24 Maret 2013"/>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NCIAN KECELAKAAN"/>
      <sheetName val="ANALISA INSIDEN"/>
      <sheetName val="Grafik"/>
    </sheetNames>
    <sheetDataSet>
      <sheetData sheetId="0"/>
      <sheetData sheetId="1"/>
      <sheetData sheetId="2">
        <row r="13">
          <cell r="A13" t="str">
            <v>SIS</v>
          </cell>
          <cell r="B13">
            <v>11</v>
          </cell>
        </row>
        <row r="14">
          <cell r="A14" t="str">
            <v>SKB</v>
          </cell>
          <cell r="B14">
            <v>0</v>
          </cell>
        </row>
        <row r="15">
          <cell r="A15" t="str">
            <v>BMC</v>
          </cell>
          <cell r="B15">
            <v>1</v>
          </cell>
        </row>
        <row r="16">
          <cell r="A16" t="str">
            <v>UT</v>
          </cell>
          <cell r="B16">
            <v>0</v>
          </cell>
        </row>
        <row r="17">
          <cell r="A17" t="str">
            <v>UTE PATRIA</v>
          </cell>
          <cell r="B17">
            <v>0</v>
          </cell>
        </row>
        <row r="18">
          <cell r="A18" t="str">
            <v>KMK</v>
          </cell>
          <cell r="B18">
            <v>0</v>
          </cell>
        </row>
        <row r="19">
          <cell r="A19" t="str">
            <v>LAINYA</v>
          </cell>
          <cell r="B19">
            <v>0</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he.Maco\AppData\Local\Microsoft\Windows\INetCache\Content.Outlook\MLY4X2DD\01_Monitoring%20Rekomendasi%20Insiden%20MACO%202022%20(0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 Maco" refreshedDate="44455.748410069442" createdVersion="6" refreshedVersion="6" minRefreshableVersion="3" recordCount="42" xr:uid="{00000000-000A-0000-FFFF-FFFF00000000}">
  <cacheSource type="worksheet">
    <worksheetSource ref="A1:N43" sheet="Rekomendasi Insiden Fatal" r:id="rId2"/>
  </cacheSource>
  <cacheFields count="14">
    <cacheField name="Tanggal" numFmtId="169">
      <sharedItems containsNonDate="0" containsDate="1" containsString="0" containsBlank="1" minDate="2021-06-28T00:00:00" maxDate="2021-06-29T00:00:00"/>
    </cacheField>
    <cacheField name="Hari" numFmtId="167">
      <sharedItems containsBlank="1"/>
    </cacheField>
    <cacheField name="Jam" numFmtId="168">
      <sharedItems containsBlank="1"/>
    </cacheField>
    <cacheField name="Perusahaan" numFmtId="168">
      <sharedItems containsBlank="1"/>
    </cacheField>
    <cacheField name="Lokasi" numFmtId="0">
      <sharedItems containsBlank="1"/>
    </cacheField>
    <cacheField name="Jenis Insiden" numFmtId="168">
      <sharedItems containsBlank="1"/>
    </cacheField>
    <cacheField name="Insiden" numFmtId="0">
      <sharedItems containsBlank="1"/>
    </cacheField>
    <cacheField name="Kronologi" numFmtId="168">
      <sharedItems containsBlank="1"/>
    </cacheField>
    <cacheField name="Akar Penyebab" numFmtId="0">
      <sharedItems containsBlank="1" longText="1"/>
    </cacheField>
    <cacheField name="Perbaikan" numFmtId="0">
      <sharedItems containsBlank="1" longText="1"/>
    </cacheField>
    <cacheField name="PIC" numFmtId="167">
      <sharedItems containsBlank="1" count="9">
        <m/>
        <s v="CCH"/>
        <s v="KTT"/>
        <s v="Roery"/>
        <s v="Bambang"/>
        <s v="Benny P"/>
        <s v="Aljary"/>
        <s v="Bambang &amp; Aljary"/>
        <s v="Fadly"/>
      </sharedItems>
    </cacheField>
    <cacheField name="Due Date" numFmtId="0">
      <sharedItems containsNonDate="0" containsDate="1" containsString="0" containsBlank="1" minDate="2021-07-18T00:00:00" maxDate="2021-10-01T00:00:00"/>
    </cacheField>
    <cacheField name="Evidence" numFmtId="0">
      <sharedItems containsBlank="1"/>
    </cacheField>
    <cacheField name="Status" numFmtId="167">
      <sharedItems containsBlank="1" count="5">
        <m/>
        <s v="Closed"/>
        <s v="Open"/>
        <s v="Progress"/>
        <s v="Overdu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a Adnyana" refreshedDate="44781.432400578706" createdVersion="8" refreshedVersion="8" minRefreshableVersion="3" recordCount="58" xr:uid="{00000000-000A-0000-FFFF-FFFF01000000}">
  <cacheSource type="worksheet">
    <worksheetSource ref="A2:V60" sheet="Sheet9"/>
  </cacheSource>
  <cacheFields count="20">
    <cacheField name="No" numFmtId="0">
      <sharedItems containsSemiMixedTypes="0" containsString="0" containsNumber="1" containsInteger="1" minValue="1" maxValue="58"/>
    </cacheField>
    <cacheField name="Tahun " numFmtId="0">
      <sharedItems containsSemiMixedTypes="0" containsString="0" containsNumber="1" containsInteger="1" minValue="2022" maxValue="2022"/>
    </cacheField>
    <cacheField name="Jobsite" numFmtId="0">
      <sharedItems/>
    </cacheField>
    <cacheField name="Perusahaan" numFmtId="0">
      <sharedItems/>
    </cacheField>
    <cacheField name="Bulan" numFmtId="17">
      <sharedItems containsSemiMixedTypes="0" containsNonDate="0" containsDate="1" containsString="0" minDate="2022-01-01T00:00:00" maxDate="2022-07-12T00:00:00"/>
    </cacheField>
    <cacheField name="VAL" numFmtId="0">
      <sharedItems/>
    </cacheField>
    <cacheField name="Tanggal " numFmtId="0">
      <sharedItems containsSemiMixedTypes="0" containsNonDate="0" containsDate="1" containsString="0" minDate="2022-01-02T00:00:00" maxDate="2022-07-29T00:00:00"/>
    </cacheField>
    <cacheField name="Hari " numFmtId="0">
      <sharedItems/>
    </cacheField>
    <cacheField name="Pukul " numFmtId="0">
      <sharedItems/>
    </cacheField>
    <cacheField name="Lokasi " numFmtId="0">
      <sharedItems/>
    </cacheField>
    <cacheField name="Nomor Insiden " numFmtId="0">
      <sharedItems/>
    </cacheField>
    <cacheField name="Kategori Insiden " numFmtId="0">
      <sharedItems count="4">
        <s v="NM"/>
        <s v="PD"/>
        <s v="EI"/>
        <s v="MTI"/>
      </sharedItems>
    </cacheField>
    <cacheField name="JENIS INSIDEN " numFmtId="0">
      <sharedItems/>
    </cacheField>
    <cacheField name="Insiden" numFmtId="0">
      <sharedItems/>
    </cacheField>
    <cacheField name="PJA Terlibat " numFmtId="0">
      <sharedItems/>
    </cacheField>
    <cacheField name="Area PJA " numFmtId="0">
      <sharedItems/>
    </cacheField>
    <cacheField name="JENIS UNIT " numFmtId="0">
      <sharedItems/>
    </cacheField>
    <cacheField name="JENIS INSIDEN 2" numFmtId="0">
      <sharedItems containsBlank="1"/>
    </cacheField>
    <cacheField name="LOKASI INSIDEN " numFmtId="0">
      <sharedItems count="14">
        <s v="SHR"/>
        <s v="PORT"/>
        <s v="CHR"/>
        <s v="LNR"/>
        <s v="PIT NORTH"/>
        <s v="ROM RAW"/>
        <s v="AREA PENCUCIAN "/>
        <s v="WATERFILL"/>
        <s v="WORKSHOP"/>
        <s v="MINE ROAD ACCESS"/>
        <s v="DISPOSAL"/>
        <s v="MESS "/>
        <s v="CSA TRANSKON"/>
        <s v="ROM PIT"/>
      </sharedItems>
    </cacheField>
    <cacheField name="LOKASI" numFmtId="0">
      <sharedItems count="4">
        <s v="HAULING "/>
        <s v="MINING"/>
        <s v="WORKSHOP"/>
        <s v="MES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a Adnyana" refreshedDate="44790.926194560183" createdVersion="8" refreshedVersion="8" minRefreshableVersion="3" recordCount="56" xr:uid="{6CE7927B-D97B-4009-B8A8-0648244D9FAB}">
  <cacheSource type="worksheet">
    <worksheetSource ref="S1:V57" sheet="BASIC CAUSE INSIDEN"/>
  </cacheSource>
  <cacheFields count="8">
    <cacheField name="DETAIL AREA" numFmtId="0">
      <sharedItems/>
    </cacheField>
    <cacheField name="Nomor Insiden " numFmtId="0">
      <sharedItems/>
    </cacheField>
    <cacheField name="Kategori Insiden " numFmtId="0">
      <sharedItems count="4">
        <s v="NEARMISS"/>
        <s v="PROPERTY DAMAGE"/>
        <s v="ENVIRONMENTAL INCIDENT"/>
        <s v="MEDICAL TREATMENT INJURY"/>
      </sharedItems>
    </cacheField>
    <cacheField name="JENIS INSIDEN " numFmtId="0">
      <sharedItems/>
    </cacheField>
    <cacheField name="Insiden" numFmtId="0">
      <sharedItems/>
    </cacheField>
    <cacheField name="PJA Terlibat " numFmtId="0">
      <sharedItems/>
    </cacheField>
    <cacheField name="Area PJA " numFmtId="0">
      <sharedItems/>
    </cacheField>
    <cacheField name="AREA/LOKASI" numFmtId="0">
      <sharedItems count="4">
        <s v="HAULING "/>
        <s v="MINING"/>
        <s v="WORKSHOP"/>
        <s v="MES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a Adnyana" refreshedDate="44790.930688425928" createdVersion="8" refreshedVersion="8" minRefreshableVersion="3" recordCount="62" xr:uid="{832A27C0-4E37-42EB-9BDF-7D39A91B4A2E}">
  <cacheSource type="worksheet">
    <worksheetSource ref="S1:V63" sheet="BASIC CAUSE INSIDEN"/>
  </cacheSource>
  <cacheFields count="8">
    <cacheField name="DETAIL AREA" numFmtId="0">
      <sharedItems count="14">
        <s v="SHR"/>
        <s v="TIMBANGAN"/>
        <s v="LNR"/>
        <s v="PORT"/>
        <s v="PIT"/>
        <s v="ROM RAW"/>
        <s v="CHR"/>
        <s v="PENCUCIAN LV"/>
        <s v="WATERFILL "/>
        <s v="WORKSHOP"/>
        <s v="MINE ROAD"/>
        <s v="DISPOSAL"/>
        <s v="MESS"/>
        <s v="PARKIRAN TRANSKON"/>
      </sharedItems>
    </cacheField>
    <cacheField name="Nomor Insiden " numFmtId="0">
      <sharedItems/>
    </cacheField>
    <cacheField name="Kategori Insiden " numFmtId="0">
      <sharedItems count="4">
        <s v="NEARMISS"/>
        <s v="PROPERTY DAMAGE"/>
        <s v="ENVIRONMENTAL INCIDENT"/>
        <s v="MEDICAL TREATMENT INJURY"/>
      </sharedItems>
    </cacheField>
    <cacheField name="JENIS INSIDEN " numFmtId="0">
      <sharedItems/>
    </cacheField>
    <cacheField name="Insiden" numFmtId="0">
      <sharedItems/>
    </cacheField>
    <cacheField name="PJA Terlibat " numFmtId="0">
      <sharedItems/>
    </cacheField>
    <cacheField name="Area PJA " numFmtId="0">
      <sharedItems count="4">
        <s v="PJA Hauling "/>
        <s v="PJA Mining "/>
        <s v="PJA Plant Haju"/>
        <s v="PJA Plant CHPP"/>
      </sharedItems>
    </cacheField>
    <cacheField name="AREA/LOKASI" numFmtId="0">
      <sharedItems count="4">
        <s v="HAULING "/>
        <s v="MINING"/>
        <s v="WORKSHOP"/>
        <s v="ME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m/>
    <m/>
    <m/>
    <m/>
    <m/>
    <m/>
    <m/>
    <m/>
    <m/>
    <m/>
    <x v="0"/>
    <m/>
    <m/>
    <x v="0"/>
  </r>
  <r>
    <m/>
    <m/>
    <m/>
    <m/>
    <m/>
    <m/>
    <m/>
    <m/>
    <m/>
    <m/>
    <x v="0"/>
    <m/>
    <m/>
    <x v="0"/>
  </r>
  <r>
    <d v="2021-06-28T00:00:00"/>
    <s v="Senin"/>
    <s v="07.15 WIB"/>
    <s v="PT SIS "/>
    <s v="Hauling LNR Km 75.5"/>
    <s v="FATAL"/>
    <s v="DT101 rebah "/>
    <s v="Saat unit DT101 berangkat dari ROM CHPP menuju Port, diturunan km 75.500 unit tidak terkendali kemudian rebah ke kanan di jalur kosongan"/>
    <s v="Unit DT030-101 jenis Volvo FMX440 yang dioperatori oleh korban mengalami kehilangan keseimbangan saat berjalan melewati jalan hauling dari km 76 hingga terguling dan terseret ke arah jalur kosongan sejauh 29 m tepatnya di km75+500 dengan kondisi muatan batubara tumpah ke arah luar tanggul jalur kosongan dan korban tidak sempat menyelamatkan diri, sehingga terjebak di dalam kabin hingga yang bersangkutan terjepit oleh bagian kabin yang menabrak tanggul"/>
    <s v="Membuat median / pemisah jalur pada setiap tikungan dan persimpangan jalan tambang dan hauling engan tinggi paling kurang setengah diameter roda kendaraan terbesar dan lebar bagian atas paling kurang sama dengan lebar roda kendaraan terbesar"/>
    <x v="1"/>
    <m/>
    <m/>
    <x v="1"/>
  </r>
  <r>
    <m/>
    <m/>
    <m/>
    <m/>
    <m/>
    <m/>
    <m/>
    <m/>
    <s v="Berdasarkan hasil rekonstruksi kejadian, didapatkan bahwa unit DT030-101 tidak mampu menahan gaya reaksi akibat tumbukan antara unit dengan tanggul arah kosongan yang mana merupakan tebing dengan material insitu"/>
    <s v="Memasang seluruh unit DT dengan indash camera yang terhubung secara permanen dan dapat dilakukan perekaman sebagaimana diatur dalam SOP PT Maruwai Coal nomor MACOH-02 tanggal 15 Mei 2020 tentang Kelayakan Sarana dan Prasarana dengan standard pengecekan F-MAC-OHS-02-026 tentang Form Komisioning On Highway Truck (LD,DT), serta selanjutnya melakukan kajian alat proteksi tambahan pada kabin unit sesuai standar."/>
    <x v="1"/>
    <m/>
    <m/>
    <x v="1"/>
  </r>
  <r>
    <m/>
    <m/>
    <m/>
    <m/>
    <m/>
    <m/>
    <m/>
    <m/>
    <m/>
    <s v="Melakukan pemeriksaan kondisi aktual jalan secara berkala terutama di area kritis, dengan mempertimbangkan persyaratan teknis sesuai dengan peraturan perundang-undangan,dan apabila ada ketidaksesuaian maka melakukan kajian dan perbaikan"/>
    <x v="2"/>
    <m/>
    <s v="Inspeksi CHRI Tiap Minggu gabungan bersama AMC"/>
    <x v="1"/>
  </r>
  <r>
    <m/>
    <m/>
    <m/>
    <m/>
    <m/>
    <m/>
    <m/>
    <m/>
    <m/>
    <s v="Melakukan kajian dan pemutakhiran sistem pemeliharaan unit DT khususnya untuk digunakan di area PT Maruwai Coal dengan mempertimbangkan karakteristik geografis yang berpengaruh terhadap beban kerja unit DT dibandingkan dengan pengoperasian unit DT yang relatif lebih landai"/>
    <x v="1"/>
    <m/>
    <m/>
    <x v="2"/>
  </r>
  <r>
    <m/>
    <m/>
    <m/>
    <m/>
    <m/>
    <m/>
    <m/>
    <m/>
    <m/>
    <s v="Melakukan pembaharuan metode training, evaluasi, dan standard kompetensi khususnya untuk operator DT dengan karakteristik jalan PT Maruwai Coal, dengan mempertimbangkan perubahan-perubahan kajian risiko area-area kritis dan pembatasan serta perintah metode pengoperasian unit DT oleh operator"/>
    <x v="1"/>
    <m/>
    <m/>
    <x v="1"/>
  </r>
  <r>
    <m/>
    <m/>
    <m/>
    <m/>
    <m/>
    <m/>
    <m/>
    <m/>
    <m/>
    <s v="Menambah personel ERT untuk cakupan area PT Maruwai Coal - ERT Station Haju oleh PT Sapta Indrasejati"/>
    <x v="1"/>
    <m/>
    <m/>
    <x v="3"/>
  </r>
  <r>
    <m/>
    <m/>
    <m/>
    <m/>
    <m/>
    <m/>
    <m/>
    <m/>
    <m/>
    <s v=" Mensosialisasikan hasil rekomendasi penyelidikan kecelakaan ini kepada seluruh karyawan PT Maruwai Coal dan mitra kerjanya"/>
    <x v="2"/>
    <m/>
    <m/>
    <x v="1"/>
  </r>
  <r>
    <m/>
    <m/>
    <m/>
    <m/>
    <m/>
    <m/>
    <m/>
    <m/>
    <s v="Belum teridentifikasi penggunaan alat proteksi tambahan berupa ROPS/FOPS pada bagian kabin, untuk memperkecil nilai risiko cidera pada operator DT jenis Volvo_x000a_FMX440."/>
    <s v="Melakukan kajian alat proteksi tambahan pada kabin unit berdasarkan hasil penyelidikan kecelakaan yang telah dilakukan kepada pihak OMM/OEM Unit Volvo FMX440"/>
    <x v="3"/>
    <d v="2021-07-18T00:00:00"/>
    <m/>
    <x v="4"/>
  </r>
  <r>
    <m/>
    <m/>
    <m/>
    <m/>
    <m/>
    <m/>
    <m/>
    <m/>
    <m/>
    <s v="Menambahkan materi training terkait keterbatasan proteksi kabin DT saat terjadi tabrakan"/>
    <x v="4"/>
    <d v="2021-07-20T00:00:00"/>
    <m/>
    <x v="1"/>
  </r>
  <r>
    <m/>
    <m/>
    <m/>
    <m/>
    <m/>
    <m/>
    <m/>
    <m/>
    <s v="Operator DT101 (IP) sengaja mencabut kabel power indash camera sehingga tidak berfungsi"/>
    <s v="Memasang seluruh unit DT dengan indash camera yang terhubung secara permanen dan dapat melakukan perekaman"/>
    <x v="3"/>
    <d v="2021-07-18T00:00:00"/>
    <m/>
    <x v="1"/>
  </r>
  <r>
    <m/>
    <m/>
    <m/>
    <m/>
    <m/>
    <m/>
    <m/>
    <m/>
    <m/>
    <s v="Memasukan item pengecekan Indash Camera di dalam form P2H baru menjadi item &quot;AA&quot;"/>
    <x v="5"/>
    <d v="2021-07-18T00:00:00"/>
    <m/>
    <x v="1"/>
  </r>
  <r>
    <m/>
    <m/>
    <m/>
    <m/>
    <m/>
    <m/>
    <m/>
    <m/>
    <m/>
    <s v="Selama proses pembaharuan form P2H, Item pengecekan Indash Camera akan dijadikan &quot;AA&quot; secara manual di dalam form"/>
    <x v="6"/>
    <d v="2021-07-18T00:00:00"/>
    <m/>
    <x v="1"/>
  </r>
  <r>
    <m/>
    <m/>
    <m/>
    <m/>
    <m/>
    <m/>
    <m/>
    <m/>
    <m/>
    <s v="Melakukan evaluasi hasil rekaman Indash Camera pada 50% jumlah unit yang beroperasi secara periodik (harian) dan dikirimkan ke pihak terkait (Production &amp; HSE AMC) serta dilaporkan ke pada Meeting Koordinasi Hauling (TFT Hauling)"/>
    <x v="6"/>
    <d v="2021-07-25T00:00:00"/>
    <s v="Pelaksanaan Belum bisa dilakukan  50% dari unit yang beroperasi"/>
    <x v="4"/>
  </r>
  <r>
    <m/>
    <m/>
    <m/>
    <m/>
    <m/>
    <m/>
    <m/>
    <m/>
    <m/>
    <s v="Membuat prosedur terkait tatacara evaluasi hasil rekaman Indash Camera"/>
    <x v="6"/>
    <d v="2021-07-31T00:00:00"/>
    <s v="INK belum dibuat"/>
    <x v="4"/>
  </r>
  <r>
    <m/>
    <m/>
    <m/>
    <m/>
    <m/>
    <m/>
    <m/>
    <m/>
    <m/>
    <s v="Memberikan data hasil rekaman Indash Camera secara mingguan ke AMC"/>
    <x v="6"/>
    <d v="2021-07-27T00:00:00"/>
    <s v="Rutin continue disampaikan pada meeting Weekly Task Force Hauling"/>
    <x v="1"/>
  </r>
  <r>
    <m/>
    <m/>
    <m/>
    <m/>
    <m/>
    <m/>
    <m/>
    <m/>
    <s v="Kurangnya pemahaman korban dalam mengendalikan unit Volvo FMX 440 (DT030-101) yang dibuktikan dengan korban menggunakan transmisi Netral pada jalan menurun, dan mengakibatkan tambahnya beban kerja service brake, dan menyebabkan fungsi engine brake tidak dapat digunakan"/>
    <s v="Melakukan pembaharuan metode training, evaluasi, dan standard kompetensi khususnya untuk operator DT dengan karakteristik jalan PT Maruwai Coal, dengan mempertimbangkan perubahan-perubahan kajian risiko area-area kritis dan pembatasan serta perintah metode pengoperasian unit DT oleh operator"/>
    <x v="4"/>
    <d v="2021-07-18T00:00:00"/>
    <m/>
    <x v="1"/>
  </r>
  <r>
    <m/>
    <m/>
    <m/>
    <m/>
    <m/>
    <m/>
    <m/>
    <m/>
    <m/>
    <s v="Memasang Rambu Penggunaan Gear 7 di area turunan - tanjakan untuk semua jenis unit DT (Volvo &amp; Scania)"/>
    <x v="5"/>
    <d v="2021-07-18T00:00:00"/>
    <m/>
    <x v="1"/>
  </r>
  <r>
    <m/>
    <m/>
    <m/>
    <m/>
    <m/>
    <m/>
    <m/>
    <m/>
    <m/>
    <s v="Melakukan evaluasi kinerja operator DT berdasarkan hasil rekaman data operasional yang tercatat pada tachograph, dynafleet untuk unit DT Volvo dan FMS untuk DT Scania secara periodik sesuai poin evaluasi Indash Camera diatas dan melakukan pembinaan disiplin kepada operator yang melakukan pengoperasian secara tidak aman/tidak sesuai prosedur"/>
    <x v="7"/>
    <d v="2021-07-25T00:00:00"/>
    <m/>
    <x v="1"/>
  </r>
  <r>
    <m/>
    <m/>
    <m/>
    <m/>
    <m/>
    <m/>
    <m/>
    <m/>
    <m/>
    <s v="PT Sapta Indrasejati meningkatkan frekuensi patroli di jalan hauling dan pengetahuan pengawas tentang metode pengoperasian unit (product knowledge)"/>
    <x v="7"/>
    <d v="2021-07-20T00:00:00"/>
    <m/>
    <x v="1"/>
  </r>
  <r>
    <m/>
    <m/>
    <m/>
    <m/>
    <m/>
    <m/>
    <m/>
    <m/>
    <s v="Kondisi jalan pada km 75+500 yang cukup ekstrim dengan banyaknya tikungan dan kondisi menurun dengan dan tidak terdapat median jalan di area tikungan dan area blind spot."/>
    <s v="Membuat median / pemisah jalur pada setiap tikungan dan persimpangan jalan tambang dan hauling engan tinggi paling kurang setengah diameter roda kendaraan terbesar dan lebar bagian atas paling kurang sama dengan lebar roda kendaraan terbesar."/>
    <x v="6"/>
    <d v="2021-07-18T00:00:00"/>
    <m/>
    <x v="1"/>
  </r>
  <r>
    <m/>
    <m/>
    <m/>
    <m/>
    <m/>
    <m/>
    <m/>
    <m/>
    <m/>
    <s v="Memasang Rambu Penggunaan Gear 7 di area turunan - tanjakan untuk semua jenis unit DT (Volvo &amp; Scania)."/>
    <x v="5"/>
    <d v="2021-07-18T00:00:00"/>
    <m/>
    <x v="1"/>
  </r>
  <r>
    <m/>
    <m/>
    <m/>
    <m/>
    <m/>
    <m/>
    <m/>
    <m/>
    <m/>
    <s v="Membuat stopper di lokasi yang kritis (area tikungan dan menurun serta blindspot) selain yang sudah terpasang median jalan"/>
    <x v="6"/>
    <d v="2021-07-27T00:00:00"/>
    <s v="Belum ada evidence pembuatan stopper diarea kritis "/>
    <x v="4"/>
  </r>
  <r>
    <m/>
    <m/>
    <m/>
    <m/>
    <m/>
    <m/>
    <m/>
    <m/>
    <s v=" Pengawas Shift 1 tanggal 28 Juni 2021 (sdr. Amin Jafar) tidak menandatangani form P2H"/>
    <s v=" Menetapkan prosedur tatacara pengecekan kondisi unit (P2H) yang dioperasikan sesuai dengan shift kerjanya."/>
    <x v="6"/>
    <d v="2021-07-21T00:00:00"/>
    <s v="Belum ada INK yang jelas terkait pengecekan P2H unit "/>
    <x v="4"/>
  </r>
  <r>
    <m/>
    <m/>
    <m/>
    <m/>
    <m/>
    <m/>
    <m/>
    <m/>
    <m/>
    <s v=" Memenuhi jumlah pengawas sesuai dengan struktur organisasi yang ditetapkan"/>
    <x v="8"/>
    <d v="2021-09-30T00:00:00"/>
    <s v="Onpregress pemenuhan GAP jumlah pengawas"/>
    <x v="2"/>
  </r>
  <r>
    <m/>
    <m/>
    <m/>
    <m/>
    <m/>
    <m/>
    <m/>
    <m/>
    <m/>
    <s v="Me-reviu isi dari P2H merujuk ke jenis pemeriksaan sesuai tipe unit secara spesifik"/>
    <x v="6"/>
    <d v="2021-07-20T00:00:00"/>
    <m/>
    <x v="1"/>
  </r>
  <r>
    <m/>
    <m/>
    <m/>
    <m/>
    <m/>
    <m/>
    <m/>
    <m/>
    <s v="Keterbatasan personil dan peralatan ERT yang ada_x000a_saat melakukan evakuasi korban"/>
    <s v="Melakukan rekruitmen personil ERT oleh PT Sapta Indrasejati"/>
    <x v="5"/>
    <d v="2021-08-31T00:00:00"/>
    <s v="Progress interview personil ERT "/>
    <x v="4"/>
  </r>
  <r>
    <m/>
    <m/>
    <m/>
    <m/>
    <m/>
    <m/>
    <m/>
    <m/>
    <m/>
    <s v="Membuat ERT Station dan melengkapi peralatan standar tanggap darurat yang diperlukan di area Haju"/>
    <x v="5"/>
    <d v="2021-09-30T00:00:00"/>
    <s v="Sudah terpenuhi yang ada di klinik"/>
    <x v="1"/>
  </r>
  <r>
    <m/>
    <m/>
    <m/>
    <m/>
    <m/>
    <m/>
    <m/>
    <m/>
    <m/>
    <s v="Melakukan pelatihan untuk semua personil ERT PT Sapta Indrasejati sesuai sylabus standar pelatihan tanggap darurat (BASARNAS)"/>
    <x v="5"/>
    <d v="2021-09-30T00:00:00"/>
    <s v="proses pelaksanaan training basarnas "/>
    <x v="1"/>
  </r>
  <r>
    <m/>
    <m/>
    <m/>
    <m/>
    <m/>
    <m/>
    <m/>
    <m/>
    <s v="Belum melakukan pengkajian ulang oleh tim Departemen Plant PT SIS dengan PT Maruwai Coal terkait pengendalian risiko pada unit DT jenis Volvo FMX440 hanya merujuk pada dokumen OMM Volvo"/>
    <s v="Melakukan kajian alat proteksi tambahan pada kabin unit berdasarkan hasil penyelidikan kecelakaan yang telah dilakukan kepada pihak OMM/OEM Unit Volvo FMX440."/>
    <x v="3"/>
    <d v="2021-07-19T00:00:00"/>
    <m/>
    <x v="1"/>
  </r>
  <r>
    <m/>
    <m/>
    <m/>
    <m/>
    <m/>
    <m/>
    <m/>
    <m/>
    <s v=" Fungsi evaluasi pada kompetensi operator kurang optimal, dikarenakan waktu periodik evaluasi kompetensi operator DT terlalu lama yaitu 3 bulan setelah di-training"/>
    <s v="Melakukan evaluasi kompetensi operator DT Hauling dengan periode 1 bulan sekali selama 3 bulan"/>
    <x v="4"/>
    <d v="2021-07-20T00:00:00"/>
    <s v="Belum ada penyampaian summary hasil evaluasi 1 bulan sekali"/>
    <x v="4"/>
  </r>
  <r>
    <m/>
    <m/>
    <m/>
    <m/>
    <m/>
    <m/>
    <m/>
    <m/>
    <m/>
    <s v="Menetapkan jam orientasi sesuai dengan jenis risiko pengoperasian di area kerjanya (diperjelas kembali isi dari instruksi kerja yang sudah dibuat)"/>
    <x v="4"/>
    <d v="2021-07-20T00:00:00"/>
    <s v="Membuat std pelatihan yang sesuai dengan jobsite maco "/>
    <x v="4"/>
  </r>
  <r>
    <m/>
    <m/>
    <m/>
    <m/>
    <m/>
    <m/>
    <m/>
    <m/>
    <s v="Terjadinya pembiaran praktek mengemudi yang salah (menggunakan transmisi netral pada jalan menurun) dari fungsi kepengawasan"/>
    <s v="Memberikan tindakan disiplin kepada pihak yang terkait tanggung jawab dan tanggung gugatnya terhadap praktek mengemudi yang salah tersebut."/>
    <x v="1"/>
    <d v="2021-07-31T00:00:00"/>
    <s v="belum ada evidence sanksi kepada sdr benny, Roery, Bambang, Aljary "/>
    <x v="4"/>
  </r>
  <r>
    <m/>
    <m/>
    <m/>
    <m/>
    <m/>
    <m/>
    <m/>
    <m/>
    <s v="PT Sapta Indra Sejati tidak disiplin dalam melakukan monitoring dan evaluasi sistem teknologi yang sudah terpasang (FMS, Dynafleet, tachograph, indash Camera)"/>
    <s v="Membuat program evaluasi kinerja operator DT secara terintegrasi dari semua fungsi yang terkait (HSE, OTD, Operation, Plant, HR) untuk menentukan kinerja operator secara keseluruhan"/>
    <x v="1"/>
    <d v="2021-07-31T00:00:00"/>
    <s v="Belum ada penyampaian summary hasil evaluasi 1 bulan sekali"/>
    <x v="4"/>
  </r>
  <r>
    <m/>
    <m/>
    <m/>
    <m/>
    <m/>
    <m/>
    <m/>
    <m/>
    <m/>
    <s v="Melakukan evaluasi hasil rekaman data operasional yang tercatat pada tachograph, dynafleet untuk unit DT Volvo dan FMS untuk DT Scania secara periodik dan melakukan pembinaan disiplin kepada operator yang melakukan pengoperasian secara tidak aman/tidak sesuai prosedur"/>
    <x v="1"/>
    <d v="2021-07-31T00:00:00"/>
    <s v="belum ada evaluasi hasil rekaman data tachogram , dynafleet "/>
    <x v="4"/>
  </r>
  <r>
    <m/>
    <m/>
    <m/>
    <m/>
    <m/>
    <m/>
    <m/>
    <m/>
    <s v="PT Sapta Indra Sejati tidak tersinergi dalam melakukan monitoring dan evaluasi perilaku operator"/>
    <s v="Memberikan tindakan disiplin kepada pihak yang terkait tanggung jawab dan tanggung gugatnya terhadap tidak terlaksananya monitoring dan evaluasi sistem teknologi yang sudah terpasang (FMS, Dynafleet, tachograph, indash Camera) secara konsisten"/>
    <x v="1"/>
    <d v="2021-07-31T00:00:00"/>
    <s v="belum ada evidence sanksi kepada sdr benny, Roery, Bambang, Aljary "/>
    <x v="4"/>
  </r>
  <r>
    <m/>
    <m/>
    <m/>
    <m/>
    <m/>
    <m/>
    <m/>
    <m/>
    <s v="Pengawas Shift 1 tanggal 28 Juni 2021 (sdr. Amin Jafar) tidak menandatangani form P2H"/>
    <s v="Memberikan tindakan disiplin kepada pengawas yang bertanggung jawab untuk melakukan verifikasi P2H pada awal shift tsb"/>
    <x v="1"/>
    <d v="2021-07-31T00:00:00"/>
    <m/>
    <x v="1"/>
  </r>
  <r>
    <m/>
    <m/>
    <m/>
    <m/>
    <m/>
    <m/>
    <m/>
    <m/>
    <s v="Keterlambatan Manajemen PT SIS dalam memenuhi jumlah Pengawas sesuai Rencana Produksi"/>
    <s v="Melakukan rekruitmen Pengawas sesuai Rencana Produksi yang telah disetujui"/>
    <x v="8"/>
    <d v="2021-09-30T00:00:00"/>
    <s v="Progress"/>
    <x v="2"/>
  </r>
  <r>
    <m/>
    <m/>
    <m/>
    <m/>
    <m/>
    <m/>
    <m/>
    <m/>
    <s v="Keterlambatan Manajemen PT SIS dalam memenuhi jumlah operator sesuai Rencana Produksi"/>
    <s v="Melakukan rekruitmen operator DT sesuai Rencana Produksi yang telah disetujui"/>
    <x v="8"/>
    <d v="2021-09-30T00:00:00"/>
    <s v="Progress"/>
    <x v="2"/>
  </r>
  <r>
    <m/>
    <m/>
    <m/>
    <m/>
    <m/>
    <m/>
    <m/>
    <m/>
    <s v="Sdr. Lilik Pramono sudah overstay dengan total hari kerja di site bekerja 120 hari, dibuktikan dengan database roster kerja"/>
    <s v=" Segera mencutikan semua operator yang sudah bekerja &gt; 4 bulan"/>
    <x v="6"/>
    <d v="2021-07-31T00:00:00"/>
    <m/>
    <x v="1"/>
  </r>
  <r>
    <m/>
    <m/>
    <m/>
    <m/>
    <m/>
    <m/>
    <m/>
    <m/>
    <m/>
    <s v="Menetapkan rencana pengaturan manajemen kelelahan apabila operator yang sudah bekerja melebihi masa roster normal namun &lt; 4 bulan. (hari ke 71 - 120 )"/>
    <x v="6"/>
    <d v="2021-07-21T00:00:00"/>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n v="1"/>
    <n v="2022"/>
    <s v="MACO"/>
    <s v="PT SIS"/>
    <d v="2022-01-01T00:00:00"/>
    <s v="JAN"/>
    <d v="2022-01-02T00:00:00"/>
    <s v="Minggu"/>
    <s v="09.00 WIB"/>
    <s v="KM 2.5"/>
    <s v="LPI-01-I-2022-MACO"/>
    <x v="0"/>
    <s v="NON HPRI"/>
    <s v="DT083 Amblas di Km 2.5"/>
    <s v="PJA Hauling "/>
    <s v="PJA Hauling "/>
    <s v="DUMP TRUCK"/>
    <s v="UNIT AMBLAS "/>
    <x v="0"/>
    <x v="0"/>
  </r>
  <r>
    <n v="2"/>
    <n v="2022"/>
    <s v="MACO"/>
    <s v="PT SIS"/>
    <d v="2022-01-01T00:00:00"/>
    <s v="JAN"/>
    <d v="2022-01-08T00:00:00"/>
    <s v="Sabtu"/>
    <s v="12.14 WIB"/>
    <s v="Jembatan Timbang"/>
    <s v="LPI-02-I-2022-MACO"/>
    <x v="1"/>
    <s v="NON HPRI"/>
    <s v="Atap timbangan tuhup tersenggol muffler DT Scania 005"/>
    <s v="PJA Hauling "/>
    <s v="PJA Hauling "/>
    <s v="DUMP TRUCK"/>
    <s v="UNIT MENABRAK"/>
    <x v="1"/>
    <x v="0"/>
  </r>
  <r>
    <n v="3"/>
    <n v="2022"/>
    <s v="MACO"/>
    <s v="PT SIS"/>
    <d v="2022-01-01T00:00:00"/>
    <s v="JAN"/>
    <d v="2022-01-09T00:00:00"/>
    <s v="Minggu"/>
    <s v="06.00 WIB"/>
    <s v="KM 53 Jembatan Briwit"/>
    <s v="LPI-03-I-2022-MACO"/>
    <x v="2"/>
    <s v="NON HPRI"/>
    <s v="MH 001 lepas tangki"/>
    <s v="PJA GA"/>
    <s v="PJA Hauling "/>
    <s v="MAN HAUL"/>
    <s v="UNIT TIDAK LAYAK"/>
    <x v="2"/>
    <x v="0"/>
  </r>
  <r>
    <n v="4"/>
    <n v="2022"/>
    <s v="MACO"/>
    <s v="PT SIS"/>
    <d v="2022-01-01T00:00:00"/>
    <s v="JAN"/>
    <d v="2022-01-10T00:00:00"/>
    <s v="Senin"/>
    <s v="12.00 WIB"/>
    <s v="KM 69 - LNR"/>
    <s v="LPI-04-I-2022-MACO"/>
    <x v="0"/>
    <s v="NON HPRI"/>
    <s v="Compact CP010-001 Tergelincir"/>
    <s v="PJA Hauling "/>
    <s v="PJA Hauling "/>
    <s v="COMPACT"/>
    <s v="UNIT SLIP "/>
    <x v="3"/>
    <x v="0"/>
  </r>
  <r>
    <n v="5"/>
    <n v="2022"/>
    <s v="MACO"/>
    <s v="PT SIS"/>
    <d v="2022-01-01T00:00:00"/>
    <s v="JAN"/>
    <d v="2022-01-13T00:00:00"/>
    <s v="Kamis"/>
    <s v="22.10 WIB"/>
    <s v="KM 16 - SHR"/>
    <s v="LPI-05-I-2022-MACO"/>
    <x v="0"/>
    <s v="HPRI"/>
    <s v="DT 040-022 , Mundur di tanjakan sehingga amblas"/>
    <s v="PJA Hauling "/>
    <s v="PJA Hauling "/>
    <s v="DUMP TRUCK"/>
    <s v="UNIT MUNDUR "/>
    <x v="0"/>
    <x v="0"/>
  </r>
  <r>
    <n v="6"/>
    <n v="2022"/>
    <s v="MACO"/>
    <s v="PT SIS"/>
    <d v="2022-01-01T00:00:00"/>
    <s v="JAN"/>
    <d v="2022-01-16T00:00:00"/>
    <s v="Minggu"/>
    <s v="14.00 WIB"/>
    <s v="KM 65 - LNR"/>
    <s v="LPI-06-I-2022-MACO"/>
    <x v="0"/>
    <s v="NON HPRI"/>
    <s v="DT 030-0095, Tyre R1 Mengeluarkan asap"/>
    <s v="PJA Hauling "/>
    <s v="PJA Hauling "/>
    <s v="DUMP TRUCK"/>
    <s v="UNIT MENGELUARKAN ASAP"/>
    <x v="3"/>
    <x v="0"/>
  </r>
  <r>
    <n v="7"/>
    <n v="2022"/>
    <s v="MACO"/>
    <s v="PT BMC"/>
    <d v="2022-01-01T00:00:00"/>
    <s v="JAN"/>
    <d v="2022-01-20T00:00:00"/>
    <s v="Kamis"/>
    <s v="14.24 WIB"/>
    <s v="Parkiran Dispenser Port Tuhup"/>
    <s v="LPI-07-I-2022-MACO"/>
    <x v="1"/>
    <s v="NON HPRI"/>
    <s v="LV BMC 01 Menyenggol tiang CCTV Port"/>
    <s v="PJA Mining "/>
    <s v="PJA Hauling "/>
    <s v="LV"/>
    <s v="UNIT MENABRAK"/>
    <x v="1"/>
    <x v="0"/>
  </r>
  <r>
    <n v="8"/>
    <n v="2022"/>
    <s v="MACO"/>
    <s v="PT SIS"/>
    <d v="2022-01-01T00:00:00"/>
    <s v="JAN"/>
    <d v="2022-01-21T00:00:00"/>
    <s v="Jumat"/>
    <s v="05.50 WIB"/>
    <s v="KM 28 - SHR"/>
    <s v="LPI-08-I-2022-MACO"/>
    <x v="0"/>
    <s v="NON HPRI"/>
    <s v="DT 040-006 Amblas di tikungan km 28"/>
    <s v="PJA Hauling "/>
    <s v="PJA Hauling "/>
    <s v="DUMP TRUCK"/>
    <s v="UNIT AMBLAS "/>
    <x v="0"/>
    <x v="0"/>
  </r>
  <r>
    <n v="9"/>
    <n v="2022"/>
    <s v="MACO"/>
    <s v="PT SIS"/>
    <d v="2022-01-01T00:00:00"/>
    <s v="JAN"/>
    <d v="2022-01-22T00:00:00"/>
    <s v="Sabtu"/>
    <s v="03.40 WIB"/>
    <s v="KM 4+800 - SHR"/>
    <s v="LPI-09-I-2022-MACO"/>
    <x v="0"/>
    <s v="HPRI"/>
    <s v="DT 040-013 Mundur di tanjakan KM 4+800 sehingga amblas"/>
    <s v="PJA Hauling "/>
    <s v="PJA Hauling "/>
    <s v="DUMP TRUCK"/>
    <s v="UNIT MUNDUR "/>
    <x v="0"/>
    <x v="0"/>
  </r>
  <r>
    <n v="10"/>
    <n v="2022"/>
    <s v="MACO"/>
    <s v="PT SIS"/>
    <d v="2022-01-01T00:00:00"/>
    <s v="JAN"/>
    <d v="2022-01-27T00:00:00"/>
    <s v="Kamis"/>
    <s v="20:35 WIB"/>
    <s v="Port - Dumpingan GC"/>
    <s v="LPI-10-I-2022-MACO"/>
    <x v="1"/>
    <s v="HPRI"/>
    <s v="DT 030-089, Rebah saat Dumping di Port"/>
    <s v="PJA Hauling "/>
    <s v="PJA Hauling "/>
    <s v="DUMP TRUCK"/>
    <s v="UNIT REBAH"/>
    <x v="1"/>
    <x v="0"/>
  </r>
  <r>
    <n v="11"/>
    <n v="2022"/>
    <s v="MACO"/>
    <s v="PT SIS"/>
    <d v="2022-01-01T00:00:00"/>
    <s v="JAN"/>
    <d v="2022-01-27T00:00:00"/>
    <s v="Kamis"/>
    <s v="15.45 WIB"/>
    <s v="KM 77 - LNR"/>
    <s v="LPI-11-I-2022-MACO"/>
    <x v="0"/>
    <s v="HPRI"/>
    <s v="DT 020-0124 Menyenggol Median"/>
    <s v="PJA Hauling "/>
    <s v="PJA Hauling "/>
    <s v="DUMP TRUCK"/>
    <s v="UNIT MENABRAK"/>
    <x v="3"/>
    <x v="0"/>
  </r>
  <r>
    <n v="12"/>
    <n v="2022"/>
    <s v="MACO"/>
    <s v="PT SIS"/>
    <d v="2022-01-01T00:00:00"/>
    <s v="JAN"/>
    <d v="2022-01-31T00:00:00"/>
    <s v="Selasa"/>
    <s v="05.45 WIB"/>
    <s v="KM 50  - LNR"/>
    <s v="LPI-12-I-2022- MACO"/>
    <x v="1"/>
    <s v="HPRI"/>
    <s v="DT 030 - 085 Rebah di KM 50 "/>
    <s v="PJA Hauling "/>
    <s v="PJA Hauling "/>
    <s v="DUMP TRUCK"/>
    <s v="UNIT REBAH"/>
    <x v="3"/>
    <x v="0"/>
  </r>
  <r>
    <n v="13"/>
    <n v="2022"/>
    <s v="MACO"/>
    <s v="PT SIS"/>
    <d v="2022-02-02T00:00:00"/>
    <s v="FEB"/>
    <d v="2022-02-05T00:00:00"/>
    <s v="Sabtu"/>
    <s v="10.15 WIB"/>
    <s v="KM 15 -SHR"/>
    <s v="LPI-13-II-2022- MACO"/>
    <x v="0"/>
    <s v="HPRI"/>
    <s v="DT030-0114 Slip dan amblas saat mundur untuk memberikan prioritas ke DT AKT"/>
    <s v="PJA Hauling "/>
    <s v="PJA Hauling "/>
    <s v="DUMP TRUCK"/>
    <s v="UNIT SLIP "/>
    <x v="0"/>
    <x v="0"/>
  </r>
  <r>
    <n v="14"/>
    <n v="2022"/>
    <s v="MACO"/>
    <s v="PT SIS"/>
    <d v="2022-02-02T00:00:00"/>
    <s v="FEB"/>
    <d v="2022-02-15T00:00:00"/>
    <s v="Selasa"/>
    <s v="22.04 WIB"/>
    <s v="Seam D PIT North"/>
    <s v="LPI-14-II-2022- MACO"/>
    <x v="3"/>
    <s v="HPRI"/>
    <s v="Insiden MTI Pengawas terkena batu dibagian badan pada saat dumping "/>
    <s v="PJA Mining "/>
    <s v="PJA Mining "/>
    <s v="PENGAWAS"/>
    <s v="PENGAWAS TERKENA LENTINGAN"/>
    <x v="4"/>
    <x v="1"/>
  </r>
  <r>
    <n v="15"/>
    <n v="2022"/>
    <s v="MACO"/>
    <s v="PT SIS"/>
    <d v="2022-02-02T00:00:00"/>
    <s v="FEB"/>
    <d v="2022-02-19T00:00:00"/>
    <s v="Sabtu"/>
    <s v="08.45 WIB"/>
    <s v="KM 32 - SHR"/>
    <s v="LPI-15-II-2022- MACO"/>
    <x v="1"/>
    <s v="HPRI"/>
    <s v="DT030-087 Menabrak Tanggul di Hauling Road SHR KM 32"/>
    <s v="PJA Hauling "/>
    <s v="PJA Hauling "/>
    <s v="DUMP TRUCK"/>
    <s v="UNIT MENABRAK"/>
    <x v="0"/>
    <x v="0"/>
  </r>
  <r>
    <n v="16"/>
    <n v="2022"/>
    <s v="MACO"/>
    <s v="PT SIS"/>
    <d v="2022-02-02T00:00:00"/>
    <s v="FEB"/>
    <d v="2022-02-22T00:00:00"/>
    <s v="Selasa"/>
    <s v="08.00 WIB"/>
    <s v="KM 28 - SHR"/>
    <s v="LPI-16-II-2022- MACO"/>
    <x v="0"/>
    <s v="NON HPRI"/>
    <s v="DT 030-0012 Amblas"/>
    <s v="PJA Hauling "/>
    <s v="PJA Hauling "/>
    <s v="DUMP TRUCK"/>
    <s v="UNIT AMBLAS "/>
    <x v="0"/>
    <x v="0"/>
  </r>
  <r>
    <n v="17"/>
    <n v="2022"/>
    <s v="MACO"/>
    <s v="PT SIS"/>
    <d v="2022-02-02T00:00:00"/>
    <s v="FEB"/>
    <d v="2022-02-23T00:00:00"/>
    <s v="Rabu"/>
    <s v="15.20 WIB"/>
    <s v="KM 02 - SHR"/>
    <s v="LPI-17-II-2022- MACO"/>
    <x v="1"/>
    <s v="HPRI"/>
    <s v="Fire Case DT 010"/>
    <s v="PJA Hauling "/>
    <s v="PJA Hauling "/>
    <s v="DUMP TRUCK"/>
    <s v="UNIT TERBAKAR"/>
    <x v="0"/>
    <x v="0"/>
  </r>
  <r>
    <n v="18"/>
    <n v="2022"/>
    <s v="MACO"/>
    <s v="PT SIS"/>
    <d v="2022-03-02T00:00:00"/>
    <s v="MAR"/>
    <d v="2022-03-01T00:00:00"/>
    <s v="Selasa"/>
    <s v="00.30 WIB"/>
    <s v="KM 51 - LNR"/>
    <s v="LPI-18-III-2022- MACO"/>
    <x v="1"/>
    <s v="HPRI"/>
    <s v="DT 030-0106, Rebah di KM 51"/>
    <s v="PJA Hauling "/>
    <s v="PJA Hauling "/>
    <s v="DUMP TRUCK"/>
    <s v="UNIT REBAH"/>
    <x v="3"/>
    <x v="0"/>
  </r>
  <r>
    <n v="19"/>
    <n v="2022"/>
    <s v="MACO"/>
    <s v="PT SIS"/>
    <d v="2022-03-02T00:00:00"/>
    <s v="MAR"/>
    <d v="2022-03-07T00:00:00"/>
    <s v="Senin"/>
    <s v="10.15 WIB"/>
    <s v="KM 13 - SHR"/>
    <s v="LPI-19-III-2022- MACO"/>
    <x v="0"/>
    <s v="NON HPRI"/>
    <s v="DT 104 Muatan Ambalas di km 12"/>
    <s v="PJA Hauling "/>
    <s v="PJA Hauling "/>
    <s v="DUMP TRUCK"/>
    <s v="UNIT AMBLAS "/>
    <x v="0"/>
    <x v="0"/>
  </r>
  <r>
    <n v="20"/>
    <n v="2022"/>
    <s v="MACO"/>
    <s v="PT SIS"/>
    <d v="2022-03-02T00:00:00"/>
    <s v="MAR"/>
    <d v="2022-03-08T00:00:00"/>
    <s v="Selasa"/>
    <s v="09.39 WIB"/>
    <s v="KM 14+500 -SHR"/>
    <s v="LPI-20-III-2022- MACO"/>
    <x v="1"/>
    <s v="HPRI"/>
    <s v="DT 030-103 Menabrak Belakang FT 083 di KM 14.500"/>
    <s v="PJA Hauling "/>
    <s v="PJA Hauling "/>
    <s v="DUMP TRUCK"/>
    <s v="UNIT MENABRAK"/>
    <x v="0"/>
    <x v="0"/>
  </r>
  <r>
    <n v="21"/>
    <n v="2022"/>
    <s v="MACO"/>
    <s v="PT SIS"/>
    <d v="2022-03-02T00:00:00"/>
    <s v="MAR"/>
    <d v="2022-03-08T00:00:00"/>
    <s v="Selasa"/>
    <s v="21.15 WIB"/>
    <s v="KM 34 - SHR"/>
    <s v="LPI-21-III-2022- MACO"/>
    <x v="0"/>
    <s v="NON HPRI"/>
    <s v="DT030- 013 Amblas jalur muatan melewati km 34 berselisihan dengan dt kosongan.Dt 013"/>
    <s v="PJA Hauling "/>
    <s v="PJA Hauling "/>
    <s v="DUMP TRUCK"/>
    <s v="UNIT AMBLAS "/>
    <x v="0"/>
    <x v="0"/>
  </r>
  <r>
    <n v="22"/>
    <n v="2022"/>
    <s v="MACO"/>
    <s v="PT SIS"/>
    <d v="2022-03-02T00:00:00"/>
    <s v="MAR"/>
    <d v="2022-03-09T00:00:00"/>
    <s v="Rabu"/>
    <s v="10.15 WIB"/>
    <s v="Timbangan Port Tuhup"/>
    <s v="LPI-22-III-2022- MACO"/>
    <x v="1"/>
    <s v="NON HPRI"/>
    <s v="Kabel Optik Putus di area timbangan port"/>
    <s v="PJA Hauling "/>
    <s v="PJA Hauling "/>
    <s v="KABEL "/>
    <s v="KABEL TERGARUK"/>
    <x v="1"/>
    <x v="0"/>
  </r>
  <r>
    <n v="23"/>
    <n v="2022"/>
    <s v="MACO"/>
    <s v="PT SIS"/>
    <d v="2022-03-02T00:00:00"/>
    <s v="MAR"/>
    <d v="2022-03-12T00:00:00"/>
    <s v="Sabtu"/>
    <s v="06.58 WIB"/>
    <s v="Room Raw CHPP"/>
    <s v="LPI-23-III-2022- MACO"/>
    <x v="1"/>
    <s v="HPRI"/>
    <s v="DT030-0135 di Room Raw CHPP"/>
    <s v="PJA Hauling "/>
    <s v="PJA Mining "/>
    <s v="DUMP TRUCK"/>
    <s v="UNIT MENABRAK"/>
    <x v="5"/>
    <x v="0"/>
  </r>
  <r>
    <n v="24"/>
    <n v="2022"/>
    <s v="MACO"/>
    <s v="PT SIS"/>
    <d v="2022-03-02T00:00:00"/>
    <s v="MAR"/>
    <d v="2022-03-18T00:00:00"/>
    <s v="Jumat"/>
    <s v="08.00 WIB"/>
    <s v="KM 37 - CHR"/>
    <s v="LPI-24-III-2022- MACO"/>
    <x v="1"/>
    <s v="NON HPRI"/>
    <s v="LV-111 Amblas Mengalami Lepas Bemper"/>
    <s v="PJA Hauling "/>
    <s v="PJA Hauling "/>
    <s v="LV"/>
    <s v="UNIT AMBLAS "/>
    <x v="2"/>
    <x v="0"/>
  </r>
  <r>
    <n v="25"/>
    <n v="2022"/>
    <s v="MACO"/>
    <s v="PT SIS"/>
    <d v="2022-04-02T00:00:00"/>
    <s v="APR"/>
    <d v="2022-04-02T00:00:00"/>
    <s v="Sabtu "/>
    <s v="15.50 WIB"/>
    <s v="SHR - KM 3"/>
    <s v="LPI-25-IV-2022- MACO"/>
    <x v="1"/>
    <s v="HPRI"/>
    <s v="DT 040-019 Mundur di tanjakan KM 3 sehingga amblas"/>
    <s v="PJA Hauling "/>
    <s v="PJA Hauling "/>
    <s v="DUMP TRUCK"/>
    <s v="UNIT MUNDUR "/>
    <x v="0"/>
    <x v="0"/>
  </r>
  <r>
    <n v="26"/>
    <n v="2022"/>
    <s v="MACO"/>
    <s v="PT SIS"/>
    <d v="2022-04-02T00:00:00"/>
    <s v="APR"/>
    <d v="2022-04-08T00:00:00"/>
    <s v="Jumat"/>
    <s v="08.30 WIB"/>
    <s v="KM 26 - Simpang Kohong "/>
    <s v="LPI-26-IV-2022- MACO"/>
    <x v="0"/>
    <s v="NON HPRI"/>
    <s v="DT 040 – 028 Amblas di KM 26 Simpang Kohong "/>
    <s v="PJA Hauling "/>
    <s v="PJA Hauling "/>
    <s v="DUMP TRUCK"/>
    <s v="UNIT AMBLAS "/>
    <x v="0"/>
    <x v="0"/>
  </r>
  <r>
    <n v="27"/>
    <n v="2022"/>
    <s v="MACO"/>
    <s v="PT SIS"/>
    <d v="2022-04-02T00:00:00"/>
    <s v="APR"/>
    <d v="2022-04-09T00:00:00"/>
    <s v="Sabtu "/>
    <s v="11.45 WIB"/>
    <s v="Pencucian LV Area CHPP"/>
    <s v="LPI-27-IV-2022- MACO"/>
    <x v="0"/>
    <s v="NON HPRI"/>
    <s v="Tyre Depan Sebelah Kanan LV S-113 Jatuh Disela-sela ramdor pencucian CHPP "/>
    <s v="PJA Pit Control"/>
    <s v="PJA Mining "/>
    <s v="LV"/>
    <s v="UNIT TERJATUH"/>
    <x v="6"/>
    <x v="1"/>
  </r>
  <r>
    <n v="28"/>
    <n v="2022"/>
    <s v="MACO"/>
    <s v="PT SIS"/>
    <d v="2022-04-02T00:00:00"/>
    <s v="APR"/>
    <d v="2022-04-11T00:00:00"/>
    <s v="Senin"/>
    <s v="14.00 WIB"/>
    <s v="Waterfill KM 70 "/>
    <s v="LPI-28-IV-2022- MACO"/>
    <x v="2"/>
    <s v="NON HPRI"/>
    <s v="Ceceran Oli di Waterfill KM 70"/>
    <s v="PJA Plant CHPP"/>
    <s v="PJA Mining "/>
    <s v="WATERFILL"/>
    <s v="OLI TERCECER"/>
    <x v="7"/>
    <x v="0"/>
  </r>
  <r>
    <n v="29"/>
    <n v="2022"/>
    <s v="MACO"/>
    <s v="PT SIS"/>
    <d v="2022-04-02T00:00:00"/>
    <s v="APR"/>
    <d v="2022-04-14T00:00:00"/>
    <s v="Kamis"/>
    <s v="14.50 WIB"/>
    <s v="Parit Depan WS Haju "/>
    <s v="LPI-29-IV-2022- MACO"/>
    <x v="1"/>
    <s v="NON HPRI"/>
    <s v="Cabel Terputus Saat Perapihan Drainage WS Haju"/>
    <s v="PJA Hauling "/>
    <s v="PJA Hauling "/>
    <s v="KABEL "/>
    <s v="KABEL TERGARUK"/>
    <x v="8"/>
    <x v="2"/>
  </r>
  <r>
    <n v="30"/>
    <n v="2022"/>
    <s v="MACO"/>
    <s v="PT SIS"/>
    <d v="2022-04-02T00:00:00"/>
    <s v="APR"/>
    <d v="2022-04-14T00:00:00"/>
    <s v="Kamis"/>
    <s v="16.50 WIB"/>
    <s v="Jembatan Bao - Bao "/>
    <s v="LPI-30-IV-2022- MACO"/>
    <x v="1"/>
    <s v="HPRI"/>
    <s v="DT090 Menabrak Jembatan Bao-Bao Km 65"/>
    <s v="PJA Hauling "/>
    <s v="PJA Hauling "/>
    <s v="DUMP TRUCK"/>
    <s v="UNIT MENABRAK"/>
    <x v="3"/>
    <x v="0"/>
  </r>
  <r>
    <n v="31"/>
    <n v="2022"/>
    <s v="MACO"/>
    <s v="PT SIS"/>
    <d v="2022-04-02T00:00:00"/>
    <s v="APR"/>
    <d v="2022-04-17T00:00:00"/>
    <s v="Minggu"/>
    <s v="04.20 WIB"/>
    <s v="KM 24 "/>
    <s v="LPI-31-IV-2022- MACO"/>
    <x v="1"/>
    <s v="NON HPRI"/>
    <s v="DT088 Menyerempet tanggul Km 24 Arah Kosongan"/>
    <s v="PJA Hauling "/>
    <s v="PJA Hauling "/>
    <s v="DUMP TRUCK"/>
    <s v="UNIT MENABRAK"/>
    <x v="0"/>
    <x v="0"/>
  </r>
  <r>
    <n v="32"/>
    <n v="2022"/>
    <s v="MACO"/>
    <s v="PT SIS"/>
    <d v="2022-04-02T00:00:00"/>
    <s v="APR"/>
    <d v="2022-04-21T00:00:00"/>
    <s v="Kamis"/>
    <s v="04.40 WIB"/>
    <s v="LNR KM 66"/>
    <s v="LPI-32-IV-2022- MACO"/>
    <x v="1"/>
    <s v="HPRI"/>
    <s v="DT040-0019 Mundur Tersandar di Tanggul di Km 66"/>
    <s v="PJA Hauling "/>
    <s v="PJA Hauling "/>
    <s v="DUMP TRUCK"/>
    <s v="UNIT MUNDUR "/>
    <x v="3"/>
    <x v="0"/>
  </r>
  <r>
    <n v="33"/>
    <n v="2022"/>
    <s v="MACO"/>
    <s v="PT SIS"/>
    <d v="2022-04-02T00:00:00"/>
    <s v="APR"/>
    <d v="2022-04-25T00:00:00"/>
    <s v="Senin"/>
    <s v="11.15 WIB"/>
    <s v="KM 19.500 "/>
    <s v="LPI-33-IV-2022- MACO"/>
    <x v="1"/>
    <s v="HPRI"/>
    <s v="DT040-0011 Rebah di Km 19+500 "/>
    <s v="PJA Hauling "/>
    <s v="PJA Hauling "/>
    <s v="DUMP TRUCK"/>
    <s v="UNIT REBAH"/>
    <x v="0"/>
    <x v="0"/>
  </r>
  <r>
    <n v="34"/>
    <n v="2022"/>
    <s v="MACO"/>
    <s v="PT SIS"/>
    <d v="2022-05-11T00:00:00"/>
    <s v="MEI"/>
    <d v="2022-05-11T00:00:00"/>
    <s v="Rabu "/>
    <s v="09.30 WIB "/>
    <s v="KM 5 "/>
    <s v="LPI-34-V-2022- MACO"/>
    <x v="0"/>
    <s v="HPRI"/>
    <s v="DT - 027 Mundur di tanjakan KM 5 "/>
    <s v="PJA Hauling "/>
    <s v="PJA Hauling "/>
    <s v="DUMP TRUCK"/>
    <s v="UNIT MUNDUR "/>
    <x v="0"/>
    <x v="0"/>
  </r>
  <r>
    <n v="35"/>
    <n v="2022"/>
    <s v="MACO"/>
    <s v="PT SIS"/>
    <d v="2022-05-11T00:00:00"/>
    <s v="MEI"/>
    <d v="2022-05-11T00:00:00"/>
    <s v="Rabu "/>
    <s v="15.12 WIB"/>
    <s v="KM 5 "/>
    <s v="LPI-35-V-2022- MACO"/>
    <x v="0"/>
    <s v="HPRI"/>
    <s v="DT - 013 Mundur di tanjakan KM 5 "/>
    <s v="PJA Hauling "/>
    <s v="PJA Hauling "/>
    <s v="DUMP TRUCK"/>
    <s v="UNIT MUNDUR "/>
    <x v="0"/>
    <x v="0"/>
  </r>
  <r>
    <n v="36"/>
    <n v="2022"/>
    <s v="MACO"/>
    <s v="PT SIS"/>
    <d v="2022-05-11T00:00:00"/>
    <s v="MEI"/>
    <d v="2022-05-15T00:00:00"/>
    <s v="Minggu"/>
    <s v="02.09 WIB"/>
    <s v="Front EXC 037 SEAM CM PIT NORTH"/>
    <s v="LPI-36-V-2022- MACO"/>
    <x v="1"/>
    <s v="HPRI"/>
    <s v="DT - 1012 Rebah ke kiri di area front loading Exc 37"/>
    <s v="PJA Mining "/>
    <s v="PJA Mining "/>
    <s v="DUMP TRUCK"/>
    <s v="UNIT REBAH"/>
    <x v="4"/>
    <x v="1"/>
  </r>
  <r>
    <n v="37"/>
    <n v="2022"/>
    <s v="MACO"/>
    <s v="PT SIS"/>
    <d v="2022-05-11T00:00:00"/>
    <s v="MEI"/>
    <d v="2022-05-21T00:00:00"/>
    <s v="Sabtu"/>
    <s v="09.30 WIB"/>
    <s v="Road 1 D"/>
    <s v="LPI-37-V-2022- MACO"/>
    <x v="1"/>
    <s v="HPRI"/>
    <s v="DT 030– 096 Menabrak tanggul di Road 1D"/>
    <s v="PJA Mining "/>
    <s v="PJA Mining "/>
    <s v="DUMP TRUCK"/>
    <s v="UNIT MENABRAK"/>
    <x v="9"/>
    <x v="0"/>
  </r>
  <r>
    <n v="38"/>
    <n v="2022"/>
    <s v="MACO"/>
    <s v="PT SIS"/>
    <d v="2022-05-11T00:00:00"/>
    <s v="MEI"/>
    <d v="2022-05-21T00:00:00"/>
    <s v="Sabtu"/>
    <s v="18.40 WIB"/>
    <s v="LNR KM 78"/>
    <s v="LPI-38-V-2022- MACO"/>
    <x v="0"/>
    <s v="NON HPRI"/>
    <s v="DT040-0015 Amblas di KM 78"/>
    <s v="PJA Hauling "/>
    <s v="PJA Hauling "/>
    <s v="DUMP TRUCK"/>
    <s v="UNIT AMBLAS "/>
    <x v="3"/>
    <x v="0"/>
  </r>
  <r>
    <n v="39"/>
    <n v="2022"/>
    <s v="MACO"/>
    <s v="PT SIS"/>
    <d v="2022-05-11T00:00:00"/>
    <s v="MEI"/>
    <d v="2022-05-23T00:00:00"/>
    <s v="Senin"/>
    <s v="09.40 WIB"/>
    <s v="Disposal RL 340"/>
    <s v="LPI-39-V-2022- MACO"/>
    <x v="2"/>
    <s v="HPRI"/>
    <s v="DT020-0158 rebah ke kiri disposal 340"/>
    <s v="PJA Mining "/>
    <s v="PJA Mining "/>
    <s v="DUMP TRUCK"/>
    <s v="UNIT AMBLAS "/>
    <x v="10"/>
    <x v="1"/>
  </r>
  <r>
    <n v="40"/>
    <n v="2022"/>
    <s v="MACO"/>
    <s v="PT SIS"/>
    <d v="2022-05-11T00:00:00"/>
    <s v="MEI"/>
    <d v="2022-05-25T00:00:00"/>
    <s v="Rabu"/>
    <s v="09.00 WIB"/>
    <s v="Disposal RL 345"/>
    <s v="LPI-40-V-2022- MACO"/>
    <x v="0"/>
    <s v="NON HPRI"/>
    <s v="Tyre Kiri HD-058 Amblas di Disposal RL 345"/>
    <s v="PJA Mining "/>
    <s v="PJA Mining "/>
    <s v="DUMP TRUCK"/>
    <s v="UNIT AMBLAS "/>
    <x v="10"/>
    <x v="1"/>
  </r>
  <r>
    <n v="41"/>
    <n v="2022"/>
    <s v="MACO"/>
    <s v="PT SIS"/>
    <d v="2022-05-11T00:00:00"/>
    <s v="MEI"/>
    <d v="2022-05-26T00:00:00"/>
    <s v="Kamis"/>
    <s v="20.30 WIB"/>
    <s v="KM 12.500"/>
    <s v="LPI-41-V-2022- MACO"/>
    <x v="0"/>
    <s v="NON HPRI"/>
    <s v="DT030-0098 Amblas di KM 12.500"/>
    <s v="PJA Hauling "/>
    <s v="PJA Hauling "/>
    <s v="DUMP TRUCK"/>
    <s v="UNIT AMBLAS "/>
    <x v="0"/>
    <x v="0"/>
  </r>
  <r>
    <n v="42"/>
    <n v="2022"/>
    <s v="MACO"/>
    <s v="PT SIS"/>
    <d v="2022-05-11T00:00:00"/>
    <s v="MEI"/>
    <d v="2022-05-28T00:00:00"/>
    <s v="Sabtu"/>
    <s v="17.50 WIB"/>
    <s v="Mess Haju"/>
    <s v="LPI-42-V-2022- MACO"/>
    <x v="1"/>
    <s v="HPRI"/>
    <s v="CT 007 menabrak mundur tiang walk way"/>
    <s v="PJA Plant Haju"/>
    <s v="PJA Plant Haju"/>
    <s v="CRANE TRUCK"/>
    <s v="UNIT MENABRAK"/>
    <x v="11"/>
    <x v="3"/>
  </r>
  <r>
    <n v="43"/>
    <n v="2022"/>
    <s v="MACO"/>
    <s v="PT SIS"/>
    <d v="2022-05-11T00:00:00"/>
    <s v="MEI"/>
    <d v="2022-05-28T00:00:00"/>
    <s v="Sabtu"/>
    <s v="22.00 WIB"/>
    <s v="KM 34"/>
    <s v="LPI-43-V-2022- MACO"/>
    <x v="0"/>
    <s v="HPRI"/>
    <s v="WST033 tergelincir dipinggir jalan di Km 34"/>
    <s v="PJA Plant Haju"/>
    <s v="PJA Hauling "/>
    <s v="WASHING TRUCK"/>
    <s v="UNIT SLIP "/>
    <x v="2"/>
    <x v="0"/>
  </r>
  <r>
    <n v="44"/>
    <n v="2022"/>
    <s v="MACO"/>
    <s v="PT SIS"/>
    <d v="2022-06-11T00:00:00"/>
    <s v="JUN"/>
    <d v="2022-06-02T00:00:00"/>
    <s v="Kamis"/>
    <s v="19.05 WIB"/>
    <s v="Room CHPP (Hopper)"/>
    <s v="LPI-44-VI-2022- MACO"/>
    <x v="1"/>
    <s v="NON HPRI"/>
    <s v="Plate Stopper Hopper Lepas"/>
    <s v="PJA Hauling "/>
    <s v="PJA Mining "/>
    <s v="HOPPER"/>
    <m/>
    <x v="5"/>
    <x v="0"/>
  </r>
  <r>
    <n v="45"/>
    <n v="2022"/>
    <s v="MACO"/>
    <s v="PT SIS"/>
    <d v="2022-06-11T00:00:00"/>
    <s v="JUN"/>
    <d v="2022-06-09T00:00:00"/>
    <s v="Kamis"/>
    <s v="08.30 WIB"/>
    <s v="Disposal Mud Cell RL 290"/>
    <s v="LPI-45-VI-2022- MACO"/>
    <x v="0"/>
    <s v="NON HPRI"/>
    <s v="HD535 Amblas di Disposal Mud Cell RL 290"/>
    <s v="PJA Mining "/>
    <s v="PJA Mining "/>
    <s v="DUMP TRUCK"/>
    <s v="UNIT AMBLAS "/>
    <x v="10"/>
    <x v="1"/>
  </r>
  <r>
    <n v="46"/>
    <n v="2022"/>
    <s v="MACO"/>
    <s v="PT SIS"/>
    <d v="2022-06-11T00:00:00"/>
    <s v="JUN"/>
    <d v="2022-06-09T00:00:00"/>
    <s v="Kamis"/>
    <s v="04.15 WIB"/>
    <s v="KM 50  - LNR"/>
    <s v="LPI-46-VI-2022- MACO"/>
    <x v="1"/>
    <s v="HPRI"/>
    <s v="DT 151 menyisir bahu jalan di Km 50"/>
    <s v="PJA Hauling "/>
    <s v="PJA Hauling "/>
    <s v="DUMP TRUCK"/>
    <s v="UNIT MENABRAK"/>
    <x v="3"/>
    <x v="0"/>
  </r>
  <r>
    <n v="47"/>
    <n v="2022"/>
    <s v="MACO"/>
    <s v="PT SIS"/>
    <d v="2022-06-11T00:00:00"/>
    <s v="JUN"/>
    <d v="2022-06-11T00:00:00"/>
    <s v="Sabtu"/>
    <s v="10.30 WIB"/>
    <s v="KM 39  - CHR"/>
    <s v="LPI-47-VI-2022- MACO"/>
    <x v="0"/>
    <s v="NON HPRI"/>
    <s v="DT124 Muatan Menabrak Tanggul Kosongan di Km 39"/>
    <s v="PJA Hauling "/>
    <s v="PJA Hauling "/>
    <s v="DUMP TRUCK"/>
    <s v="UNIT MENABRAK"/>
    <x v="2"/>
    <x v="0"/>
  </r>
  <r>
    <n v="48"/>
    <n v="2022"/>
    <s v="MACO"/>
    <s v="PT SIS"/>
    <d v="2022-06-11T00:00:00"/>
    <s v="JUN"/>
    <d v="2022-06-12T00:00:00"/>
    <s v="Minggu"/>
    <s v="07.50 WIB"/>
    <s v="KM 21  - SHR"/>
    <s v="LPI-48-VI-2022- MACO"/>
    <x v="1"/>
    <s v="HPRI"/>
    <s v="DT 040-013 menabrak vassel belakang sebelah kiri DT 030-135"/>
    <s v="PJA Hauling "/>
    <s v="PJA Hauling "/>
    <s v="DUMP TRUCK"/>
    <s v="UNIT MENABRAK"/>
    <x v="0"/>
    <x v="0"/>
  </r>
  <r>
    <n v="49"/>
    <n v="2022"/>
    <s v="MACO"/>
    <s v="PT SIS"/>
    <d v="2022-06-11T00:00:00"/>
    <s v="JUN"/>
    <d v="2022-06-12T00:00:00"/>
    <s v="Minggu"/>
    <s v="01.40 WIB"/>
    <s v="Parkiran Transcon CHPP"/>
    <s v="LPI-49-VI-2022- MACO"/>
    <x v="1"/>
    <s v="NON HPRI"/>
    <s v="DT 040-28 melakukan manuver parkir mundur menyenggol DT 030-89"/>
    <s v="PJA Hauling "/>
    <s v="PJA Hauling "/>
    <s v="DUMP TRUCK"/>
    <s v="UNIT MENABRAK"/>
    <x v="12"/>
    <x v="0"/>
  </r>
  <r>
    <n v="50"/>
    <n v="2022"/>
    <s v="MACO"/>
    <s v="PT SIS"/>
    <d v="2022-06-11T00:00:00"/>
    <s v="JUN"/>
    <d v="2022-06-24T00:00:00"/>
    <s v="Jumat"/>
    <s v="10.40 WIB"/>
    <s v="KM 16 - SHR"/>
    <s v="LPI-50-VI-2022- MACO"/>
    <x v="2"/>
    <s v="NON HPRI"/>
    <s v="Oli Bekas tercecer ketanah dijalan hauling KM 16 + 500 "/>
    <s v="PJA Plant Haju"/>
    <s v="PJA Hauling "/>
    <s v="OLI"/>
    <s v="OLI TERCECER"/>
    <x v="0"/>
    <x v="0"/>
  </r>
  <r>
    <n v="51"/>
    <n v="2022"/>
    <s v="MACO"/>
    <s v="PT SIS"/>
    <d v="2022-06-11T00:00:00"/>
    <s v="JUN"/>
    <d v="2022-06-26T00:00:00"/>
    <s v="Minggu"/>
    <s v="01.15 WIB"/>
    <s v="Akses Masuk Sump Pit North"/>
    <s v="LPI-51-VI-2022- MACO"/>
    <x v="1"/>
    <s v="HPRI"/>
    <s v="HD093 menabrak vessel belakang DT1013 di akses masuk sump Pit North"/>
    <s v="PJA Mining "/>
    <s v="PJA Mining "/>
    <s v="DUMP TRUCK"/>
    <s v="UNIT MENABRAK"/>
    <x v="4"/>
    <x v="1"/>
  </r>
  <r>
    <n v="52"/>
    <n v="2022"/>
    <s v="MACO"/>
    <s v="PT SIS"/>
    <d v="2022-07-11T00:00:00"/>
    <s v="JULI"/>
    <d v="2022-07-07T00:00:00"/>
    <s v="Kamis"/>
    <s v="23.00 WIB"/>
    <s v="Workshop Lampunut"/>
    <s v="LPI-52-VII-2022- MACO"/>
    <x v="3"/>
    <s v="NON HPRI"/>
    <s v="Mekanik luka pada lengan kiri terkena lentingan palu tembaga di WS Lampunut"/>
    <s v="PJA Plant CHPP"/>
    <s v="PJA Plant CHPP"/>
    <s v="MEKANIK"/>
    <s v="LENTINGAN MATERIAL"/>
    <x v="8"/>
    <x v="2"/>
  </r>
  <r>
    <n v="53"/>
    <n v="2022"/>
    <s v="MACO"/>
    <s v="PT SIS"/>
    <d v="2022-07-11T00:00:00"/>
    <s v="JULI"/>
    <d v="2022-07-07T00:00:00"/>
    <s v="Kamis"/>
    <s v="00.40 WIB"/>
    <s v="KM 3+500"/>
    <s v="LPI-53-VII-2022- MACO"/>
    <x v="1"/>
    <s v="HPRI"/>
    <s v="DT030-0083 muatan tidak kuat menanjak kemudian rebah di KM 03+500"/>
    <s v="PJA Hauling "/>
    <s v="PJA Hauling "/>
    <s v="DUMP TRUCK"/>
    <s v="UNIT MUNDUR "/>
    <x v="0"/>
    <x v="0"/>
  </r>
  <r>
    <n v="54"/>
    <n v="2022"/>
    <s v="MACO"/>
    <s v="PT SIS"/>
    <d v="2022-07-11T00:00:00"/>
    <s v="JULI"/>
    <d v="2022-07-13T00:00:00"/>
    <s v="Rabu"/>
    <s v="04.00 WIB"/>
    <s v="KM 30+000"/>
    <s v="LPI-54-VII-2022- MACO"/>
    <x v="1"/>
    <s v="NON HPRI"/>
    <s v="DT030-0009 Rebah di KM 30+000"/>
    <s v="PJA Hauling "/>
    <s v="PJA Hauling "/>
    <s v="DUMP TRUCK"/>
    <s v="UNIT REBAH"/>
    <x v="0"/>
    <x v="0"/>
  </r>
  <r>
    <n v="55"/>
    <n v="2022"/>
    <s v="MACO"/>
    <s v="PT SIS"/>
    <d v="2022-07-11T00:00:00"/>
    <s v="JULI"/>
    <d v="2022-07-16T00:00:00"/>
    <s v="Sabtu"/>
    <s v="19.50 WIB"/>
    <s v=" KM 75+500"/>
    <s v="LPI-55-VII-2022- MACO"/>
    <x v="3"/>
    <s v="HPRI"/>
    <s v="DT030-0109 Rebah Kekanan"/>
    <s v="PJA Hauling "/>
    <s v="PJA Hauling "/>
    <s v="DUMP TRUCK"/>
    <s v="UNIT REBAH"/>
    <x v="3"/>
    <x v="0"/>
  </r>
  <r>
    <n v="56"/>
    <n v="2022"/>
    <s v="MACO"/>
    <s v="PT SIS"/>
    <d v="2022-07-11T00:00:00"/>
    <s v="JULI"/>
    <d v="2022-07-21T00:00:00"/>
    <s v="Kamis"/>
    <s v="08.30 WIB"/>
    <s v="ROM PIT 1"/>
    <s v="LPI-56-VII-2022- MACO"/>
    <x v="1"/>
    <s v="HPRI"/>
    <s v="DT030-1008  rebah ke kanan"/>
    <s v="PJA Hauling "/>
    <s v="PJA Hauling "/>
    <s v="DUMP TRUCK"/>
    <s v="UNIT REBAH"/>
    <x v="13"/>
    <x v="0"/>
  </r>
  <r>
    <n v="57"/>
    <n v="2022"/>
    <s v="MACO"/>
    <s v="PT SIS"/>
    <d v="2022-07-11T00:00:00"/>
    <s v="JULI"/>
    <d v="2022-07-22T00:00:00"/>
    <s v="Jumat"/>
    <s v="15.30 WIB"/>
    <s v="SHR - KM 34"/>
    <s v="LPI-57-VII-2022- MACO"/>
    <x v="0"/>
    <s v="NON HPRI"/>
    <s v="DT030-0111 Muatan Amblas/sandar pada tanggul jalur Kosongan."/>
    <s v="PJA Hauling "/>
    <s v="PJA Hauling "/>
    <s v="DUMP TRUCK"/>
    <s v="UNIT AMBLAS "/>
    <x v="0"/>
    <x v="0"/>
  </r>
  <r>
    <n v="58"/>
    <n v="2022"/>
    <s v="MACO"/>
    <s v="PT SIS"/>
    <d v="2022-07-11T00:00:00"/>
    <s v="JULI"/>
    <d v="2022-07-28T00:00:00"/>
    <s v="Kamis"/>
    <s v="08.15 WIB"/>
    <s v="Waterfill KM 6"/>
    <s v="LPI-58-VII-2022- MACO"/>
    <x v="2"/>
    <s v="NON HPRI"/>
    <s v="Ceceran Solar di Waterfill KM 6"/>
    <s v="PJA Log Haju"/>
    <s v="PJA Hauling "/>
    <s v="WATERPUMP"/>
    <s v="CECERAN"/>
    <x v="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s v="SHR"/>
    <s v="LPI-01-I-2022-MACO"/>
    <x v="0"/>
    <s v="NON HPRI"/>
    <s v="DT083 Amblas di Km 2.5"/>
    <s v="PJA Hauling "/>
    <s v="PJA Hauling "/>
    <x v="0"/>
  </r>
  <r>
    <s v="TIMBANGAN"/>
    <s v="LPI-02-I-2022-MACO"/>
    <x v="1"/>
    <s v="NON HPRI"/>
    <s v="Atap timbangan tuhup tersenggol muffler DT Scania 005"/>
    <s v="PJA Hauling "/>
    <s v="PJA Hauling "/>
    <x v="0"/>
  </r>
  <r>
    <s v="LNR"/>
    <s v="LPI-03-I-2022-MACO"/>
    <x v="2"/>
    <s v="NON HPRI"/>
    <s v="MH 001 lepas tangki"/>
    <s v="PJA GA"/>
    <s v="PJA Hauling "/>
    <x v="0"/>
  </r>
  <r>
    <s v="LNR"/>
    <s v="LPI-04-I-2022-MACO"/>
    <x v="0"/>
    <s v="NON HPRI"/>
    <s v="Compact CP010-001 Tergelincir"/>
    <s v="PJA Hauling "/>
    <s v="PJA Hauling "/>
    <x v="0"/>
  </r>
  <r>
    <s v="SHR"/>
    <s v="LPI-05-I-2022-MACO"/>
    <x v="0"/>
    <s v="HPRI"/>
    <s v="DT 040-022 , Mundur di tanjakan sehingga amblas"/>
    <s v="PJA Hauling "/>
    <s v="PJA Hauling "/>
    <x v="0"/>
  </r>
  <r>
    <s v="LNR"/>
    <s v="LPI-06-I-2022-MACO"/>
    <x v="0"/>
    <s v="NON HPRI"/>
    <s v="DT 030-0095, Tyre R1 Mengeluarkan asap"/>
    <s v="PJA Hauling "/>
    <s v="PJA Hauling "/>
    <x v="0"/>
  </r>
  <r>
    <s v="PORT"/>
    <s v="LPI-07-I-2022-MACO"/>
    <x v="1"/>
    <s v="NON HPRI"/>
    <s v="LV BMC 01 Menyenggol tiang CCTV Port"/>
    <s v="PJA Mining "/>
    <s v="PJA Hauling "/>
    <x v="0"/>
  </r>
  <r>
    <s v="SHR"/>
    <s v="LPI-08-I-2022-MACO"/>
    <x v="0"/>
    <s v="NON HPRI"/>
    <s v="DT 040-006 Amblas di tikungan km 28"/>
    <s v="PJA Hauling "/>
    <s v="PJA Hauling "/>
    <x v="0"/>
  </r>
  <r>
    <s v="SHR"/>
    <s v="LPI-09-I-2022-MACO"/>
    <x v="0"/>
    <s v="HPRI"/>
    <s v="DT 040-013 Mundur di tanjakan KM 4+800 sehingga amblas"/>
    <s v="PJA Hauling "/>
    <s v="PJA Hauling "/>
    <x v="0"/>
  </r>
  <r>
    <s v="PORT"/>
    <s v="LPI-10-I-2022-MACO"/>
    <x v="1"/>
    <s v="HPRI"/>
    <s v="DT 030-089, Rebah saat Dumping di Port"/>
    <s v="PJA Hauling "/>
    <s v="PJA Hauling "/>
    <x v="0"/>
  </r>
  <r>
    <s v="LNR"/>
    <s v="LPI-11-I-2022-MACO"/>
    <x v="0"/>
    <s v="HPRI"/>
    <s v="DT 020-0124 Menyenggol Median"/>
    <s v="PJA Hauling "/>
    <s v="PJA Hauling "/>
    <x v="0"/>
  </r>
  <r>
    <s v="LNR"/>
    <s v="LPI-12-I-2022- MACO"/>
    <x v="1"/>
    <s v="HPRI"/>
    <s v="DT 030 - 085 Rebah di KM 50 "/>
    <s v="PJA Hauling "/>
    <s v="PJA Hauling "/>
    <x v="0"/>
  </r>
  <r>
    <s v="SHR"/>
    <s v="LPI-13-II-2022- MACO"/>
    <x v="0"/>
    <s v="HPRI"/>
    <s v="DT030-0114 Slip dan amblas saat mundur untuk memberikan prioritas ke DT AKT"/>
    <s v="PJA Hauling "/>
    <s v="PJA Hauling "/>
    <x v="0"/>
  </r>
  <r>
    <s v="PIT"/>
    <s v="LPI-14-II-2022- MACO"/>
    <x v="3"/>
    <s v="HPRI"/>
    <s v="Insiden MTI Pengawas terkena batu dibagian badan pada saat dumping "/>
    <s v="PJA Mining "/>
    <s v="PJA Mining "/>
    <x v="1"/>
  </r>
  <r>
    <s v="SHR"/>
    <s v="LPI-15-II-2022- MACO"/>
    <x v="1"/>
    <s v="HPRI"/>
    <s v="DT030-087 Menabrak Tanggul di Hauling Road SHR KM 32"/>
    <s v="PJA Hauling "/>
    <s v="PJA Hauling "/>
    <x v="0"/>
  </r>
  <r>
    <s v="SHR"/>
    <s v="LPI-16-II-2022- MACO"/>
    <x v="0"/>
    <s v="NON HPRI"/>
    <s v="DT 030-0012 Amblas"/>
    <s v="PJA Hauling "/>
    <s v="PJA Hauling "/>
    <x v="0"/>
  </r>
  <r>
    <s v="SHR"/>
    <s v="LPI-17-II-2022- MACO"/>
    <x v="1"/>
    <s v="HPRI"/>
    <s v="Fire Case DT 010"/>
    <s v="PJA Hauling "/>
    <s v="PJA Hauling "/>
    <x v="0"/>
  </r>
  <r>
    <s v="LNR"/>
    <s v="LPI-18-III-2022- MACO"/>
    <x v="1"/>
    <s v="HPRI"/>
    <s v="DT 030-0106, Rebah di KM 51"/>
    <s v="PJA Hauling "/>
    <s v="PJA Hauling "/>
    <x v="0"/>
  </r>
  <r>
    <s v="SHR"/>
    <s v="LPI-19-III-2022- MACO"/>
    <x v="0"/>
    <s v="NON HPRI"/>
    <s v="DT 104 Muatan Ambalas di km 12"/>
    <s v="PJA Hauling "/>
    <s v="PJA Hauling "/>
    <x v="0"/>
  </r>
  <r>
    <s v="SHR"/>
    <s v="LPI-20-III-2022- MACO"/>
    <x v="1"/>
    <s v="HPRI"/>
    <s v="DT 030-103 Menabrak Belakang FT 083 di KM 14.500"/>
    <s v="PJA Hauling "/>
    <s v="PJA Hauling "/>
    <x v="0"/>
  </r>
  <r>
    <s v="SHR"/>
    <s v="LPI-21-III-2022- MACO"/>
    <x v="0"/>
    <s v="NON HPRI"/>
    <s v="DT030- 013 Amblas jalur muatan melewati km 34 berselisihan dengan dt kosongan.Dt 013"/>
    <s v="PJA Hauling "/>
    <s v="PJA Hauling "/>
    <x v="0"/>
  </r>
  <r>
    <s v="PORT"/>
    <s v="LPI-22-III-2022- MACO"/>
    <x v="1"/>
    <s v="NON HPRI"/>
    <s v="Kabel Optik Putus di area timbangan port"/>
    <s v="PJA Hauling "/>
    <s v="PJA Hauling "/>
    <x v="0"/>
  </r>
  <r>
    <s v="ROM RAW"/>
    <s v="LPI-23-III-2022- MACO"/>
    <x v="1"/>
    <s v="HPRI"/>
    <s v="DT030-0135 di Room Raw CHPP"/>
    <s v="PJA Hauling "/>
    <s v="PJA Mining "/>
    <x v="0"/>
  </r>
  <r>
    <s v="CHR"/>
    <s v="LPI-24-III-2022- MACO"/>
    <x v="1"/>
    <s v="NON HPRI"/>
    <s v="LV-111 Amblas Mengalami Lepas Bemper"/>
    <s v="PJA Hauling "/>
    <s v="PJA Hauling "/>
    <x v="0"/>
  </r>
  <r>
    <s v="SHR"/>
    <s v="LPI-25-IV-2022- MACO"/>
    <x v="1"/>
    <s v="HPRI"/>
    <s v="DT 040-019 Mundur di tanjakan KM 3 sehingga amblas"/>
    <s v="PJA Hauling "/>
    <s v="PJA Hauling "/>
    <x v="0"/>
  </r>
  <r>
    <s v="SHR"/>
    <s v="LPI-26-IV-2022- MACO"/>
    <x v="0"/>
    <s v="NON HPRI"/>
    <s v="DT 040 – 028 Amblas di KM 26 Simpang Kohong "/>
    <s v="PJA Hauling "/>
    <s v="PJA Hauling "/>
    <x v="0"/>
  </r>
  <r>
    <s v="PENCUCIAN LV"/>
    <s v="LPI-27-IV-2022- MACO"/>
    <x v="0"/>
    <s v="NON HPRI"/>
    <s v="Tyre Depan Sebelah Kanan LV S-113 Jatuh Disela-sela ramdor pencucian CHPP "/>
    <s v="PJA Pit Control"/>
    <s v="PJA Mining "/>
    <x v="1"/>
  </r>
  <r>
    <s v="WATERFILL "/>
    <s v="LPI-28-IV-2022- MACO"/>
    <x v="2"/>
    <s v="NON HPRI"/>
    <s v="Ceceran Oli di Waterfill KM 70"/>
    <s v="PJA Plant CHPP"/>
    <s v="PJA Mining "/>
    <x v="0"/>
  </r>
  <r>
    <s v="WORKSHOP"/>
    <s v="LPI-29-IV-2022- MACO"/>
    <x v="1"/>
    <s v="NON HPRI"/>
    <s v="Cabel Terputus Saat Perapihan Drainage WS Haju"/>
    <s v="PJA Hauling "/>
    <s v="PJA Hauling "/>
    <x v="2"/>
  </r>
  <r>
    <s v="LNR"/>
    <s v="LPI-30-IV-2022- MACO"/>
    <x v="1"/>
    <s v="HPRI"/>
    <s v="DT090 Menabrak Jembatan Bao-Bao Km 65"/>
    <s v="PJA Hauling "/>
    <s v="PJA Hauling "/>
    <x v="0"/>
  </r>
  <r>
    <s v="SHR"/>
    <s v="LPI-31-IV-2022- MACO"/>
    <x v="1"/>
    <s v="NON HPRI"/>
    <s v="DT088 Menyerempet tanggul Km 24 Arah Kosongan"/>
    <s v="PJA Hauling "/>
    <s v="PJA Hauling "/>
    <x v="0"/>
  </r>
  <r>
    <s v="LNR"/>
    <s v="LPI-32-IV-2022- MACO"/>
    <x v="1"/>
    <s v="HPRI"/>
    <s v="DT040-0019 Mundur Tersandar di Tanggul di Km 66"/>
    <s v="PJA Hauling "/>
    <s v="PJA Hauling "/>
    <x v="0"/>
  </r>
  <r>
    <s v="SHR"/>
    <s v="LPI-33-IV-2022- MACO"/>
    <x v="1"/>
    <s v="HPRI"/>
    <s v="DT040-0011 Rebah di Km 19+500 "/>
    <s v="PJA Hauling "/>
    <s v="PJA Hauling "/>
    <x v="0"/>
  </r>
  <r>
    <s v="SHR"/>
    <s v="LPI-34-V-2022- MACO"/>
    <x v="0"/>
    <s v="HPRI"/>
    <s v="DT - 027 Mundur di tanjakan KM 5 "/>
    <s v="PJA Hauling "/>
    <s v="PJA Hauling "/>
    <x v="0"/>
  </r>
  <r>
    <s v="SHR"/>
    <s v="LPI-35-V-2022- MACO"/>
    <x v="0"/>
    <s v="HPRI"/>
    <s v="DT - 013 Mundur di tanjakan KM 5 "/>
    <s v="PJA Hauling "/>
    <s v="PJA Hauling "/>
    <x v="0"/>
  </r>
  <r>
    <s v="PIT"/>
    <s v="LPI-36-V-2022- MACO"/>
    <x v="1"/>
    <s v="HPRI"/>
    <s v="DT - 1012 Rebah ke kiri di area front loading Exc 37"/>
    <s v="PJA Mining "/>
    <s v="PJA Mining "/>
    <x v="1"/>
  </r>
  <r>
    <s v="MINE ROAD"/>
    <s v="LPI-37-V-2022- MACO"/>
    <x v="1"/>
    <s v="HPRI"/>
    <s v="DT 030– 096 Menabrak tanggul di Road 1D"/>
    <s v="PJA Mining "/>
    <s v="PJA Mining "/>
    <x v="0"/>
  </r>
  <r>
    <s v="LNR"/>
    <s v="LPI-38-V-2022- MACO"/>
    <x v="0"/>
    <s v="NON HPRI"/>
    <s v="DT040-0015 Amblas di KM 78"/>
    <s v="PJA Hauling "/>
    <s v="PJA Hauling "/>
    <x v="0"/>
  </r>
  <r>
    <s v="DISPOSAL"/>
    <s v="LPI-39-V-2022- MACO"/>
    <x v="2"/>
    <s v="HPRI"/>
    <s v="DT020-0158 rebah ke kiri disposal 340"/>
    <s v="PJA Mining "/>
    <s v="PJA Mining "/>
    <x v="1"/>
  </r>
  <r>
    <s v="DISPOSAL"/>
    <s v="LPI-40-V-2022- MACO"/>
    <x v="0"/>
    <s v="NON HPRI"/>
    <s v="Tyre Kiri HD-058 Amblas di Disposal RL 345"/>
    <s v="PJA Mining "/>
    <s v="PJA Mining "/>
    <x v="1"/>
  </r>
  <r>
    <s v="SHR"/>
    <s v="LPI-41-V-2022- MACO"/>
    <x v="0"/>
    <s v="NON HPRI"/>
    <s v="DT030-0098 Amblas di KM 12.500"/>
    <s v="PJA Hauling "/>
    <s v="PJA Hauling "/>
    <x v="0"/>
  </r>
  <r>
    <s v="MESS"/>
    <s v="LPI-42-V-2022- MACO"/>
    <x v="1"/>
    <s v="HPRI"/>
    <s v="CT 007 menabrak mundur tiang walk way"/>
    <s v="PJA Plant Haju"/>
    <s v="PJA Plant Haju"/>
    <x v="3"/>
  </r>
  <r>
    <s v="SHR"/>
    <s v="LPI-43-V-2022- MACO"/>
    <x v="0"/>
    <s v="HPRI"/>
    <s v="WST033 tergelincir dipinggir jalan di Km 34"/>
    <s v="PJA Plant Haju"/>
    <s v="PJA Hauling "/>
    <x v="0"/>
  </r>
  <r>
    <s v="ROM RAW"/>
    <s v="LPI-44-VI-2022- MACO"/>
    <x v="1"/>
    <s v="NON HPRI"/>
    <s v="Plate Stopper Hopper Lepas"/>
    <s v="PJA Hauling "/>
    <s v="PJA Mining "/>
    <x v="0"/>
  </r>
  <r>
    <s v="DISPOSAL"/>
    <s v="LPI-45-VI-2022- MACO"/>
    <x v="0"/>
    <s v="NON HPRI"/>
    <s v="HD535 Amblas di Disposal Mud Cell RL 290"/>
    <s v="PJA Mining "/>
    <s v="PJA Mining "/>
    <x v="1"/>
  </r>
  <r>
    <s v="LNR"/>
    <s v="LPI-46-VI-2022- MACO"/>
    <x v="1"/>
    <s v="HPRI"/>
    <s v="DT 151 menyisir bahu jalan di Km 50"/>
    <s v="PJA Hauling "/>
    <s v="PJA Hauling "/>
    <x v="0"/>
  </r>
  <r>
    <s v="CHR"/>
    <s v="LPI-47-VI-2022- MACO"/>
    <x v="0"/>
    <s v="NON HPRI"/>
    <s v="DT124 Muatan Menabrak Tanggul Kosongan di Km 39"/>
    <s v="PJA Hauling "/>
    <s v="PJA Hauling "/>
    <x v="0"/>
  </r>
  <r>
    <s v="SHR"/>
    <s v="LPI-48-VI-2022- MACO"/>
    <x v="1"/>
    <s v="HPRI"/>
    <s v="DT 040-013 menabrak vassel belakang sebelah kiri DT 030-135"/>
    <s v="PJA Hauling "/>
    <s v="PJA Hauling "/>
    <x v="0"/>
  </r>
  <r>
    <s v="PARKIRAN TRANSKON"/>
    <s v="LPI-49-VI-2022- MACO"/>
    <x v="1"/>
    <s v="NON HPRI"/>
    <s v="DT 040-28 melakukan manuver parkir mundur menyenggol DT 030-89"/>
    <s v="PJA Hauling "/>
    <s v="PJA Hauling "/>
    <x v="0"/>
  </r>
  <r>
    <s v="SHR"/>
    <s v="LPI-50-VI-2022- MACO"/>
    <x v="2"/>
    <s v="NON HPRI"/>
    <s v="Oli Bekas tercecer ketanah dijalan hauling KM 16 + 500 "/>
    <s v="PJA Plant Haju"/>
    <s v="PJA Hauling "/>
    <x v="0"/>
  </r>
  <r>
    <s v="PIT"/>
    <s v="LPI-51-VI-2022- MACO"/>
    <x v="1"/>
    <s v="HPRI"/>
    <s v="HD093 menabrak vessel belakang DT1013 di akses masuk sump Pit North"/>
    <s v="PJA Mining "/>
    <s v="PJA Mining "/>
    <x v="1"/>
  </r>
  <r>
    <s v="WORKSHOP"/>
    <s v="LPI-52-VII-2022- MACO"/>
    <x v="3"/>
    <s v="NON HPRI"/>
    <s v="Mekanik luka pada lengan kiri terkena lentingan palu tembaga di WS Lampunut"/>
    <s v="PJA Plant CHPP"/>
    <s v="PJA Plant CHPP"/>
    <x v="2"/>
  </r>
  <r>
    <s v="SHR"/>
    <s v="LPI-53-VII-2022- MACO"/>
    <x v="1"/>
    <s v="HPRI"/>
    <s v="DT030-0083 muatan tidak kuat menanjak kemudian rebah di KM 03+500"/>
    <s v="PJA Hauling "/>
    <s v="PJA Hauling "/>
    <x v="0"/>
  </r>
  <r>
    <s v="SHR"/>
    <s v="LPI-54-VII-2022- MACO"/>
    <x v="1"/>
    <s v="NON HPRI"/>
    <s v="DT030-0009 Rebah di KM 30+000"/>
    <s v="PJA Hauling "/>
    <s v="PJA Hauling "/>
    <x v="0"/>
  </r>
  <r>
    <s v="LNR"/>
    <s v="LPI-55-VII-2022- MACO"/>
    <x v="3"/>
    <s v="HPRI"/>
    <s v="DT030-0109 Rebah Kekanan"/>
    <s v="PJA Hauling "/>
    <s v="PJA Hauling "/>
    <x v="0"/>
  </r>
  <r>
    <s v="ROM RAW"/>
    <s v="LPI-56-VII-2022- MACO"/>
    <x v="1"/>
    <s v="HPRI"/>
    <s v="DT030-1008  rebah ke kanan"/>
    <s v="PJA Hauling "/>
    <s v="PJA Hauling "/>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s v="LPI-01-I-2022-MACO"/>
    <x v="0"/>
    <s v="NON HPRI"/>
    <s v="DT083 Amblas di Km 2.5"/>
    <s v="PJA Hauling "/>
    <x v="0"/>
    <x v="0"/>
  </r>
  <r>
    <x v="1"/>
    <s v="LPI-02-I-2022-MACO"/>
    <x v="1"/>
    <s v="NON HPRI"/>
    <s v="Atap timbangan tuhup tersenggol muffler DT Scania 005"/>
    <s v="PJA Hauling "/>
    <x v="0"/>
    <x v="0"/>
  </r>
  <r>
    <x v="2"/>
    <s v="LPI-03-I-2022-MACO"/>
    <x v="2"/>
    <s v="NON HPRI"/>
    <s v="MH 001 lepas tangki"/>
    <s v="PJA GA"/>
    <x v="0"/>
    <x v="0"/>
  </r>
  <r>
    <x v="2"/>
    <s v="LPI-04-I-2022-MACO"/>
    <x v="0"/>
    <s v="NON HPRI"/>
    <s v="Compact CP010-001 Tergelincir"/>
    <s v="PJA Hauling "/>
    <x v="0"/>
    <x v="0"/>
  </r>
  <r>
    <x v="0"/>
    <s v="LPI-05-I-2022-MACO"/>
    <x v="0"/>
    <s v="HPRI"/>
    <s v="DT 040-022 , Mundur di tanjakan sehingga amblas"/>
    <s v="PJA Hauling "/>
    <x v="0"/>
    <x v="0"/>
  </r>
  <r>
    <x v="2"/>
    <s v="LPI-06-I-2022-MACO"/>
    <x v="0"/>
    <s v="NON HPRI"/>
    <s v="DT 030-0095, Tyre R1 Mengeluarkan asap"/>
    <s v="PJA Hauling "/>
    <x v="0"/>
    <x v="0"/>
  </r>
  <r>
    <x v="3"/>
    <s v="LPI-07-I-2022-MACO"/>
    <x v="1"/>
    <s v="NON HPRI"/>
    <s v="LV BMC 01 Menyenggol tiang CCTV Port"/>
    <s v="PJA Mining "/>
    <x v="0"/>
    <x v="0"/>
  </r>
  <r>
    <x v="0"/>
    <s v="LPI-08-I-2022-MACO"/>
    <x v="0"/>
    <s v="NON HPRI"/>
    <s v="DT 040-006 Amblas di tikungan km 28"/>
    <s v="PJA Hauling "/>
    <x v="0"/>
    <x v="0"/>
  </r>
  <r>
    <x v="0"/>
    <s v="LPI-09-I-2022-MACO"/>
    <x v="0"/>
    <s v="HPRI"/>
    <s v="DT 040-013 Mundur di tanjakan KM 4+800 sehingga amblas"/>
    <s v="PJA Hauling "/>
    <x v="0"/>
    <x v="0"/>
  </r>
  <r>
    <x v="3"/>
    <s v="LPI-10-I-2022-MACO"/>
    <x v="1"/>
    <s v="HPRI"/>
    <s v="DT 030-089, Rebah saat Dumping di Port"/>
    <s v="PJA Hauling "/>
    <x v="0"/>
    <x v="0"/>
  </r>
  <r>
    <x v="2"/>
    <s v="LPI-11-I-2022-MACO"/>
    <x v="0"/>
    <s v="HPRI"/>
    <s v="DT 020-0124 Menyenggol Median"/>
    <s v="PJA Hauling "/>
    <x v="0"/>
    <x v="0"/>
  </r>
  <r>
    <x v="2"/>
    <s v="LPI-12-I-2022- MACO"/>
    <x v="1"/>
    <s v="HPRI"/>
    <s v="DT 030 - 085 Rebah di KM 50 "/>
    <s v="PJA Hauling "/>
    <x v="0"/>
    <x v="0"/>
  </r>
  <r>
    <x v="0"/>
    <s v="LPI-13-II-2022- MACO"/>
    <x v="0"/>
    <s v="HPRI"/>
    <s v="DT030-0114 Slip dan amblas saat mundur untuk memberikan prioritas ke DT AKT"/>
    <s v="PJA Hauling "/>
    <x v="0"/>
    <x v="0"/>
  </r>
  <r>
    <x v="4"/>
    <s v="LPI-14-II-2022- MACO"/>
    <x v="3"/>
    <s v="HPRI"/>
    <s v="Insiden MTI Pengawas terkena batu dibagian badan pada saat dumping "/>
    <s v="PJA Mining "/>
    <x v="1"/>
    <x v="1"/>
  </r>
  <r>
    <x v="0"/>
    <s v="LPI-15-II-2022- MACO"/>
    <x v="1"/>
    <s v="HPRI"/>
    <s v="DT030-087 Menabrak Tanggul di Hauling Road SHR KM 32"/>
    <s v="PJA Hauling "/>
    <x v="0"/>
    <x v="0"/>
  </r>
  <r>
    <x v="0"/>
    <s v="LPI-16-II-2022- MACO"/>
    <x v="0"/>
    <s v="NON HPRI"/>
    <s v="DT 030-0012 Amblas"/>
    <s v="PJA Hauling "/>
    <x v="0"/>
    <x v="0"/>
  </r>
  <r>
    <x v="0"/>
    <s v="LPI-17-II-2022- MACO"/>
    <x v="1"/>
    <s v="HPRI"/>
    <s v="Fire Case DT 010"/>
    <s v="PJA Hauling "/>
    <x v="0"/>
    <x v="0"/>
  </r>
  <r>
    <x v="2"/>
    <s v="LPI-18-III-2022- MACO"/>
    <x v="1"/>
    <s v="HPRI"/>
    <s v="DT 030-0106, Rebah di KM 51"/>
    <s v="PJA Hauling "/>
    <x v="0"/>
    <x v="0"/>
  </r>
  <r>
    <x v="0"/>
    <s v="LPI-19-III-2022- MACO"/>
    <x v="0"/>
    <s v="NON HPRI"/>
    <s v="DT 104 Muatan Ambalas di km 12"/>
    <s v="PJA Hauling "/>
    <x v="0"/>
    <x v="0"/>
  </r>
  <r>
    <x v="0"/>
    <s v="LPI-20-III-2022- MACO"/>
    <x v="1"/>
    <s v="HPRI"/>
    <s v="DT 030-103 Menabrak Belakang FT 083 di KM 14.500"/>
    <s v="PJA Hauling "/>
    <x v="0"/>
    <x v="0"/>
  </r>
  <r>
    <x v="0"/>
    <s v="LPI-21-III-2022- MACO"/>
    <x v="0"/>
    <s v="NON HPRI"/>
    <s v="DT030- 013 Amblas jalur muatan melewati km 34 berselisihan dengan dt kosongan.Dt 013"/>
    <s v="PJA Hauling "/>
    <x v="0"/>
    <x v="0"/>
  </r>
  <r>
    <x v="3"/>
    <s v="LPI-22-III-2022- MACO"/>
    <x v="1"/>
    <s v="NON HPRI"/>
    <s v="Kabel Optik Putus di area timbangan port"/>
    <s v="PJA Hauling "/>
    <x v="0"/>
    <x v="0"/>
  </r>
  <r>
    <x v="5"/>
    <s v="LPI-23-III-2022- MACO"/>
    <x v="1"/>
    <s v="HPRI"/>
    <s v="DT030-0135 di Room Raw CHPP"/>
    <s v="PJA Hauling "/>
    <x v="1"/>
    <x v="0"/>
  </r>
  <r>
    <x v="6"/>
    <s v="LPI-24-III-2022- MACO"/>
    <x v="1"/>
    <s v="NON HPRI"/>
    <s v="LV-111 Amblas Mengalami Lepas Bemper"/>
    <s v="PJA Hauling "/>
    <x v="0"/>
    <x v="0"/>
  </r>
  <r>
    <x v="0"/>
    <s v="LPI-25-IV-2022- MACO"/>
    <x v="1"/>
    <s v="HPRI"/>
    <s v="DT 040-019 Mundur di tanjakan KM 3 sehingga amblas"/>
    <s v="PJA Hauling "/>
    <x v="0"/>
    <x v="0"/>
  </r>
  <r>
    <x v="0"/>
    <s v="LPI-26-IV-2022- MACO"/>
    <x v="0"/>
    <s v="NON HPRI"/>
    <s v="DT 040 – 028 Amblas di KM 26 Simpang Kohong "/>
    <s v="PJA Hauling "/>
    <x v="0"/>
    <x v="0"/>
  </r>
  <r>
    <x v="7"/>
    <s v="LPI-27-IV-2022- MACO"/>
    <x v="0"/>
    <s v="NON HPRI"/>
    <s v="Tyre Depan Sebelah Kanan LV S-113 Jatuh Disela-sela ramdor pencucian CHPP "/>
    <s v="PJA Pit Control"/>
    <x v="1"/>
    <x v="1"/>
  </r>
  <r>
    <x v="8"/>
    <s v="LPI-28-IV-2022- MACO"/>
    <x v="2"/>
    <s v="NON HPRI"/>
    <s v="Ceceran Oli di Waterfill KM 70"/>
    <s v="PJA Plant CHPP"/>
    <x v="1"/>
    <x v="0"/>
  </r>
  <r>
    <x v="9"/>
    <s v="LPI-29-IV-2022- MACO"/>
    <x v="1"/>
    <s v="NON HPRI"/>
    <s v="Cabel Terputus Saat Perapihan Drainage WS Haju"/>
    <s v="PJA Hauling "/>
    <x v="0"/>
    <x v="2"/>
  </r>
  <r>
    <x v="2"/>
    <s v="LPI-30-IV-2022- MACO"/>
    <x v="1"/>
    <s v="HPRI"/>
    <s v="DT090 Menabrak Jembatan Bao-Bao Km 65"/>
    <s v="PJA Hauling "/>
    <x v="0"/>
    <x v="0"/>
  </r>
  <r>
    <x v="0"/>
    <s v="LPI-31-IV-2022- MACO"/>
    <x v="1"/>
    <s v="NON HPRI"/>
    <s v="DT088 Menyerempet tanggul Km 24 Arah Kosongan"/>
    <s v="PJA Hauling "/>
    <x v="0"/>
    <x v="0"/>
  </r>
  <r>
    <x v="2"/>
    <s v="LPI-32-IV-2022- MACO"/>
    <x v="1"/>
    <s v="HPRI"/>
    <s v="DT040-0019 Mundur Tersandar di Tanggul di Km 66"/>
    <s v="PJA Hauling "/>
    <x v="0"/>
    <x v="0"/>
  </r>
  <r>
    <x v="0"/>
    <s v="LPI-33-IV-2022- MACO"/>
    <x v="1"/>
    <s v="HPRI"/>
    <s v="DT040-0011 Rebah di Km 19+500 "/>
    <s v="PJA Hauling "/>
    <x v="0"/>
    <x v="0"/>
  </r>
  <r>
    <x v="0"/>
    <s v="LPI-34-V-2022- MACO"/>
    <x v="0"/>
    <s v="HPRI"/>
    <s v="DT - 027 Mundur di tanjakan KM 5 "/>
    <s v="PJA Hauling "/>
    <x v="0"/>
    <x v="0"/>
  </r>
  <r>
    <x v="0"/>
    <s v="LPI-35-V-2022- MACO"/>
    <x v="0"/>
    <s v="HPRI"/>
    <s v="DT - 013 Mundur di tanjakan KM 5 "/>
    <s v="PJA Hauling "/>
    <x v="0"/>
    <x v="0"/>
  </r>
  <r>
    <x v="4"/>
    <s v="LPI-36-V-2022- MACO"/>
    <x v="1"/>
    <s v="HPRI"/>
    <s v="DT - 1012 Rebah ke kiri di area front loading Exc 37"/>
    <s v="PJA Mining "/>
    <x v="1"/>
    <x v="1"/>
  </r>
  <r>
    <x v="10"/>
    <s v="LPI-37-V-2022- MACO"/>
    <x v="1"/>
    <s v="HPRI"/>
    <s v="DT 030– 096 Menabrak tanggul di Road 1D"/>
    <s v="PJA Mining "/>
    <x v="1"/>
    <x v="0"/>
  </r>
  <r>
    <x v="2"/>
    <s v="LPI-38-V-2022- MACO"/>
    <x v="0"/>
    <s v="NON HPRI"/>
    <s v="DT040-0015 Amblas di KM 78"/>
    <s v="PJA Hauling "/>
    <x v="0"/>
    <x v="0"/>
  </r>
  <r>
    <x v="11"/>
    <s v="LPI-39-V-2022- MACO"/>
    <x v="2"/>
    <s v="HPRI"/>
    <s v="DT020-0158 rebah ke kiri disposal 340"/>
    <s v="PJA Mining "/>
    <x v="1"/>
    <x v="1"/>
  </r>
  <r>
    <x v="11"/>
    <s v="LPI-40-V-2022- MACO"/>
    <x v="0"/>
    <s v="NON HPRI"/>
    <s v="Tyre Kiri HD-058 Amblas di Disposal RL 345"/>
    <s v="PJA Mining "/>
    <x v="1"/>
    <x v="1"/>
  </r>
  <r>
    <x v="0"/>
    <s v="LPI-41-V-2022- MACO"/>
    <x v="0"/>
    <s v="NON HPRI"/>
    <s v="DT030-0098 Amblas di KM 12.500"/>
    <s v="PJA Hauling "/>
    <x v="0"/>
    <x v="0"/>
  </r>
  <r>
    <x v="12"/>
    <s v="LPI-42-V-2022- MACO"/>
    <x v="1"/>
    <s v="HPRI"/>
    <s v="CT 007 menabrak mundur tiang walk way"/>
    <s v="PJA Plant Haju"/>
    <x v="2"/>
    <x v="3"/>
  </r>
  <r>
    <x v="0"/>
    <s v="LPI-43-V-2022- MACO"/>
    <x v="0"/>
    <s v="HPRI"/>
    <s v="WST033 tergelincir dipinggir jalan di Km 34"/>
    <s v="PJA Plant Haju"/>
    <x v="0"/>
    <x v="0"/>
  </r>
  <r>
    <x v="5"/>
    <s v="LPI-44-VI-2022- MACO"/>
    <x v="1"/>
    <s v="NON HPRI"/>
    <s v="Plate Stopper Hopper Lepas"/>
    <s v="PJA Hauling "/>
    <x v="1"/>
    <x v="0"/>
  </r>
  <r>
    <x v="11"/>
    <s v="LPI-45-VI-2022- MACO"/>
    <x v="0"/>
    <s v="NON HPRI"/>
    <s v="HD535 Amblas di Disposal Mud Cell RL 290"/>
    <s v="PJA Mining "/>
    <x v="1"/>
    <x v="1"/>
  </r>
  <r>
    <x v="2"/>
    <s v="LPI-46-VI-2022- MACO"/>
    <x v="1"/>
    <s v="HPRI"/>
    <s v="DT 151 menyisir bahu jalan di Km 50"/>
    <s v="PJA Hauling "/>
    <x v="0"/>
    <x v="0"/>
  </r>
  <r>
    <x v="6"/>
    <s v="LPI-47-VI-2022- MACO"/>
    <x v="0"/>
    <s v="NON HPRI"/>
    <s v="DT124 Muatan Menabrak Tanggul Kosongan di Km 39"/>
    <s v="PJA Hauling "/>
    <x v="0"/>
    <x v="0"/>
  </r>
  <r>
    <x v="0"/>
    <s v="LPI-48-VI-2022- MACO"/>
    <x v="1"/>
    <s v="HPRI"/>
    <s v="DT 040-013 menabrak vassel belakang sebelah kiri DT 030-135"/>
    <s v="PJA Hauling "/>
    <x v="0"/>
    <x v="0"/>
  </r>
  <r>
    <x v="13"/>
    <s v="LPI-49-VI-2022- MACO"/>
    <x v="1"/>
    <s v="NON HPRI"/>
    <s v="DT 040-28 melakukan manuver parkir mundur menyenggol DT 030-89"/>
    <s v="PJA Hauling "/>
    <x v="0"/>
    <x v="0"/>
  </r>
  <r>
    <x v="0"/>
    <s v="LPI-50-VI-2022- MACO"/>
    <x v="2"/>
    <s v="NON HPRI"/>
    <s v="Oli Bekas tercecer ketanah dijalan hauling KM 16 + 500 "/>
    <s v="PJA Plant Haju"/>
    <x v="0"/>
    <x v="0"/>
  </r>
  <r>
    <x v="4"/>
    <s v="LPI-51-VI-2022- MACO"/>
    <x v="1"/>
    <s v="HPRI"/>
    <s v="HD093 menabrak vessel belakang DT1013 di akses masuk sump Pit North"/>
    <s v="PJA Mining "/>
    <x v="1"/>
    <x v="1"/>
  </r>
  <r>
    <x v="9"/>
    <s v="LPI-52-VII-2022- MACO"/>
    <x v="3"/>
    <s v="NON HPRI"/>
    <s v="Mekanik luka pada lengan kiri terkena lentingan palu tembaga di WS Lampunut"/>
    <s v="PJA Plant CHPP"/>
    <x v="3"/>
    <x v="2"/>
  </r>
  <r>
    <x v="0"/>
    <s v="LPI-53-VII-2022- MACO"/>
    <x v="1"/>
    <s v="HPRI"/>
    <s v="DT030-0083 muatan tidak kuat menanjak kemudian rebah di KM 03+500"/>
    <s v="PJA Hauling "/>
    <x v="0"/>
    <x v="0"/>
  </r>
  <r>
    <x v="0"/>
    <s v="LPI-54-VII-2022- MACO"/>
    <x v="1"/>
    <s v="NON HPRI"/>
    <s v="DT030-0009 Rebah di KM 30+000"/>
    <s v="PJA Hauling "/>
    <x v="0"/>
    <x v="0"/>
  </r>
  <r>
    <x v="2"/>
    <s v="LPI-55-VII-2022- MACO"/>
    <x v="3"/>
    <s v="HPRI"/>
    <s v="DT030-0109 Rebah Kekanan"/>
    <s v="PJA Hauling "/>
    <x v="0"/>
    <x v="0"/>
  </r>
  <r>
    <x v="5"/>
    <s v="LPI-56-VII-2022- MACO"/>
    <x v="1"/>
    <s v="HPRI"/>
    <s v="DT030-1008  rebah ke kanan"/>
    <s v="PJA Hauling "/>
    <x v="0"/>
    <x v="0"/>
  </r>
  <r>
    <x v="0"/>
    <s v="LPI-57-VII-2022- MACO"/>
    <x v="0"/>
    <s v="NON HPRI"/>
    <s v="DT030-0111 Muatan Amblas/sandar pada tanggul jalur Kosongan."/>
    <s v="PJA Hauling "/>
    <x v="0"/>
    <x v="0"/>
  </r>
  <r>
    <x v="8"/>
    <s v="LPI-58-VII-2022- MACO"/>
    <x v="2"/>
    <s v="NON HPRI"/>
    <s v="Ceceran Solar di Waterfill KM 6"/>
    <s v="PJA Log Haju"/>
    <x v="0"/>
    <x v="0"/>
  </r>
  <r>
    <x v="10"/>
    <s v="LPI-59-VIII-2022- MACO"/>
    <x v="0"/>
    <s v="NON HPRI"/>
    <s v="DT 1154 Tersandar kekiri"/>
    <s v="PJA Hauling "/>
    <x v="0"/>
    <x v="1"/>
  </r>
  <r>
    <x v="5"/>
    <s v="LPI-60-VIII-2022- MACO"/>
    <x v="0"/>
    <s v="NON HPRI"/>
    <s v="Nearmis DT040-0008 Tyre F1 lepas"/>
    <s v="PJA Hauling "/>
    <x v="0"/>
    <x v="0"/>
  </r>
  <r>
    <x v="0"/>
    <s v="LPI-61-VIII-2022- MACO"/>
    <x v="0"/>
    <s v="NON HPRI"/>
    <s v="Neamiss CT 010 - 0016 "/>
    <s v="PJA Log Haju"/>
    <x v="0"/>
    <x v="0"/>
  </r>
  <r>
    <x v="0"/>
    <s v="LPI-62-VIII-2022- MACO"/>
    <x v="0"/>
    <s v="NON HPRI"/>
    <s v="Neamiss DT 030 - 00104 "/>
    <s v="PJA Hauling "/>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29D1FD-07A0-4F27-9665-BF59EE945D6D}" name="PivotTable1" cacheId="317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9" firstHeaderRow="1" firstDataRow="2" firstDataCol="1"/>
  <pivotFields count="8">
    <pivotField showAll="0"/>
    <pivotField showAll="0"/>
    <pivotField axis="axisCol" dataField="1" showAll="0">
      <items count="5">
        <item x="2"/>
        <item x="3"/>
        <item x="0"/>
        <item x="1"/>
        <item t="default"/>
      </items>
    </pivotField>
    <pivotField showAll="0"/>
    <pivotField showAll="0"/>
    <pivotField showAll="0"/>
    <pivotField showAll="0"/>
    <pivotField axis="axisRow" showAll="0">
      <items count="5">
        <item x="0"/>
        <item x="3"/>
        <item x="1"/>
        <item x="2"/>
        <item t="default"/>
      </items>
    </pivotField>
  </pivotFields>
  <rowFields count="1">
    <field x="7"/>
  </rowFields>
  <rowItems count="5">
    <i>
      <x/>
    </i>
    <i>
      <x v="1"/>
    </i>
    <i>
      <x v="2"/>
    </i>
    <i>
      <x v="3"/>
    </i>
    <i t="grand">
      <x/>
    </i>
  </rowItems>
  <colFields count="1">
    <field x="2"/>
  </colFields>
  <colItems count="5">
    <i>
      <x/>
    </i>
    <i>
      <x v="1"/>
    </i>
    <i>
      <x v="2"/>
    </i>
    <i>
      <x v="3"/>
    </i>
    <i t="grand">
      <x/>
    </i>
  </colItems>
  <dataFields count="1">
    <dataField name="Count of Kategori Insiden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1AD92-B83B-4906-A4B6-8DD344C008A6}" name="PivotTable4" cacheId="317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4" firstHeaderRow="1" firstDataRow="2" firstDataCol="1"/>
  <pivotFields count="8">
    <pivotField axis="axisRow" showAll="0">
      <items count="15">
        <item x="6"/>
        <item x="11"/>
        <item x="2"/>
        <item x="12"/>
        <item x="10"/>
        <item x="13"/>
        <item x="7"/>
        <item x="4"/>
        <item x="3"/>
        <item x="5"/>
        <item x="0"/>
        <item x="1"/>
        <item x="8"/>
        <item x="9"/>
        <item t="default"/>
      </items>
    </pivotField>
    <pivotField showAll="0"/>
    <pivotField axis="axisCol" showAll="0">
      <items count="5">
        <item x="2"/>
        <item x="3"/>
        <item x="0"/>
        <item x="1"/>
        <item t="default"/>
      </items>
    </pivotField>
    <pivotField dataField="1" showAll="0"/>
    <pivotField showAll="0"/>
    <pivotField showAll="0"/>
    <pivotField showAll="0"/>
    <pivotField axis="axisRow" showAll="0">
      <items count="5">
        <item x="0"/>
        <item x="3"/>
        <item x="1"/>
        <item x="2"/>
        <item t="default"/>
      </items>
    </pivotField>
  </pivotFields>
  <rowFields count="2">
    <field x="7"/>
    <field x="0"/>
  </rowFields>
  <rowItems count="20">
    <i>
      <x/>
    </i>
    <i r="1">
      <x/>
    </i>
    <i r="1">
      <x v="2"/>
    </i>
    <i r="1">
      <x v="4"/>
    </i>
    <i r="1">
      <x v="5"/>
    </i>
    <i r="1">
      <x v="8"/>
    </i>
    <i r="1">
      <x v="9"/>
    </i>
    <i r="1">
      <x v="10"/>
    </i>
    <i r="1">
      <x v="11"/>
    </i>
    <i r="1">
      <x v="12"/>
    </i>
    <i>
      <x v="1"/>
    </i>
    <i r="1">
      <x v="3"/>
    </i>
    <i>
      <x v="2"/>
    </i>
    <i r="1">
      <x v="1"/>
    </i>
    <i r="1">
      <x v="4"/>
    </i>
    <i r="1">
      <x v="6"/>
    </i>
    <i r="1">
      <x v="7"/>
    </i>
    <i>
      <x v="3"/>
    </i>
    <i r="1">
      <x v="13"/>
    </i>
    <i t="grand">
      <x/>
    </i>
  </rowItems>
  <colFields count="1">
    <field x="2"/>
  </colFields>
  <colItems count="5">
    <i>
      <x/>
    </i>
    <i>
      <x v="1"/>
    </i>
    <i>
      <x v="2"/>
    </i>
    <i>
      <x v="3"/>
    </i>
    <i t="grand">
      <x/>
    </i>
  </colItems>
  <dataFields count="1">
    <dataField name="Count of JENIS INSIDEN "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3" cacheId="317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0:AL16" firstHeaderRow="1" firstDataRow="2" firstDataCol="1"/>
  <pivotFields count="20">
    <pivotField showAll="0"/>
    <pivotField showAll="0"/>
    <pivotField showAll="0"/>
    <pivotField showAll="0"/>
    <pivotField numFmtId="17"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axis="axisCol" showAll="0">
      <items count="15">
        <item x="6"/>
        <item x="2"/>
        <item x="12"/>
        <item x="10"/>
        <item x="3"/>
        <item x="11"/>
        <item x="9"/>
        <item x="4"/>
        <item x="1"/>
        <item x="13"/>
        <item x="5"/>
        <item x="0"/>
        <item x="7"/>
        <item x="8"/>
        <item t="default"/>
      </items>
    </pivotField>
    <pivotField dataField="1" showAll="0">
      <items count="5">
        <item x="0"/>
        <item x="3"/>
        <item x="1"/>
        <item x="2"/>
        <item t="default"/>
      </items>
    </pivotField>
  </pivotFields>
  <rowFields count="1">
    <field x="11"/>
  </rowFields>
  <rowItems count="5">
    <i>
      <x/>
    </i>
    <i>
      <x v="1"/>
    </i>
    <i>
      <x v="2"/>
    </i>
    <i>
      <x v="3"/>
    </i>
    <i t="grand">
      <x/>
    </i>
  </rowItems>
  <colFields count="1">
    <field x="18"/>
  </colFields>
  <colItems count="15">
    <i>
      <x/>
    </i>
    <i>
      <x v="1"/>
    </i>
    <i>
      <x v="2"/>
    </i>
    <i>
      <x v="3"/>
    </i>
    <i>
      <x v="4"/>
    </i>
    <i>
      <x v="5"/>
    </i>
    <i>
      <x v="6"/>
    </i>
    <i>
      <x v="7"/>
    </i>
    <i>
      <x v="8"/>
    </i>
    <i>
      <x v="9"/>
    </i>
    <i>
      <x v="10"/>
    </i>
    <i>
      <x v="11"/>
    </i>
    <i>
      <x v="12"/>
    </i>
    <i>
      <x v="13"/>
    </i>
    <i t="grand">
      <x/>
    </i>
  </colItems>
  <dataFields count="1">
    <dataField name="Count of LOKASI"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 cacheId="317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4" firstHeaderRow="1" firstDataRow="2" firstDataCol="1"/>
  <pivotFields count="14">
    <pivotField showAll="0"/>
    <pivotField showAll="0"/>
    <pivotField showAll="0"/>
    <pivotField showAll="0"/>
    <pivotField showAll="0"/>
    <pivotField showAll="0"/>
    <pivotField showAll="0"/>
    <pivotField showAll="0"/>
    <pivotField showAll="0"/>
    <pivotField showAll="0"/>
    <pivotField axis="axisRow" showAll="0">
      <items count="10">
        <item x="6"/>
        <item x="4"/>
        <item x="7"/>
        <item x="5"/>
        <item x="1"/>
        <item x="8"/>
        <item x="2"/>
        <item x="3"/>
        <item x="0"/>
        <item t="default"/>
      </items>
    </pivotField>
    <pivotField showAll="0"/>
    <pivotField showAll="0"/>
    <pivotField axis="axisCol" dataField="1" showAll="0">
      <items count="6">
        <item x="1"/>
        <item x="2"/>
        <item x="4"/>
        <item x="3"/>
        <item x="0"/>
        <item t="default"/>
      </items>
    </pivotField>
  </pivotFields>
  <rowFields count="1">
    <field x="10"/>
  </rowFields>
  <rowItems count="10">
    <i>
      <x/>
    </i>
    <i>
      <x v="1"/>
    </i>
    <i>
      <x v="2"/>
    </i>
    <i>
      <x v="3"/>
    </i>
    <i>
      <x v="4"/>
    </i>
    <i>
      <x v="5"/>
    </i>
    <i>
      <x v="6"/>
    </i>
    <i>
      <x v="7"/>
    </i>
    <i>
      <x v="8"/>
    </i>
    <i t="grand">
      <x/>
    </i>
  </rowItems>
  <colFields count="1">
    <field x="13"/>
  </colFields>
  <colItems count="6">
    <i>
      <x/>
    </i>
    <i>
      <x v="1"/>
    </i>
    <i>
      <x v="2"/>
    </i>
    <i>
      <x v="3"/>
    </i>
    <i>
      <x v="4"/>
    </i>
    <i t="grand">
      <x/>
    </i>
  </colItems>
  <dataFields count="1">
    <dataField name="Count of Statu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499984740745262"/>
  </sheetPr>
  <dimension ref="B2:AI102"/>
  <sheetViews>
    <sheetView showGridLines="0" zoomScale="70" zoomScaleNormal="70" workbookViewId="0">
      <selection activeCell="Q5" sqref="Q5"/>
    </sheetView>
  </sheetViews>
  <sheetFormatPr defaultRowHeight="14.45"/>
  <cols>
    <col min="2" max="2" width="24.140625" bestFit="1" customWidth="1"/>
    <col min="3" max="3" width="10" customWidth="1"/>
    <col min="4" max="4" width="8.7109375" customWidth="1"/>
    <col min="5" max="5" width="12.42578125" bestFit="1" customWidth="1"/>
    <col min="6" max="8" width="8.7109375" customWidth="1"/>
    <col min="9" max="9" width="19.42578125" bestFit="1" customWidth="1"/>
    <col min="10" max="11" width="8.7109375" customWidth="1"/>
    <col min="12" max="13" width="10" customWidth="1"/>
    <col min="14" max="15" width="12.42578125" customWidth="1"/>
    <col min="16" max="16" width="15.42578125" customWidth="1"/>
    <col min="17" max="17" width="11.85546875" customWidth="1"/>
    <col min="18" max="18" width="25.140625" bestFit="1" customWidth="1"/>
  </cols>
  <sheetData>
    <row r="2" spans="2:24" ht="15.95" thickBot="1">
      <c r="B2" s="1206">
        <v>2022</v>
      </c>
      <c r="C2" s="570"/>
      <c r="D2" s="570"/>
      <c r="E2" s="570"/>
      <c r="F2" s="570"/>
      <c r="G2" s="570"/>
      <c r="H2" s="570"/>
      <c r="I2" s="570"/>
      <c r="J2" s="570"/>
      <c r="K2" s="570"/>
      <c r="L2" s="570"/>
      <c r="M2" s="570"/>
      <c r="N2" s="570"/>
      <c r="O2" s="570"/>
      <c r="P2" s="570"/>
    </row>
    <row r="3" spans="2:24" ht="24.6" customHeight="1" thickBot="1">
      <c r="B3" s="1207" t="s">
        <v>0</v>
      </c>
      <c r="C3" s="1208" t="s">
        <v>1</v>
      </c>
      <c r="D3" s="1209" t="s">
        <v>2</v>
      </c>
      <c r="E3" s="1209" t="s">
        <v>3</v>
      </c>
      <c r="F3" s="1209" t="s">
        <v>4</v>
      </c>
      <c r="G3" s="1209" t="s">
        <v>5</v>
      </c>
      <c r="H3" s="1209" t="s">
        <v>6</v>
      </c>
      <c r="I3" s="1209" t="s">
        <v>7</v>
      </c>
      <c r="J3" s="1209" t="s">
        <v>8</v>
      </c>
      <c r="K3" s="1209" t="s">
        <v>9</v>
      </c>
      <c r="L3" s="1209" t="s">
        <v>10</v>
      </c>
      <c r="M3" s="1209" t="s">
        <v>11</v>
      </c>
      <c r="N3" s="1209" t="s">
        <v>12</v>
      </c>
      <c r="O3" s="1209" t="s">
        <v>13</v>
      </c>
      <c r="P3" s="1210" t="s">
        <v>14</v>
      </c>
      <c r="R3" s="1194" t="s">
        <v>15</v>
      </c>
      <c r="S3" s="1195" t="s">
        <v>16</v>
      </c>
      <c r="T3" s="1196" t="s">
        <v>17</v>
      </c>
      <c r="U3" s="1196" t="s">
        <v>18</v>
      </c>
      <c r="V3" s="1196" t="s">
        <v>19</v>
      </c>
      <c r="W3" s="1196" t="s">
        <v>20</v>
      </c>
      <c r="X3" s="1197">
        <v>2022</v>
      </c>
    </row>
    <row r="4" spans="2:24" s="326" customFormat="1" ht="23.45" customHeight="1" thickBot="1">
      <c r="B4" s="1278" t="s">
        <v>21</v>
      </c>
      <c r="C4" s="1279"/>
      <c r="D4" s="1279"/>
      <c r="E4" s="1279"/>
      <c r="F4" s="1279"/>
      <c r="G4" s="1279"/>
      <c r="H4" s="1279"/>
      <c r="I4" s="1279"/>
      <c r="J4" s="1279"/>
      <c r="K4" s="1279"/>
      <c r="L4" s="1279"/>
      <c r="M4" s="1279"/>
      <c r="N4" s="1279"/>
      <c r="O4" s="1279"/>
      <c r="P4" s="1280"/>
      <c r="R4" s="1202" t="s">
        <v>22</v>
      </c>
      <c r="S4" s="1203"/>
      <c r="T4" s="1204"/>
      <c r="U4" s="1204"/>
      <c r="V4" s="1204"/>
      <c r="W4" s="1204"/>
      <c r="X4" s="1205"/>
    </row>
    <row r="5" spans="2:24" s="326" customFormat="1" ht="22.5" customHeight="1">
      <c r="B5" s="1219" t="s">
        <v>23</v>
      </c>
      <c r="C5" s="1220" t="s">
        <v>24</v>
      </c>
      <c r="D5" s="1220">
        <f>SUM(D6:D13)</f>
        <v>12</v>
      </c>
      <c r="E5" s="1220">
        <f t="shared" ref="E5:P5" si="0">SUM(E6:E13)</f>
        <v>5</v>
      </c>
      <c r="F5" s="1220">
        <f t="shared" si="0"/>
        <v>7</v>
      </c>
      <c r="G5" s="1220">
        <f t="shared" si="0"/>
        <v>9</v>
      </c>
      <c r="H5" s="1220">
        <f t="shared" si="0"/>
        <v>10</v>
      </c>
      <c r="I5" s="1220">
        <f t="shared" si="0"/>
        <v>8</v>
      </c>
      <c r="J5" s="1220">
        <f t="shared" si="0"/>
        <v>7</v>
      </c>
      <c r="K5" s="1220">
        <f t="shared" si="0"/>
        <v>9</v>
      </c>
      <c r="L5" s="1220">
        <f t="shared" si="0"/>
        <v>3</v>
      </c>
      <c r="M5" s="1220">
        <f t="shared" si="0"/>
        <v>3</v>
      </c>
      <c r="N5" s="1220">
        <f t="shared" si="0"/>
        <v>0</v>
      </c>
      <c r="O5" s="1220">
        <f t="shared" si="0"/>
        <v>0</v>
      </c>
      <c r="P5" s="1221">
        <f t="shared" si="0"/>
        <v>73</v>
      </c>
      <c r="R5" s="1198" t="s">
        <v>25</v>
      </c>
      <c r="S5" s="1199" t="s">
        <v>24</v>
      </c>
      <c r="T5" s="1200">
        <f>SUM(T6:T13)</f>
        <v>24</v>
      </c>
      <c r="U5" s="1200">
        <f>SUM(U6:U13)</f>
        <v>27</v>
      </c>
      <c r="V5" s="1200">
        <f>SUM(V6:V13)</f>
        <v>19</v>
      </c>
      <c r="W5" s="1200">
        <f>SUM(W6:W13)</f>
        <v>3</v>
      </c>
      <c r="X5" s="1201">
        <f t="shared" ref="X5:X13" si="1">SUM(T5:W5)</f>
        <v>73</v>
      </c>
    </row>
    <row r="6" spans="2:24" s="326" customFormat="1" ht="22.5" customHeight="1">
      <c r="B6" s="1211" t="s">
        <v>26</v>
      </c>
      <c r="C6" s="567" t="s">
        <v>24</v>
      </c>
      <c r="D6" s="567" t="s">
        <v>27</v>
      </c>
      <c r="E6" s="567" t="s">
        <v>27</v>
      </c>
      <c r="F6" s="567" t="s">
        <v>27</v>
      </c>
      <c r="G6" s="567" t="s">
        <v>27</v>
      </c>
      <c r="H6" s="567" t="s">
        <v>27</v>
      </c>
      <c r="I6" s="568" t="s">
        <v>27</v>
      </c>
      <c r="J6" s="567" t="s">
        <v>27</v>
      </c>
      <c r="K6" s="567" t="s">
        <v>27</v>
      </c>
      <c r="L6" s="567" t="s">
        <v>27</v>
      </c>
      <c r="M6" s="567" t="s">
        <v>27</v>
      </c>
      <c r="N6" s="567" t="s">
        <v>27</v>
      </c>
      <c r="O6" s="567" t="s">
        <v>27</v>
      </c>
      <c r="P6" s="1212">
        <f t="shared" ref="P6:P13" si="2">SUM(D6:O6)</f>
        <v>0</v>
      </c>
      <c r="R6" s="1186" t="s">
        <v>28</v>
      </c>
      <c r="S6" s="366" t="s">
        <v>24</v>
      </c>
      <c r="T6" s="22">
        <f t="shared" ref="T6:T13" si="3">SUM(D6:F6)</f>
        <v>0</v>
      </c>
      <c r="U6" s="22">
        <f t="shared" ref="U6:U13" si="4">SUM(G6:I6)</f>
        <v>0</v>
      </c>
      <c r="V6" s="22">
        <f t="shared" ref="V6:V13" si="5">SUM(J6:L6)</f>
        <v>0</v>
      </c>
      <c r="W6" s="22">
        <f t="shared" ref="W6:W13" si="6">SUM(M6:O6)</f>
        <v>0</v>
      </c>
      <c r="X6" s="1187">
        <f t="shared" si="1"/>
        <v>0</v>
      </c>
    </row>
    <row r="7" spans="2:24" s="326" customFormat="1" ht="22.5" customHeight="1">
      <c r="B7" s="1211" t="s">
        <v>29</v>
      </c>
      <c r="C7" s="567" t="s">
        <v>24</v>
      </c>
      <c r="D7" s="567" t="s">
        <v>27</v>
      </c>
      <c r="E7" s="567" t="s">
        <v>27</v>
      </c>
      <c r="F7" s="567" t="s">
        <v>27</v>
      </c>
      <c r="G7" s="567" t="s">
        <v>27</v>
      </c>
      <c r="H7" s="567" t="s">
        <v>27</v>
      </c>
      <c r="I7" s="567" t="s">
        <v>27</v>
      </c>
      <c r="J7" s="567" t="s">
        <v>27</v>
      </c>
      <c r="K7" s="567" t="s">
        <v>27</v>
      </c>
      <c r="L7" s="567" t="s">
        <v>27</v>
      </c>
      <c r="M7" s="567" t="s">
        <v>27</v>
      </c>
      <c r="N7" s="567" t="s">
        <v>27</v>
      </c>
      <c r="O7" s="567" t="s">
        <v>27</v>
      </c>
      <c r="P7" s="1212">
        <f t="shared" si="2"/>
        <v>0</v>
      </c>
      <c r="R7" s="1186" t="s">
        <v>30</v>
      </c>
      <c r="S7" s="366" t="s">
        <v>24</v>
      </c>
      <c r="T7" s="22">
        <f t="shared" si="3"/>
        <v>0</v>
      </c>
      <c r="U7" s="22">
        <f t="shared" si="4"/>
        <v>0</v>
      </c>
      <c r="V7" s="22">
        <f t="shared" si="5"/>
        <v>0</v>
      </c>
      <c r="W7" s="22">
        <f t="shared" si="6"/>
        <v>0</v>
      </c>
      <c r="X7" s="1187">
        <f t="shared" si="1"/>
        <v>0</v>
      </c>
    </row>
    <row r="8" spans="2:24" s="326" customFormat="1" ht="22.5" customHeight="1">
      <c r="B8" s="1213" t="s">
        <v>31</v>
      </c>
      <c r="C8" s="567" t="s">
        <v>24</v>
      </c>
      <c r="D8" s="568" t="s">
        <v>27</v>
      </c>
      <c r="E8" s="567">
        <v>1</v>
      </c>
      <c r="F8" s="567" t="s">
        <v>27</v>
      </c>
      <c r="G8" s="568" t="s">
        <v>27</v>
      </c>
      <c r="H8" s="567" t="s">
        <v>27</v>
      </c>
      <c r="I8" s="567" t="s">
        <v>27</v>
      </c>
      <c r="J8" s="567">
        <v>2</v>
      </c>
      <c r="K8" s="567" t="s">
        <v>27</v>
      </c>
      <c r="L8" s="567" t="s">
        <v>27</v>
      </c>
      <c r="M8" s="567" t="s">
        <v>27</v>
      </c>
      <c r="N8" s="567" t="s">
        <v>27</v>
      </c>
      <c r="O8" s="567" t="s">
        <v>27</v>
      </c>
      <c r="P8" s="1212">
        <f t="shared" si="2"/>
        <v>3</v>
      </c>
      <c r="R8" s="1188" t="s">
        <v>32</v>
      </c>
      <c r="S8" s="366" t="s">
        <v>24</v>
      </c>
      <c r="T8" s="22">
        <f t="shared" si="3"/>
        <v>1</v>
      </c>
      <c r="U8" s="22">
        <f t="shared" si="4"/>
        <v>0</v>
      </c>
      <c r="V8" s="22">
        <f t="shared" si="5"/>
        <v>2</v>
      </c>
      <c r="W8" s="22">
        <f t="shared" si="6"/>
        <v>0</v>
      </c>
      <c r="X8" s="1187">
        <f t="shared" si="1"/>
        <v>3</v>
      </c>
    </row>
    <row r="9" spans="2:24" s="326" customFormat="1" ht="22.5" customHeight="1">
      <c r="B9" s="1214" t="s">
        <v>33</v>
      </c>
      <c r="C9" s="569" t="s">
        <v>24</v>
      </c>
      <c r="D9" s="567" t="s">
        <v>27</v>
      </c>
      <c r="E9" s="567" t="s">
        <v>27</v>
      </c>
      <c r="F9" s="567"/>
      <c r="G9" s="568" t="s">
        <v>27</v>
      </c>
      <c r="H9" s="567"/>
      <c r="I9" s="568" t="s">
        <v>27</v>
      </c>
      <c r="J9" s="567"/>
      <c r="K9" s="567" t="s">
        <v>27</v>
      </c>
      <c r="L9" s="567" t="s">
        <v>27</v>
      </c>
      <c r="M9" s="567" t="s">
        <v>27</v>
      </c>
      <c r="N9" s="567" t="s">
        <v>27</v>
      </c>
      <c r="O9" s="567" t="s">
        <v>27</v>
      </c>
      <c r="P9" s="1212">
        <f t="shared" si="2"/>
        <v>0</v>
      </c>
      <c r="R9" s="1189" t="s">
        <v>34</v>
      </c>
      <c r="S9" s="367" t="s">
        <v>24</v>
      </c>
      <c r="T9" s="22">
        <f t="shared" si="3"/>
        <v>0</v>
      </c>
      <c r="U9" s="22">
        <f t="shared" si="4"/>
        <v>0</v>
      </c>
      <c r="V9" s="22">
        <f t="shared" si="5"/>
        <v>0</v>
      </c>
      <c r="W9" s="22">
        <f t="shared" si="6"/>
        <v>0</v>
      </c>
      <c r="X9" s="1187">
        <f t="shared" si="1"/>
        <v>0</v>
      </c>
    </row>
    <row r="10" spans="2:24" s="326" customFormat="1" ht="22.5" customHeight="1">
      <c r="B10" s="1213" t="s">
        <v>35</v>
      </c>
      <c r="C10" s="567" t="s">
        <v>24</v>
      </c>
      <c r="D10" s="567">
        <v>6</v>
      </c>
      <c r="E10" s="567">
        <v>2</v>
      </c>
      <c r="F10" s="567">
        <v>5</v>
      </c>
      <c r="G10" s="567">
        <v>6</v>
      </c>
      <c r="H10" s="567">
        <v>4</v>
      </c>
      <c r="I10" s="567">
        <v>5</v>
      </c>
      <c r="J10" s="567">
        <v>3</v>
      </c>
      <c r="K10" s="567">
        <v>3</v>
      </c>
      <c r="L10" s="567">
        <v>2</v>
      </c>
      <c r="M10" s="567">
        <v>2</v>
      </c>
      <c r="N10" s="567" t="s">
        <v>27</v>
      </c>
      <c r="O10" s="567" t="s">
        <v>27</v>
      </c>
      <c r="P10" s="1212">
        <f t="shared" si="2"/>
        <v>38</v>
      </c>
      <c r="R10" s="1188" t="s">
        <v>36</v>
      </c>
      <c r="S10" s="366" t="s">
        <v>24</v>
      </c>
      <c r="T10" s="22">
        <f t="shared" si="3"/>
        <v>13</v>
      </c>
      <c r="U10" s="22">
        <f t="shared" si="4"/>
        <v>15</v>
      </c>
      <c r="V10" s="22">
        <f t="shared" si="5"/>
        <v>8</v>
      </c>
      <c r="W10" s="22">
        <f t="shared" si="6"/>
        <v>2</v>
      </c>
      <c r="X10" s="1187">
        <f t="shared" si="1"/>
        <v>38</v>
      </c>
    </row>
    <row r="11" spans="2:24" s="326" customFormat="1" ht="22.5" customHeight="1">
      <c r="B11" s="1213" t="s">
        <v>37</v>
      </c>
      <c r="C11" s="567" t="s">
        <v>24</v>
      </c>
      <c r="D11" s="567" t="s">
        <v>27</v>
      </c>
      <c r="E11" s="567" t="s">
        <v>27</v>
      </c>
      <c r="F11" s="567" t="s">
        <v>27</v>
      </c>
      <c r="G11" s="567" t="s">
        <v>27</v>
      </c>
      <c r="H11" s="567" t="s">
        <v>27</v>
      </c>
      <c r="I11" s="567" t="s">
        <v>27</v>
      </c>
      <c r="J11" s="567" t="s">
        <v>27</v>
      </c>
      <c r="K11" s="567" t="s">
        <v>27</v>
      </c>
      <c r="L11" s="567" t="s">
        <v>27</v>
      </c>
      <c r="M11" s="567" t="s">
        <v>27</v>
      </c>
      <c r="N11" s="567" t="s">
        <v>27</v>
      </c>
      <c r="O11" s="567" t="s">
        <v>27</v>
      </c>
      <c r="P11" s="1212">
        <f t="shared" si="2"/>
        <v>0</v>
      </c>
      <c r="R11" s="1188" t="s">
        <v>38</v>
      </c>
      <c r="S11" s="366" t="s">
        <v>24</v>
      </c>
      <c r="T11" s="22">
        <f t="shared" si="3"/>
        <v>0</v>
      </c>
      <c r="U11" s="22">
        <f t="shared" si="4"/>
        <v>0</v>
      </c>
      <c r="V11" s="22">
        <f t="shared" si="5"/>
        <v>0</v>
      </c>
      <c r="W11" s="22">
        <f t="shared" si="6"/>
        <v>0</v>
      </c>
      <c r="X11" s="1187">
        <f t="shared" si="1"/>
        <v>0</v>
      </c>
    </row>
    <row r="12" spans="2:24" s="326" customFormat="1" ht="22.5" customHeight="1">
      <c r="B12" s="1213" t="s">
        <v>39</v>
      </c>
      <c r="C12" s="567" t="s">
        <v>24</v>
      </c>
      <c r="D12" s="567">
        <v>1</v>
      </c>
      <c r="E12" s="567" t="s">
        <v>27</v>
      </c>
      <c r="F12" s="567" t="s">
        <v>27</v>
      </c>
      <c r="G12" s="567">
        <v>1</v>
      </c>
      <c r="H12" s="567">
        <v>1</v>
      </c>
      <c r="I12" s="567">
        <v>1</v>
      </c>
      <c r="J12" s="567">
        <v>1</v>
      </c>
      <c r="K12" s="567">
        <v>1</v>
      </c>
      <c r="L12" s="567" t="s">
        <v>27</v>
      </c>
      <c r="M12" s="567">
        <v>1</v>
      </c>
      <c r="N12" s="567" t="s">
        <v>27</v>
      </c>
      <c r="O12" s="567" t="s">
        <v>27</v>
      </c>
      <c r="P12" s="1212">
        <f t="shared" si="2"/>
        <v>7</v>
      </c>
      <c r="R12" s="1188" t="s">
        <v>40</v>
      </c>
      <c r="S12" s="366" t="s">
        <v>24</v>
      </c>
      <c r="T12" s="22">
        <f t="shared" si="3"/>
        <v>1</v>
      </c>
      <c r="U12" s="22">
        <f t="shared" si="4"/>
        <v>3</v>
      </c>
      <c r="V12" s="22">
        <f t="shared" si="5"/>
        <v>2</v>
      </c>
      <c r="W12" s="22">
        <f t="shared" si="6"/>
        <v>1</v>
      </c>
      <c r="X12" s="1187">
        <f t="shared" si="1"/>
        <v>7</v>
      </c>
    </row>
    <row r="13" spans="2:24" s="326" customFormat="1" ht="22.5" customHeight="1" thickBot="1">
      <c r="B13" s="1215" t="s">
        <v>41</v>
      </c>
      <c r="C13" s="1216" t="s">
        <v>24</v>
      </c>
      <c r="D13" s="1216">
        <v>5</v>
      </c>
      <c r="E13" s="1216">
        <v>2</v>
      </c>
      <c r="F13" s="1216">
        <v>2</v>
      </c>
      <c r="G13" s="1216">
        <v>2</v>
      </c>
      <c r="H13" s="1216">
        <v>5</v>
      </c>
      <c r="I13" s="1216">
        <v>2</v>
      </c>
      <c r="J13" s="1217">
        <v>1</v>
      </c>
      <c r="K13" s="1216">
        <v>5</v>
      </c>
      <c r="L13" s="1216">
        <v>1</v>
      </c>
      <c r="M13" s="1216" t="s">
        <v>27</v>
      </c>
      <c r="N13" s="1216" t="s">
        <v>27</v>
      </c>
      <c r="O13" s="1216" t="s">
        <v>27</v>
      </c>
      <c r="P13" s="1218">
        <f t="shared" si="2"/>
        <v>25</v>
      </c>
      <c r="R13" s="1190" t="s">
        <v>42</v>
      </c>
      <c r="S13" s="1191" t="s">
        <v>24</v>
      </c>
      <c r="T13" s="1192">
        <f t="shared" si="3"/>
        <v>9</v>
      </c>
      <c r="U13" s="1192">
        <f t="shared" si="4"/>
        <v>9</v>
      </c>
      <c r="V13" s="1192">
        <f t="shared" si="5"/>
        <v>7</v>
      </c>
      <c r="W13" s="1192">
        <f t="shared" si="6"/>
        <v>0</v>
      </c>
      <c r="X13" s="1193">
        <f t="shared" si="1"/>
        <v>25</v>
      </c>
    </row>
    <row r="15" spans="2:24">
      <c r="B15" s="30"/>
      <c r="C15" s="30"/>
      <c r="D15" s="30"/>
      <c r="E15" s="30"/>
      <c r="F15" s="30"/>
    </row>
    <row r="16" spans="2:24">
      <c r="B16" s="1276" t="s">
        <v>43</v>
      </c>
      <c r="C16" s="1276"/>
      <c r="D16" s="30"/>
      <c r="E16" s="1276" t="s">
        <v>44</v>
      </c>
      <c r="F16" s="1276"/>
      <c r="I16" s="1277" t="s">
        <v>45</v>
      </c>
      <c r="J16" s="1277"/>
    </row>
    <row r="17" spans="2:31">
      <c r="B17" s="325" t="s">
        <v>46</v>
      </c>
      <c r="C17" s="324">
        <v>0.97</v>
      </c>
      <c r="D17" s="30"/>
      <c r="E17" s="325" t="s">
        <v>46</v>
      </c>
      <c r="F17" s="324">
        <v>0.71</v>
      </c>
      <c r="I17" s="126" t="s">
        <v>47</v>
      </c>
      <c r="J17" s="323">
        <v>0.88</v>
      </c>
    </row>
    <row r="18" spans="2:31">
      <c r="B18" s="325" t="s">
        <v>48</v>
      </c>
      <c r="C18" s="324">
        <v>0.03</v>
      </c>
      <c r="D18" s="30"/>
      <c r="E18" s="325" t="s">
        <v>48</v>
      </c>
      <c r="F18" s="324">
        <v>0.28999999999999998</v>
      </c>
      <c r="I18" s="126" t="s">
        <v>49</v>
      </c>
      <c r="J18" s="323">
        <v>0.74</v>
      </c>
      <c r="AE18">
        <f>25*40%</f>
        <v>10</v>
      </c>
    </row>
    <row r="19" spans="2:31">
      <c r="I19" s="126" t="s">
        <v>50</v>
      </c>
      <c r="J19" s="323">
        <v>0.98</v>
      </c>
    </row>
    <row r="20" spans="2:31">
      <c r="R20">
        <v>8406</v>
      </c>
      <c r="S20">
        <v>1668</v>
      </c>
    </row>
    <row r="21" spans="2:31">
      <c r="R21">
        <v>167</v>
      </c>
      <c r="S21">
        <v>62</v>
      </c>
    </row>
    <row r="22" spans="2:31">
      <c r="R22">
        <f>SUM(R20:R21)</f>
        <v>8573</v>
      </c>
      <c r="S22">
        <f>SUM(S20:S21)</f>
        <v>1730</v>
      </c>
    </row>
    <row r="33" spans="2:18" ht="31.5" thickBot="1">
      <c r="B33" s="322" t="s">
        <v>21</v>
      </c>
      <c r="C33" s="322" t="s">
        <v>51</v>
      </c>
      <c r="D33" s="322" t="s">
        <v>52</v>
      </c>
      <c r="E33" s="393" t="s">
        <v>53</v>
      </c>
      <c r="F33" s="393" t="s">
        <v>54</v>
      </c>
      <c r="G33" s="321" t="s">
        <v>55</v>
      </c>
      <c r="H33" s="22">
        <v>2019</v>
      </c>
      <c r="I33" s="22">
        <v>2020</v>
      </c>
      <c r="J33" s="22">
        <v>2021</v>
      </c>
      <c r="K33" s="22">
        <v>2022</v>
      </c>
      <c r="M33" s="489"/>
      <c r="N33" s="314" t="s">
        <v>56</v>
      </c>
      <c r="O33" s="314" t="s">
        <v>57</v>
      </c>
      <c r="P33" s="314" t="s">
        <v>58</v>
      </c>
    </row>
    <row r="34" spans="2:18" ht="15.95" thickTop="1">
      <c r="B34" s="317" t="s">
        <v>56</v>
      </c>
      <c r="C34" s="314" t="s">
        <v>24</v>
      </c>
      <c r="D34" s="25"/>
      <c r="E34" s="50">
        <f>SUM(E37:E44)</f>
        <v>41</v>
      </c>
      <c r="F34" s="50">
        <f>SUM(F37:F44)</f>
        <v>73</v>
      </c>
      <c r="H34" s="50">
        <f>SUM(H37:H44)</f>
        <v>5</v>
      </c>
      <c r="I34" s="50">
        <f>SUM(I37:I44)</f>
        <v>28</v>
      </c>
      <c r="J34" s="50">
        <f>SUM(J37:J44)</f>
        <v>48</v>
      </c>
      <c r="K34" s="50">
        <f>SUM(K37:K44)</f>
        <v>73</v>
      </c>
      <c r="L34" s="566">
        <f>(54-32)/32</f>
        <v>0.6875</v>
      </c>
      <c r="M34" s="565">
        <v>2019</v>
      </c>
      <c r="N34" s="564">
        <v>5</v>
      </c>
      <c r="O34" s="563">
        <v>2</v>
      </c>
      <c r="P34" s="563">
        <v>3</v>
      </c>
    </row>
    <row r="35" spans="2:18" ht="15.6">
      <c r="B35" s="317" t="s">
        <v>57</v>
      </c>
      <c r="C35" s="314" t="s">
        <v>24</v>
      </c>
      <c r="D35" s="25"/>
      <c r="E35" s="61"/>
      <c r="F35" s="61"/>
      <c r="H35" s="61">
        <v>2</v>
      </c>
      <c r="I35" s="61">
        <v>13</v>
      </c>
      <c r="J35" s="61">
        <v>11</v>
      </c>
      <c r="K35" s="61">
        <f>O37</f>
        <v>34</v>
      </c>
      <c r="M35" s="565">
        <v>2020</v>
      </c>
      <c r="N35" s="564">
        <v>28</v>
      </c>
      <c r="O35" s="563">
        <v>13</v>
      </c>
      <c r="P35" s="563">
        <v>15</v>
      </c>
    </row>
    <row r="36" spans="2:18" ht="15.6">
      <c r="B36" s="317" t="s">
        <v>58</v>
      </c>
      <c r="C36" s="314" t="s">
        <v>24</v>
      </c>
      <c r="D36" s="25"/>
      <c r="E36" s="61"/>
      <c r="F36" s="61"/>
      <c r="H36" s="61">
        <v>0</v>
      </c>
      <c r="I36" s="61">
        <v>15</v>
      </c>
      <c r="J36" s="61">
        <v>37</v>
      </c>
      <c r="K36" s="61">
        <f>P37</f>
        <v>39</v>
      </c>
      <c r="M36" s="565">
        <v>2021</v>
      </c>
      <c r="N36" s="564">
        <v>48</v>
      </c>
      <c r="O36" s="563">
        <v>11</v>
      </c>
      <c r="P36" s="563">
        <v>37</v>
      </c>
    </row>
    <row r="37" spans="2:18" ht="15.6">
      <c r="B37" s="317" t="s">
        <v>28</v>
      </c>
      <c r="C37" s="314" t="s">
        <v>24</v>
      </c>
      <c r="D37" s="25"/>
      <c r="E37" s="50">
        <v>1</v>
      </c>
      <c r="F37" s="50">
        <v>0</v>
      </c>
      <c r="H37" s="50">
        <v>0</v>
      </c>
      <c r="I37" s="50">
        <v>0</v>
      </c>
      <c r="J37" s="50">
        <v>1</v>
      </c>
      <c r="K37" s="50">
        <f>F37</f>
        <v>0</v>
      </c>
      <c r="M37" s="565">
        <v>2022</v>
      </c>
      <c r="N37" s="564">
        <f>SUM(O37:P37)</f>
        <v>73</v>
      </c>
      <c r="O37" s="563">
        <v>34</v>
      </c>
      <c r="P37" s="563">
        <v>39</v>
      </c>
    </row>
    <row r="38" spans="2:18" ht="15.6">
      <c r="B38" s="317" t="s">
        <v>30</v>
      </c>
      <c r="C38" s="314" t="s">
        <v>24</v>
      </c>
      <c r="D38" s="25"/>
      <c r="E38" s="50">
        <v>0</v>
      </c>
      <c r="F38" s="50">
        <v>0</v>
      </c>
      <c r="H38" s="50">
        <v>0</v>
      </c>
      <c r="I38" s="50">
        <v>1</v>
      </c>
      <c r="J38" s="50">
        <v>1</v>
      </c>
      <c r="K38" s="50">
        <f t="shared" ref="K38:K44" si="7">F38</f>
        <v>0</v>
      </c>
    </row>
    <row r="39" spans="2:18" ht="15.6">
      <c r="B39" s="315" t="s">
        <v>59</v>
      </c>
      <c r="C39" s="314" t="s">
        <v>24</v>
      </c>
      <c r="D39" s="25"/>
      <c r="E39" s="50">
        <v>5</v>
      </c>
      <c r="F39" s="50">
        <v>0</v>
      </c>
      <c r="H39" s="50">
        <v>1</v>
      </c>
      <c r="I39" s="50">
        <v>9</v>
      </c>
      <c r="J39" s="50">
        <v>5</v>
      </c>
      <c r="K39" s="50">
        <f t="shared" si="7"/>
        <v>0</v>
      </c>
    </row>
    <row r="40" spans="2:18" ht="15.6">
      <c r="B40" s="316" t="s">
        <v>34</v>
      </c>
      <c r="C40" s="314" t="s">
        <v>24</v>
      </c>
      <c r="D40" s="25"/>
      <c r="E40" s="50">
        <v>0</v>
      </c>
      <c r="F40" s="50">
        <v>3</v>
      </c>
      <c r="H40" s="50">
        <v>0</v>
      </c>
      <c r="I40" s="50">
        <v>0</v>
      </c>
      <c r="J40" s="50">
        <v>0</v>
      </c>
      <c r="K40" s="50">
        <f t="shared" si="7"/>
        <v>3</v>
      </c>
      <c r="M40" s="561"/>
      <c r="N40" s="561" t="s">
        <v>60</v>
      </c>
      <c r="O40" s="561" t="s">
        <v>61</v>
      </c>
      <c r="P40" s="561" t="s">
        <v>62</v>
      </c>
      <c r="Q40" s="561" t="s">
        <v>63</v>
      </c>
    </row>
    <row r="41" spans="2:18" ht="15.6">
      <c r="B41" s="315" t="s">
        <v>64</v>
      </c>
      <c r="C41" s="314" t="s">
        <v>24</v>
      </c>
      <c r="D41" s="25"/>
      <c r="E41" s="50">
        <v>21</v>
      </c>
      <c r="F41" s="50">
        <v>38</v>
      </c>
      <c r="H41" s="50">
        <v>4</v>
      </c>
      <c r="I41" s="50">
        <v>15</v>
      </c>
      <c r="J41" s="50">
        <v>25</v>
      </c>
      <c r="K41" s="50">
        <f t="shared" si="7"/>
        <v>38</v>
      </c>
      <c r="M41" s="561" t="s">
        <v>56</v>
      </c>
      <c r="N41" s="561">
        <f>SUM(N42:N43)</f>
        <v>59</v>
      </c>
      <c r="O41" s="561">
        <f>SUM(O42:O43)</f>
        <v>9</v>
      </c>
      <c r="P41" s="561">
        <f>SUM(P42:P43)</f>
        <v>4</v>
      </c>
      <c r="Q41" s="561">
        <f>SUM(Q42:Q43)</f>
        <v>1</v>
      </c>
    </row>
    <row r="42" spans="2:18" ht="15.6">
      <c r="B42" s="315" t="s">
        <v>65</v>
      </c>
      <c r="C42" s="314" t="s">
        <v>24</v>
      </c>
      <c r="D42" s="25"/>
      <c r="E42" s="50">
        <v>0</v>
      </c>
      <c r="F42" s="50">
        <v>0</v>
      </c>
      <c r="H42" s="50">
        <v>0</v>
      </c>
      <c r="I42" s="50">
        <v>0</v>
      </c>
      <c r="J42" s="50">
        <v>0</v>
      </c>
      <c r="K42" s="50">
        <f t="shared" si="7"/>
        <v>0</v>
      </c>
      <c r="M42" s="561" t="s">
        <v>57</v>
      </c>
      <c r="N42" s="561">
        <v>29</v>
      </c>
      <c r="O42" s="562">
        <v>4</v>
      </c>
      <c r="P42" s="561">
        <v>0</v>
      </c>
      <c r="Q42" s="604">
        <v>1</v>
      </c>
    </row>
    <row r="43" spans="2:18" ht="15.6">
      <c r="B43" s="315" t="s">
        <v>66</v>
      </c>
      <c r="C43" s="314" t="s">
        <v>24</v>
      </c>
      <c r="D43" s="25"/>
      <c r="E43" s="50">
        <v>2</v>
      </c>
      <c r="F43" s="50">
        <v>7</v>
      </c>
      <c r="H43" s="50">
        <v>0</v>
      </c>
      <c r="I43" s="50">
        <v>0</v>
      </c>
      <c r="J43" s="50">
        <v>2</v>
      </c>
      <c r="K43" s="50">
        <f t="shared" si="7"/>
        <v>7</v>
      </c>
      <c r="M43" s="561" t="s">
        <v>58</v>
      </c>
      <c r="N43" s="561">
        <v>30</v>
      </c>
      <c r="O43" s="561">
        <v>5</v>
      </c>
      <c r="P43" s="561">
        <v>4</v>
      </c>
      <c r="Q43" s="604">
        <v>0</v>
      </c>
      <c r="R43" s="318"/>
    </row>
    <row r="44" spans="2:18" ht="15.6">
      <c r="B44" s="315" t="s">
        <v>67</v>
      </c>
      <c r="C44" s="314" t="s">
        <v>24</v>
      </c>
      <c r="D44" s="25"/>
      <c r="E44" s="50">
        <v>12</v>
      </c>
      <c r="F44" s="50">
        <v>25</v>
      </c>
      <c r="H44" s="50">
        <v>0</v>
      </c>
      <c r="I44" s="50">
        <v>3</v>
      </c>
      <c r="J44" s="50">
        <v>14</v>
      </c>
      <c r="K44" s="50">
        <f t="shared" si="7"/>
        <v>25</v>
      </c>
    </row>
    <row r="48" spans="2:18">
      <c r="N48" s="544"/>
      <c r="O48" s="544"/>
      <c r="P48" s="544">
        <v>9272</v>
      </c>
      <c r="Q48">
        <v>1915</v>
      </c>
    </row>
    <row r="49" spans="2:35">
      <c r="N49" s="544"/>
      <c r="O49" s="560"/>
      <c r="P49" s="544">
        <v>814</v>
      </c>
      <c r="Q49">
        <v>159</v>
      </c>
    </row>
    <row r="50" spans="2:35">
      <c r="N50" s="544"/>
      <c r="O50" s="544"/>
      <c r="P50" s="544">
        <f>SUM(P48:P49)</f>
        <v>10086</v>
      </c>
      <c r="Q50" s="544">
        <f>SUM(Q48:Q49)</f>
        <v>2074</v>
      </c>
      <c r="AI50">
        <f>9272+1915</f>
        <v>11187</v>
      </c>
    </row>
    <row r="51" spans="2:35">
      <c r="P51">
        <f>SUM(P50:Q50)</f>
        <v>12160</v>
      </c>
    </row>
    <row r="55" spans="2:35">
      <c r="Q55" s="318"/>
    </row>
    <row r="56" spans="2:35">
      <c r="C56" s="318">
        <f>5/C63</f>
        <v>0.7142857142857143</v>
      </c>
    </row>
    <row r="57" spans="2:35">
      <c r="C57" s="318">
        <f>C62/C63</f>
        <v>0.14285714285714285</v>
      </c>
    </row>
    <row r="59" spans="2:35">
      <c r="B59" s="50" t="s">
        <v>68</v>
      </c>
      <c r="C59" s="50" t="s">
        <v>69</v>
      </c>
      <c r="D59" s="50" t="s">
        <v>70</v>
      </c>
      <c r="F59" s="46" t="s">
        <v>71</v>
      </c>
      <c r="G59" s="46" t="s">
        <v>72</v>
      </c>
      <c r="H59" s="46" t="s">
        <v>73</v>
      </c>
      <c r="I59" s="46" t="s">
        <v>74</v>
      </c>
      <c r="J59" s="46" t="s">
        <v>75</v>
      </c>
      <c r="Q59" s="318">
        <f>10/70</f>
        <v>0.14285714285714285</v>
      </c>
    </row>
    <row r="60" spans="2:35">
      <c r="B60" s="49" t="s">
        <v>76</v>
      </c>
      <c r="C60" s="50">
        <v>6</v>
      </c>
      <c r="D60" s="559">
        <f>C60/$C$63</f>
        <v>0.8571428571428571</v>
      </c>
      <c r="F60">
        <v>13</v>
      </c>
      <c r="H60">
        <v>2</v>
      </c>
      <c r="I60">
        <v>22</v>
      </c>
    </row>
    <row r="61" spans="2:35">
      <c r="B61" s="49" t="s">
        <v>77</v>
      </c>
      <c r="C61" s="50">
        <v>0</v>
      </c>
      <c r="D61" s="559">
        <f t="shared" ref="D61:D62" si="8">C61/$C$63</f>
        <v>0</v>
      </c>
      <c r="J61">
        <v>4</v>
      </c>
    </row>
    <row r="62" spans="2:35">
      <c r="B62" s="49" t="s">
        <v>78</v>
      </c>
      <c r="C62" s="50">
        <v>1</v>
      </c>
      <c r="D62" s="559">
        <f t="shared" si="8"/>
        <v>0.14285714285714285</v>
      </c>
      <c r="G62">
        <v>3</v>
      </c>
      <c r="I62">
        <v>6</v>
      </c>
    </row>
    <row r="63" spans="2:35">
      <c r="B63" s="50" t="s">
        <v>79</v>
      </c>
      <c r="C63" s="50">
        <f>SUM(C60:C62)</f>
        <v>7</v>
      </c>
      <c r="D63" s="50"/>
      <c r="Q63" s="318"/>
      <c r="R63" s="318"/>
      <c r="S63" s="318"/>
    </row>
    <row r="64" spans="2:35" ht="15.6">
      <c r="D64" s="25"/>
      <c r="E64" s="25"/>
      <c r="F64" s="47">
        <v>13</v>
      </c>
      <c r="G64" s="47">
        <v>3</v>
      </c>
      <c r="H64" s="47">
        <v>2</v>
      </c>
      <c r="I64" s="47">
        <v>28</v>
      </c>
      <c r="J64" s="47">
        <v>4</v>
      </c>
      <c r="K64" s="558"/>
      <c r="L64" s="558"/>
      <c r="M64" s="558"/>
    </row>
    <row r="65" spans="2:17" ht="15.6">
      <c r="B65" s="558"/>
      <c r="C65" s="557"/>
      <c r="D65" s="25"/>
      <c r="E65" s="25"/>
      <c r="F65" s="25"/>
      <c r="G65" s="25"/>
      <c r="J65" s="25"/>
      <c r="K65" s="25"/>
      <c r="L65" s="25"/>
      <c r="M65" s="25"/>
    </row>
    <row r="66" spans="2:17" ht="15.6">
      <c r="B66" s="558"/>
      <c r="C66" s="557"/>
      <c r="D66" s="25"/>
      <c r="E66" s="25"/>
      <c r="F66" s="25"/>
      <c r="G66" s="25"/>
      <c r="J66" s="25"/>
      <c r="K66" s="25"/>
      <c r="L66" s="25"/>
      <c r="M66" s="25"/>
    </row>
    <row r="67" spans="2:17" ht="15.6">
      <c r="B67" s="558"/>
      <c r="C67" s="557"/>
      <c r="D67" s="25"/>
      <c r="E67" s="1281">
        <v>50</v>
      </c>
      <c r="F67" s="550" t="s">
        <v>71</v>
      </c>
      <c r="G67" s="550" t="s">
        <v>73</v>
      </c>
      <c r="H67" s="556" t="s">
        <v>74</v>
      </c>
      <c r="J67" s="25"/>
      <c r="K67" s="25"/>
      <c r="L67" s="25"/>
      <c r="M67" s="25"/>
      <c r="Q67" s="318"/>
    </row>
    <row r="68" spans="2:17">
      <c r="E68" s="1281"/>
      <c r="F68" s="549">
        <v>13</v>
      </c>
      <c r="G68" s="549">
        <v>2</v>
      </c>
      <c r="H68" s="548">
        <v>28</v>
      </c>
      <c r="J68" s="25"/>
      <c r="K68" s="25"/>
      <c r="L68" s="25"/>
      <c r="M68" s="25"/>
    </row>
    <row r="69" spans="2:17">
      <c r="E69" s="1281"/>
      <c r="F69" s="547">
        <f>F68/E67</f>
        <v>0.26</v>
      </c>
      <c r="G69" s="547">
        <f>G68/E67</f>
        <v>0.04</v>
      </c>
      <c r="H69" s="555">
        <f>H68/E67</f>
        <v>0.56000000000000005</v>
      </c>
      <c r="J69" s="25"/>
      <c r="K69" s="25"/>
      <c r="L69" s="25"/>
      <c r="M69" s="25"/>
    </row>
    <row r="70" spans="2:17">
      <c r="E70" s="1281"/>
      <c r="F70" s="550" t="s">
        <v>72</v>
      </c>
      <c r="G70" s="554"/>
      <c r="H70" s="553"/>
    </row>
    <row r="71" spans="2:17">
      <c r="E71" s="1281"/>
      <c r="F71" s="549">
        <v>3</v>
      </c>
      <c r="G71" s="549"/>
      <c r="H71" s="548"/>
    </row>
    <row r="72" spans="2:17">
      <c r="E72" s="1281"/>
      <c r="F72" s="547">
        <f>F71/E67</f>
        <v>0.06</v>
      </c>
      <c r="G72" s="552"/>
      <c r="H72" s="551"/>
    </row>
    <row r="73" spans="2:17">
      <c r="E73" s="1281"/>
      <c r="F73" s="550" t="s">
        <v>75</v>
      </c>
      <c r="G73" s="549"/>
      <c r="H73" s="548"/>
    </row>
    <row r="74" spans="2:17">
      <c r="E74" s="1281"/>
      <c r="F74" s="549">
        <v>4</v>
      </c>
      <c r="G74" s="549"/>
      <c r="H74" s="548"/>
    </row>
    <row r="75" spans="2:17">
      <c r="E75" s="1281"/>
      <c r="F75" s="547">
        <f>F74/E67</f>
        <v>0.08</v>
      </c>
      <c r="G75" s="546"/>
      <c r="H75" s="545"/>
    </row>
    <row r="80" spans="2:17">
      <c r="B80" s="418"/>
    </row>
    <row r="86" spans="3:9">
      <c r="C86" s="126"/>
      <c r="D86" s="50" t="s">
        <v>80</v>
      </c>
      <c r="E86" s="50" t="s">
        <v>81</v>
      </c>
    </row>
    <row r="87" spans="3:9">
      <c r="C87" s="126" t="s">
        <v>82</v>
      </c>
      <c r="D87" s="50">
        <v>931</v>
      </c>
      <c r="E87" s="50">
        <v>1810</v>
      </c>
    </row>
    <row r="88" spans="3:9">
      <c r="C88" s="126" t="s">
        <v>83</v>
      </c>
      <c r="D88" s="50">
        <v>293</v>
      </c>
      <c r="E88" s="50">
        <v>308</v>
      </c>
    </row>
    <row r="89" spans="3:9">
      <c r="D89" s="25"/>
      <c r="E89" s="25"/>
    </row>
    <row r="90" spans="3:9">
      <c r="C90" s="22"/>
      <c r="D90" s="22" t="s">
        <v>82</v>
      </c>
      <c r="E90" s="22" t="s">
        <v>83</v>
      </c>
    </row>
    <row r="91" spans="3:9" ht="24.6" customHeight="1">
      <c r="C91" s="22" t="s">
        <v>84</v>
      </c>
      <c r="D91" s="22">
        <v>970</v>
      </c>
      <c r="E91" s="22">
        <v>293</v>
      </c>
    </row>
    <row r="92" spans="3:9" ht="39.950000000000003" customHeight="1">
      <c r="C92" s="22" t="s">
        <v>85</v>
      </c>
      <c r="D92" s="517">
        <v>1809</v>
      </c>
      <c r="E92" s="517">
        <v>350</v>
      </c>
      <c r="F92" s="30"/>
      <c r="G92" s="30"/>
      <c r="H92" s="30"/>
      <c r="I92" s="30"/>
    </row>
    <row r="93" spans="3:9" ht="39.950000000000003" customHeight="1">
      <c r="C93" s="489"/>
      <c r="D93" s="30"/>
      <c r="E93" s="30"/>
      <c r="F93" s="30"/>
      <c r="G93" s="30"/>
      <c r="H93" s="30"/>
      <c r="I93" s="30"/>
    </row>
    <row r="94" spans="3:9" ht="39.950000000000003" customHeight="1">
      <c r="C94" s="518"/>
      <c r="D94" s="518"/>
      <c r="E94" s="518"/>
      <c r="F94" s="518"/>
      <c r="G94" s="518"/>
      <c r="H94" s="518"/>
      <c r="I94" s="518"/>
    </row>
    <row r="95" spans="3:9" ht="39.950000000000003" customHeight="1">
      <c r="C95" s="519"/>
      <c r="D95" s="519"/>
      <c r="E95" s="519"/>
      <c r="F95" s="519"/>
      <c r="G95" s="519"/>
      <c r="H95" s="519"/>
      <c r="I95" s="519"/>
    </row>
    <row r="96" spans="3:9" ht="39.950000000000003" customHeight="1">
      <c r="C96" s="519"/>
      <c r="D96" s="519"/>
      <c r="E96" s="519"/>
      <c r="F96" s="519"/>
      <c r="G96" s="519"/>
      <c r="H96" s="519"/>
      <c r="I96" s="519"/>
    </row>
    <row r="97" spans="3:9" ht="39.950000000000003" customHeight="1">
      <c r="C97" s="519"/>
      <c r="D97" s="519"/>
      <c r="E97" s="519"/>
      <c r="F97" s="519"/>
      <c r="G97" s="519"/>
      <c r="H97" s="519"/>
      <c r="I97" s="519"/>
    </row>
    <row r="98" spans="3:9" ht="39.950000000000003" customHeight="1">
      <c r="C98" s="519"/>
      <c r="D98" s="519"/>
      <c r="E98" s="519"/>
      <c r="F98" s="519"/>
      <c r="G98" s="519"/>
      <c r="H98" s="519"/>
      <c r="I98" s="519"/>
    </row>
    <row r="99" spans="3:9" ht="39.950000000000003" customHeight="1">
      <c r="C99" s="519"/>
      <c r="D99" s="519"/>
      <c r="E99" s="519"/>
      <c r="F99" s="519"/>
      <c r="G99" s="519"/>
      <c r="H99" s="519"/>
      <c r="I99" s="519"/>
    </row>
    <row r="100" spans="3:9" ht="24.95" customHeight="1"/>
    <row r="101" spans="3:9" ht="24.95" customHeight="1"/>
    <row r="102" spans="3:9" ht="24.95" customHeight="1"/>
  </sheetData>
  <sheetProtection algorithmName="SHA-512" hashValue="JtNxFSo7l8xyk6B9cgpmlZ4vx67BwUIzGaZ5d4GNEsbIF/mdifzkTiLsfidGgq3WUcUIIwC8VqmVXjwRDvhZzA==" saltValue="TfRiJy9t183M2KioQ07OrQ==" spinCount="100000" sheet="1" objects="1" scenarios="1"/>
  <mergeCells count="5">
    <mergeCell ref="B16:C16"/>
    <mergeCell ref="E16:F16"/>
    <mergeCell ref="I16:J16"/>
    <mergeCell ref="B4:P4"/>
    <mergeCell ref="E67:E75"/>
  </mergeCells>
  <conditionalFormatting sqref="B34:B44">
    <cfRule type="duplicateValues" dxfId="368" priority="4"/>
  </conditionalFormatting>
  <conditionalFormatting sqref="B65:B67">
    <cfRule type="duplicateValues" dxfId="367" priority="3"/>
  </conditionalFormatting>
  <conditionalFormatting sqref="K64:M64">
    <cfRule type="duplicateValues" dxfId="366" priority="2"/>
  </conditionalFormatting>
  <conditionalFormatting sqref="N33:P33">
    <cfRule type="duplicateValues" dxfId="365" priority="1"/>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0" tint="-0.499984740745262"/>
  </sheetPr>
  <dimension ref="B2:X100"/>
  <sheetViews>
    <sheetView showGridLines="0" zoomScale="55" zoomScaleNormal="55" workbookViewId="0">
      <pane xSplit="3" ySplit="4" topLeftCell="D5" activePane="bottomRight" state="frozen"/>
      <selection pane="bottomRight" activeCell="P10" sqref="P10"/>
      <selection pane="bottomLeft" activeCell="A5" sqref="A5"/>
      <selection pane="topRight" activeCell="D1" sqref="D1"/>
    </sheetView>
  </sheetViews>
  <sheetFormatPr defaultRowHeight="14.45"/>
  <cols>
    <col min="2" max="2" width="26.42578125" bestFit="1" customWidth="1"/>
    <col min="3" max="3" width="18.7109375" customWidth="1"/>
    <col min="4" max="15" width="14.85546875" customWidth="1"/>
    <col min="16" max="16" width="15.42578125" customWidth="1"/>
    <col min="18" max="18" width="25.140625" bestFit="1" customWidth="1"/>
  </cols>
  <sheetData>
    <row r="2" spans="2:24" ht="18.600000000000001">
      <c r="B2" s="532">
        <v>2022</v>
      </c>
      <c r="C2" s="537"/>
      <c r="D2" s="537"/>
      <c r="E2" s="537"/>
      <c r="F2" s="537"/>
      <c r="G2" s="537"/>
      <c r="H2" s="537"/>
      <c r="I2" s="537"/>
      <c r="J2" s="537"/>
      <c r="K2" s="537"/>
      <c r="L2" s="537"/>
      <c r="M2" s="537"/>
      <c r="N2" s="537"/>
      <c r="O2" s="537"/>
      <c r="P2" s="537"/>
    </row>
    <row r="3" spans="2:24" ht="20.25" customHeight="1" thickBot="1">
      <c r="B3" s="538" t="s">
        <v>86</v>
      </c>
      <c r="C3" s="538" t="s">
        <v>51</v>
      </c>
      <c r="D3" s="538" t="s">
        <v>2</v>
      </c>
      <c r="E3" s="538" t="s">
        <v>3</v>
      </c>
      <c r="F3" s="538" t="s">
        <v>4</v>
      </c>
      <c r="G3" s="538" t="s">
        <v>5</v>
      </c>
      <c r="H3" s="538" t="s">
        <v>6</v>
      </c>
      <c r="I3" s="538" t="s">
        <v>7</v>
      </c>
      <c r="J3" s="538" t="s">
        <v>8</v>
      </c>
      <c r="K3" s="538" t="s">
        <v>9</v>
      </c>
      <c r="L3" s="538" t="s">
        <v>10</v>
      </c>
      <c r="M3" s="538" t="s">
        <v>11</v>
      </c>
      <c r="N3" s="538" t="s">
        <v>12</v>
      </c>
      <c r="O3" s="538" t="s">
        <v>13</v>
      </c>
      <c r="P3" s="538" t="s">
        <v>87</v>
      </c>
      <c r="R3" s="322" t="s">
        <v>86</v>
      </c>
      <c r="S3" s="322" t="s">
        <v>51</v>
      </c>
      <c r="T3" s="365" t="s">
        <v>17</v>
      </c>
      <c r="U3" s="365" t="s">
        <v>18</v>
      </c>
      <c r="V3" s="365" t="s">
        <v>19</v>
      </c>
      <c r="W3" s="365" t="s">
        <v>20</v>
      </c>
      <c r="X3" s="368">
        <v>2021</v>
      </c>
    </row>
    <row r="4" spans="2:24" ht="21.95" customHeight="1" thickTop="1">
      <c r="B4" s="539" t="s">
        <v>22</v>
      </c>
      <c r="C4" s="540"/>
      <c r="D4" s="540"/>
      <c r="E4" s="540"/>
      <c r="F4" s="540"/>
      <c r="G4" s="540"/>
      <c r="H4" s="540"/>
      <c r="I4" s="540"/>
      <c r="J4" s="540"/>
      <c r="K4" s="540"/>
      <c r="L4" s="540"/>
      <c r="M4" s="540"/>
      <c r="N4" s="540"/>
      <c r="O4" s="540"/>
      <c r="P4" s="541"/>
      <c r="R4" s="320" t="s">
        <v>22</v>
      </c>
      <c r="S4" s="330"/>
      <c r="T4" s="138"/>
      <c r="U4" s="138"/>
      <c r="V4" s="138"/>
      <c r="W4" s="138"/>
      <c r="X4" s="138"/>
    </row>
    <row r="5" spans="2:24" s="326" customFormat="1" ht="21.95" customHeight="1">
      <c r="B5" s="533" t="s">
        <v>25</v>
      </c>
      <c r="C5" s="536" t="s">
        <v>24</v>
      </c>
      <c r="D5" s="536">
        <f>SUM(D6:D13)</f>
        <v>12</v>
      </c>
      <c r="E5" s="536">
        <f t="shared" ref="E5:O5" si="0">SUM(E6:E13)</f>
        <v>5</v>
      </c>
      <c r="F5" s="536">
        <f t="shared" si="0"/>
        <v>7</v>
      </c>
      <c r="G5" s="536">
        <f t="shared" si="0"/>
        <v>9</v>
      </c>
      <c r="H5" s="536">
        <f t="shared" si="0"/>
        <v>10</v>
      </c>
      <c r="I5" s="536">
        <f t="shared" si="0"/>
        <v>8</v>
      </c>
      <c r="J5" s="536">
        <f t="shared" si="0"/>
        <v>6</v>
      </c>
      <c r="K5" s="536">
        <f t="shared" si="0"/>
        <v>0</v>
      </c>
      <c r="L5" s="536">
        <f t="shared" si="0"/>
        <v>0</v>
      </c>
      <c r="M5" s="536">
        <f t="shared" si="0"/>
        <v>0</v>
      </c>
      <c r="N5" s="536">
        <f t="shared" si="0"/>
        <v>0</v>
      </c>
      <c r="O5" s="536">
        <f t="shared" si="0"/>
        <v>0</v>
      </c>
      <c r="P5" s="536">
        <f>SUM(P6:P13)</f>
        <v>57</v>
      </c>
      <c r="R5" s="329" t="s">
        <v>25</v>
      </c>
      <c r="S5" s="366" t="s">
        <v>24</v>
      </c>
      <c r="T5" s="48">
        <f>SUM(T6:T13)</f>
        <v>24</v>
      </c>
      <c r="U5" s="48">
        <f>SUM(U6:U13)</f>
        <v>27</v>
      </c>
      <c r="V5" s="48">
        <f>SUM(V6:V13)</f>
        <v>6</v>
      </c>
      <c r="W5" s="48">
        <f>SUM(W6:W13)</f>
        <v>0</v>
      </c>
      <c r="X5" s="48">
        <f>SUM(T5:W5)</f>
        <v>57</v>
      </c>
    </row>
    <row r="6" spans="2:24" s="326" customFormat="1" ht="21.95" customHeight="1">
      <c r="B6" s="533" t="s">
        <v>28</v>
      </c>
      <c r="C6" s="536" t="s">
        <v>24</v>
      </c>
      <c r="D6" s="536" t="s">
        <v>27</v>
      </c>
      <c r="E6" s="536" t="s">
        <v>27</v>
      </c>
      <c r="F6" s="536" t="s">
        <v>27</v>
      </c>
      <c r="G6" s="536" t="s">
        <v>27</v>
      </c>
      <c r="H6" s="536" t="s">
        <v>27</v>
      </c>
      <c r="I6" s="536" t="s">
        <v>27</v>
      </c>
      <c r="J6" s="542" t="s">
        <v>27</v>
      </c>
      <c r="K6" s="542" t="s">
        <v>27</v>
      </c>
      <c r="L6" s="542" t="s">
        <v>27</v>
      </c>
      <c r="M6" s="542" t="s">
        <v>27</v>
      </c>
      <c r="N6" s="542" t="s">
        <v>27</v>
      </c>
      <c r="O6" s="542" t="s">
        <v>27</v>
      </c>
      <c r="P6" s="536">
        <f t="shared" ref="P6:P13" si="1">SUM(D6:O6)</f>
        <v>0</v>
      </c>
      <c r="R6" s="329" t="s">
        <v>28</v>
      </c>
      <c r="S6" s="366" t="s">
        <v>24</v>
      </c>
      <c r="T6" s="22">
        <f>SUM(D6:F6)</f>
        <v>0</v>
      </c>
      <c r="U6" s="22">
        <f>SUM(G6:I6)</f>
        <v>0</v>
      </c>
      <c r="V6" s="22">
        <f>SUM(J6:L6)</f>
        <v>0</v>
      </c>
      <c r="W6" s="22">
        <f>SUM(M6:O6)</f>
        <v>0</v>
      </c>
      <c r="X6" s="48">
        <f t="shared" ref="X6:X13" si="2">SUM(T6:W6)</f>
        <v>0</v>
      </c>
    </row>
    <row r="7" spans="2:24" s="326" customFormat="1" ht="21.95" customHeight="1">
      <c r="B7" s="533" t="s">
        <v>30</v>
      </c>
      <c r="C7" s="536" t="s">
        <v>24</v>
      </c>
      <c r="D7" s="536" t="s">
        <v>27</v>
      </c>
      <c r="E7" s="536" t="s">
        <v>27</v>
      </c>
      <c r="F7" s="536" t="s">
        <v>27</v>
      </c>
      <c r="G7" s="536" t="s">
        <v>27</v>
      </c>
      <c r="H7" s="536" t="s">
        <v>27</v>
      </c>
      <c r="I7" s="536" t="s">
        <v>27</v>
      </c>
      <c r="J7" s="542" t="s">
        <v>27</v>
      </c>
      <c r="K7" s="542" t="s">
        <v>27</v>
      </c>
      <c r="L7" s="542" t="s">
        <v>27</v>
      </c>
      <c r="M7" s="542" t="s">
        <v>27</v>
      </c>
      <c r="N7" s="542" t="s">
        <v>27</v>
      </c>
      <c r="O7" s="542" t="s">
        <v>27</v>
      </c>
      <c r="P7" s="536">
        <f t="shared" si="1"/>
        <v>0</v>
      </c>
      <c r="R7" s="329" t="s">
        <v>30</v>
      </c>
      <c r="S7" s="366" t="s">
        <v>24</v>
      </c>
      <c r="T7" s="22">
        <f t="shared" ref="T7:T13" si="3">SUM(D7:F7)</f>
        <v>0</v>
      </c>
      <c r="U7" s="22">
        <f t="shared" ref="U7:U13" si="4">SUM(G7:I7)</f>
        <v>0</v>
      </c>
      <c r="V7" s="22">
        <f t="shared" ref="V7:V13" si="5">SUM(J7:L7)</f>
        <v>0</v>
      </c>
      <c r="W7" s="22">
        <f t="shared" ref="W7:W13" si="6">SUM(M7:O7)</f>
        <v>0</v>
      </c>
      <c r="X7" s="48">
        <f t="shared" si="2"/>
        <v>0</v>
      </c>
    </row>
    <row r="8" spans="2:24" s="326" customFormat="1" ht="21.95" customHeight="1">
      <c r="B8" s="534" t="s">
        <v>32</v>
      </c>
      <c r="C8" s="536" t="s">
        <v>24</v>
      </c>
      <c r="D8" s="536" t="s">
        <v>27</v>
      </c>
      <c r="E8" s="536" t="s">
        <v>27</v>
      </c>
      <c r="F8" s="536" t="s">
        <v>27</v>
      </c>
      <c r="G8" s="536" t="s">
        <v>27</v>
      </c>
      <c r="H8" s="536" t="s">
        <v>27</v>
      </c>
      <c r="I8" s="536" t="s">
        <v>27</v>
      </c>
      <c r="J8" s="542" t="s">
        <v>27</v>
      </c>
      <c r="K8" s="542" t="s">
        <v>27</v>
      </c>
      <c r="L8" s="542" t="s">
        <v>27</v>
      </c>
      <c r="M8" s="542" t="s">
        <v>27</v>
      </c>
      <c r="N8" s="542" t="s">
        <v>27</v>
      </c>
      <c r="O8" s="542" t="s">
        <v>27</v>
      </c>
      <c r="P8" s="536">
        <f t="shared" si="1"/>
        <v>0</v>
      </c>
      <c r="R8" s="327" t="s">
        <v>32</v>
      </c>
      <c r="S8" s="366" t="s">
        <v>24</v>
      </c>
      <c r="T8" s="22">
        <f t="shared" si="3"/>
        <v>0</v>
      </c>
      <c r="U8" s="22">
        <f t="shared" si="4"/>
        <v>0</v>
      </c>
      <c r="V8" s="22">
        <f t="shared" si="5"/>
        <v>0</v>
      </c>
      <c r="W8" s="22">
        <f t="shared" si="6"/>
        <v>0</v>
      </c>
      <c r="X8" s="48">
        <f t="shared" si="2"/>
        <v>0</v>
      </c>
    </row>
    <row r="9" spans="2:24" s="326" customFormat="1" ht="21.95" customHeight="1">
      <c r="B9" s="535" t="s">
        <v>34</v>
      </c>
      <c r="C9" s="543" t="s">
        <v>24</v>
      </c>
      <c r="D9" s="536" t="s">
        <v>27</v>
      </c>
      <c r="E9" s="536">
        <v>1</v>
      </c>
      <c r="F9" s="536" t="s">
        <v>27</v>
      </c>
      <c r="G9" s="536" t="s">
        <v>27</v>
      </c>
      <c r="H9" s="536" t="s">
        <v>27</v>
      </c>
      <c r="I9" s="536" t="s">
        <v>27</v>
      </c>
      <c r="J9" s="536">
        <v>2</v>
      </c>
      <c r="K9" s="542" t="s">
        <v>27</v>
      </c>
      <c r="L9" s="542" t="s">
        <v>27</v>
      </c>
      <c r="M9" s="542" t="s">
        <v>27</v>
      </c>
      <c r="N9" s="542" t="s">
        <v>27</v>
      </c>
      <c r="O9" s="542" t="s">
        <v>27</v>
      </c>
      <c r="P9" s="536">
        <f t="shared" si="1"/>
        <v>3</v>
      </c>
      <c r="R9" s="328" t="s">
        <v>34</v>
      </c>
      <c r="S9" s="367" t="s">
        <v>24</v>
      </c>
      <c r="T9" s="22">
        <f t="shared" si="3"/>
        <v>1</v>
      </c>
      <c r="U9" s="22">
        <f t="shared" si="4"/>
        <v>0</v>
      </c>
      <c r="V9" s="22">
        <f t="shared" si="5"/>
        <v>2</v>
      </c>
      <c r="W9" s="22">
        <f t="shared" si="6"/>
        <v>0</v>
      </c>
      <c r="X9" s="48">
        <f t="shared" si="2"/>
        <v>3</v>
      </c>
    </row>
    <row r="10" spans="2:24" s="326" customFormat="1" ht="21.95" customHeight="1">
      <c r="B10" s="534" t="s">
        <v>36</v>
      </c>
      <c r="C10" s="536" t="s">
        <v>24</v>
      </c>
      <c r="D10" s="536">
        <v>4</v>
      </c>
      <c r="E10" s="536">
        <v>2</v>
      </c>
      <c r="F10" s="536">
        <v>5</v>
      </c>
      <c r="G10" s="536">
        <v>6</v>
      </c>
      <c r="H10" s="536">
        <v>3</v>
      </c>
      <c r="I10" s="536">
        <v>5</v>
      </c>
      <c r="J10" s="536">
        <v>3</v>
      </c>
      <c r="K10" s="542" t="s">
        <v>27</v>
      </c>
      <c r="L10" s="542" t="s">
        <v>27</v>
      </c>
      <c r="M10" s="542" t="s">
        <v>27</v>
      </c>
      <c r="N10" s="542" t="s">
        <v>27</v>
      </c>
      <c r="O10" s="542" t="s">
        <v>27</v>
      </c>
      <c r="P10" s="536">
        <f t="shared" si="1"/>
        <v>28</v>
      </c>
      <c r="R10" s="327" t="s">
        <v>36</v>
      </c>
      <c r="S10" s="366" t="s">
        <v>24</v>
      </c>
      <c r="T10" s="22">
        <f t="shared" si="3"/>
        <v>11</v>
      </c>
      <c r="U10" s="22">
        <f t="shared" si="4"/>
        <v>14</v>
      </c>
      <c r="V10" s="22">
        <f t="shared" si="5"/>
        <v>3</v>
      </c>
      <c r="W10" s="22">
        <f t="shared" si="6"/>
        <v>0</v>
      </c>
      <c r="X10" s="48">
        <f t="shared" si="2"/>
        <v>28</v>
      </c>
    </row>
    <row r="11" spans="2:24" s="326" customFormat="1" ht="21.95" customHeight="1">
      <c r="B11" s="534" t="s">
        <v>38</v>
      </c>
      <c r="C11" s="536" t="s">
        <v>24</v>
      </c>
      <c r="D11" s="536" t="s">
        <v>27</v>
      </c>
      <c r="E11" s="536" t="s">
        <v>27</v>
      </c>
      <c r="F11" s="536" t="s">
        <v>27</v>
      </c>
      <c r="G11" s="536" t="s">
        <v>27</v>
      </c>
      <c r="H11" s="536" t="s">
        <v>27</v>
      </c>
      <c r="I11" s="542" t="s">
        <v>27</v>
      </c>
      <c r="J11" s="542" t="s">
        <v>27</v>
      </c>
      <c r="K11" s="542" t="s">
        <v>27</v>
      </c>
      <c r="L11" s="542" t="s">
        <v>27</v>
      </c>
      <c r="M11" s="542" t="s">
        <v>27</v>
      </c>
      <c r="N11" s="542" t="s">
        <v>27</v>
      </c>
      <c r="O11" s="542" t="s">
        <v>27</v>
      </c>
      <c r="P11" s="536">
        <f t="shared" si="1"/>
        <v>0</v>
      </c>
      <c r="R11" s="327" t="s">
        <v>38</v>
      </c>
      <c r="S11" s="366" t="s">
        <v>24</v>
      </c>
      <c r="T11" s="22">
        <f t="shared" si="3"/>
        <v>0</v>
      </c>
      <c r="U11" s="22">
        <f t="shared" si="4"/>
        <v>0</v>
      </c>
      <c r="V11" s="22">
        <f t="shared" si="5"/>
        <v>0</v>
      </c>
      <c r="W11" s="22">
        <f t="shared" si="6"/>
        <v>0</v>
      </c>
      <c r="X11" s="48">
        <f t="shared" si="2"/>
        <v>0</v>
      </c>
    </row>
    <row r="12" spans="2:24" s="326" customFormat="1" ht="21.95" customHeight="1">
      <c r="B12" s="534" t="s">
        <v>40</v>
      </c>
      <c r="C12" s="536" t="s">
        <v>24</v>
      </c>
      <c r="D12" s="536">
        <v>1</v>
      </c>
      <c r="E12" s="536" t="s">
        <v>27</v>
      </c>
      <c r="F12" s="536" t="s">
        <v>27</v>
      </c>
      <c r="G12" s="536">
        <v>1</v>
      </c>
      <c r="H12" s="536">
        <v>1</v>
      </c>
      <c r="I12" s="536">
        <v>1</v>
      </c>
      <c r="J12" s="542" t="s">
        <v>27</v>
      </c>
      <c r="K12" s="542" t="s">
        <v>27</v>
      </c>
      <c r="L12" s="542" t="s">
        <v>27</v>
      </c>
      <c r="M12" s="542" t="s">
        <v>27</v>
      </c>
      <c r="N12" s="542" t="s">
        <v>27</v>
      </c>
      <c r="O12" s="542" t="s">
        <v>27</v>
      </c>
      <c r="P12" s="536">
        <f t="shared" si="1"/>
        <v>4</v>
      </c>
      <c r="R12" s="327" t="s">
        <v>40</v>
      </c>
      <c r="S12" s="366" t="s">
        <v>24</v>
      </c>
      <c r="T12" s="22">
        <f t="shared" si="3"/>
        <v>1</v>
      </c>
      <c r="U12" s="22">
        <f>SUM(G12:I12)</f>
        <v>3</v>
      </c>
      <c r="V12" s="22">
        <f t="shared" si="5"/>
        <v>0</v>
      </c>
      <c r="W12" s="22">
        <f t="shared" si="6"/>
        <v>0</v>
      </c>
      <c r="X12" s="48">
        <f t="shared" si="2"/>
        <v>4</v>
      </c>
    </row>
    <row r="13" spans="2:24" s="326" customFormat="1" ht="21.95" customHeight="1">
      <c r="B13" s="534" t="s">
        <v>42</v>
      </c>
      <c r="C13" s="536" t="s">
        <v>24</v>
      </c>
      <c r="D13" s="536">
        <v>7</v>
      </c>
      <c r="E13" s="536">
        <v>2</v>
      </c>
      <c r="F13" s="536">
        <v>2</v>
      </c>
      <c r="G13" s="536">
        <v>2</v>
      </c>
      <c r="H13" s="536">
        <v>6</v>
      </c>
      <c r="I13" s="542">
        <v>2</v>
      </c>
      <c r="J13" s="536">
        <v>1</v>
      </c>
      <c r="K13" s="542" t="s">
        <v>27</v>
      </c>
      <c r="L13" s="542" t="s">
        <v>27</v>
      </c>
      <c r="M13" s="542" t="s">
        <v>27</v>
      </c>
      <c r="N13" s="542" t="s">
        <v>27</v>
      </c>
      <c r="O13" s="542" t="s">
        <v>27</v>
      </c>
      <c r="P13" s="536">
        <f t="shared" si="1"/>
        <v>22</v>
      </c>
      <c r="R13" s="327" t="s">
        <v>42</v>
      </c>
      <c r="S13" s="366" t="s">
        <v>24</v>
      </c>
      <c r="T13" s="22">
        <f t="shared" si="3"/>
        <v>11</v>
      </c>
      <c r="U13" s="22">
        <f t="shared" si="4"/>
        <v>10</v>
      </c>
      <c r="V13" s="22">
        <f t="shared" si="5"/>
        <v>1</v>
      </c>
      <c r="W13" s="22">
        <f t="shared" si="6"/>
        <v>0</v>
      </c>
      <c r="X13" s="48">
        <f t="shared" si="2"/>
        <v>22</v>
      </c>
    </row>
    <row r="15" spans="2:24">
      <c r="B15" s="30"/>
      <c r="C15" s="30"/>
      <c r="D15" s="30"/>
      <c r="E15" s="30"/>
      <c r="F15" s="30"/>
    </row>
    <row r="16" spans="2:24">
      <c r="B16" s="1276" t="s">
        <v>43</v>
      </c>
      <c r="C16" s="1276"/>
      <c r="D16" s="30"/>
      <c r="E16" s="1276" t="s">
        <v>44</v>
      </c>
      <c r="F16" s="1276"/>
      <c r="I16" s="1277" t="s">
        <v>45</v>
      </c>
      <c r="J16" s="1277"/>
    </row>
    <row r="17" spans="2:10">
      <c r="B17" s="325" t="s">
        <v>46</v>
      </c>
      <c r="C17" s="324">
        <v>0.97</v>
      </c>
      <c r="D17" s="30"/>
      <c r="E17" s="325" t="s">
        <v>46</v>
      </c>
      <c r="F17" s="324">
        <v>0.65</v>
      </c>
      <c r="I17" s="126" t="s">
        <v>47</v>
      </c>
      <c r="J17" s="323">
        <v>0.88</v>
      </c>
    </row>
    <row r="18" spans="2:10">
      <c r="B18" s="325" t="s">
        <v>48</v>
      </c>
      <c r="C18" s="324">
        <v>0.05</v>
      </c>
      <c r="D18" s="30"/>
      <c r="E18" s="325" t="s">
        <v>48</v>
      </c>
      <c r="F18" s="324">
        <v>0.35</v>
      </c>
      <c r="I18" s="126" t="s">
        <v>49</v>
      </c>
      <c r="J18" s="323">
        <v>0.74</v>
      </c>
    </row>
    <row r="19" spans="2:10">
      <c r="I19" s="126" t="s">
        <v>50</v>
      </c>
      <c r="J19" s="323">
        <v>0.98</v>
      </c>
    </row>
    <row r="33" spans="2:18" ht="15.95" thickBot="1">
      <c r="B33" s="322" t="s">
        <v>88</v>
      </c>
      <c r="C33" s="322" t="s">
        <v>51</v>
      </c>
      <c r="D33" s="322" t="s">
        <v>52</v>
      </c>
      <c r="E33" s="393" t="s">
        <v>89</v>
      </c>
      <c r="F33" s="393" t="s">
        <v>90</v>
      </c>
      <c r="G33" s="321" t="s">
        <v>55</v>
      </c>
      <c r="H33" s="22">
        <v>2019</v>
      </c>
      <c r="I33" s="22">
        <v>2020</v>
      </c>
      <c r="J33" s="22">
        <v>2021</v>
      </c>
      <c r="K33" s="22">
        <v>2022</v>
      </c>
    </row>
    <row r="34" spans="2:18" ht="15.95" thickTop="1">
      <c r="B34" s="320" t="s">
        <v>22</v>
      </c>
      <c r="C34" s="319"/>
    </row>
    <row r="35" spans="2:18" ht="15.6">
      <c r="B35" s="317" t="s">
        <v>56</v>
      </c>
      <c r="C35" s="314" t="s">
        <v>24</v>
      </c>
      <c r="D35" s="25"/>
      <c r="E35" s="50">
        <f>SUM(E36:E43)</f>
        <v>57</v>
      </c>
      <c r="F35" s="50">
        <f>SUM(F36:F43)</f>
        <v>57</v>
      </c>
      <c r="H35" s="50">
        <f>SUM(H36:H43)</f>
        <v>5</v>
      </c>
      <c r="I35" s="50">
        <f>SUM(I36:I43)</f>
        <v>28</v>
      </c>
      <c r="J35" s="50">
        <f>SUM(J36:J43)</f>
        <v>48</v>
      </c>
      <c r="K35" s="50">
        <f>SUM(K36:K43)</f>
        <v>57</v>
      </c>
      <c r="M35" s="318">
        <f>(J35-I35)/J35</f>
        <v>0.41666666666666669</v>
      </c>
      <c r="O35" s="318">
        <f>21/28</f>
        <v>0.75</v>
      </c>
    </row>
    <row r="36" spans="2:18" ht="15.6">
      <c r="B36" s="317" t="s">
        <v>28</v>
      </c>
      <c r="C36" s="314" t="s">
        <v>24</v>
      </c>
      <c r="D36" s="25"/>
      <c r="E36" s="50">
        <f>SUM(D6:J6)</f>
        <v>0</v>
      </c>
      <c r="F36" s="50">
        <v>0</v>
      </c>
      <c r="H36" s="50">
        <v>0</v>
      </c>
      <c r="I36" s="50">
        <v>0</v>
      </c>
      <c r="J36" s="50">
        <v>1</v>
      </c>
      <c r="K36" s="50">
        <f t="shared" ref="K36:K43" si="7">F36</f>
        <v>0</v>
      </c>
      <c r="M36">
        <f>28+28</f>
        <v>56</v>
      </c>
    </row>
    <row r="37" spans="2:18" ht="15.6">
      <c r="B37" s="317" t="s">
        <v>30</v>
      </c>
      <c r="C37" s="314" t="s">
        <v>24</v>
      </c>
      <c r="D37" s="25"/>
      <c r="E37" s="50">
        <f t="shared" ref="E37:E43" si="8">SUM(D7:J7)</f>
        <v>0</v>
      </c>
      <c r="F37" s="50">
        <v>0</v>
      </c>
      <c r="H37" s="50">
        <v>0</v>
      </c>
      <c r="I37" s="50">
        <v>1</v>
      </c>
      <c r="J37" s="50">
        <v>1</v>
      </c>
      <c r="K37" s="50">
        <f t="shared" si="7"/>
        <v>0</v>
      </c>
    </row>
    <row r="38" spans="2:18" ht="15.6">
      <c r="B38" s="315" t="s">
        <v>59</v>
      </c>
      <c r="C38" s="314" t="s">
        <v>24</v>
      </c>
      <c r="D38" s="25"/>
      <c r="E38" s="50">
        <f t="shared" si="8"/>
        <v>0</v>
      </c>
      <c r="F38" s="50">
        <v>0</v>
      </c>
      <c r="H38" s="50">
        <v>1</v>
      </c>
      <c r="I38" s="50">
        <v>9</v>
      </c>
      <c r="J38" s="50">
        <v>5</v>
      </c>
      <c r="K38" s="50">
        <f t="shared" si="7"/>
        <v>0</v>
      </c>
    </row>
    <row r="39" spans="2:18" ht="15.6">
      <c r="B39" s="316" t="s">
        <v>34</v>
      </c>
      <c r="C39" s="314" t="s">
        <v>24</v>
      </c>
      <c r="D39" s="25"/>
      <c r="E39" s="50">
        <f t="shared" si="8"/>
        <v>3</v>
      </c>
      <c r="F39" s="50">
        <v>3</v>
      </c>
      <c r="H39" s="50">
        <v>0</v>
      </c>
      <c r="I39" s="50">
        <v>0</v>
      </c>
      <c r="J39" s="50">
        <v>0</v>
      </c>
      <c r="K39" s="50">
        <f t="shared" si="7"/>
        <v>3</v>
      </c>
    </row>
    <row r="40" spans="2:18" ht="15.6">
      <c r="B40" s="315" t="s">
        <v>64</v>
      </c>
      <c r="C40" s="314" t="s">
        <v>24</v>
      </c>
      <c r="D40" s="25"/>
      <c r="E40" s="50">
        <f t="shared" si="8"/>
        <v>28</v>
      </c>
      <c r="F40" s="50">
        <v>28</v>
      </c>
      <c r="H40" s="50">
        <v>4</v>
      </c>
      <c r="I40" s="50">
        <v>15</v>
      </c>
      <c r="J40" s="50">
        <v>25</v>
      </c>
      <c r="K40" s="50">
        <f t="shared" si="7"/>
        <v>28</v>
      </c>
    </row>
    <row r="41" spans="2:18" ht="15.6">
      <c r="B41" s="315" t="s">
        <v>65</v>
      </c>
      <c r="C41" s="314" t="s">
        <v>24</v>
      </c>
      <c r="D41" s="25"/>
      <c r="E41" s="50">
        <f t="shared" si="8"/>
        <v>0</v>
      </c>
      <c r="F41" s="50">
        <v>0</v>
      </c>
      <c r="H41" s="50">
        <v>0</v>
      </c>
      <c r="I41" s="50">
        <v>0</v>
      </c>
      <c r="J41" s="50">
        <v>0</v>
      </c>
      <c r="K41" s="50">
        <f t="shared" si="7"/>
        <v>0</v>
      </c>
      <c r="O41" s="318"/>
      <c r="P41">
        <f>4119+197</f>
        <v>4316</v>
      </c>
    </row>
    <row r="42" spans="2:18" ht="15.6">
      <c r="B42" s="315" t="s">
        <v>66</v>
      </c>
      <c r="C42" s="314" t="s">
        <v>24</v>
      </c>
      <c r="D42" s="25"/>
      <c r="E42" s="50">
        <f t="shared" si="8"/>
        <v>4</v>
      </c>
      <c r="F42" s="50">
        <v>4</v>
      </c>
      <c r="H42" s="50">
        <v>0</v>
      </c>
      <c r="I42" s="50">
        <v>0</v>
      </c>
      <c r="J42" s="50">
        <v>2</v>
      </c>
      <c r="K42" s="50">
        <f t="shared" si="7"/>
        <v>4</v>
      </c>
      <c r="P42">
        <f>859+81</f>
        <v>940</v>
      </c>
      <c r="R42" s="318"/>
    </row>
    <row r="43" spans="2:18" ht="15.6">
      <c r="B43" s="315" t="s">
        <v>67</v>
      </c>
      <c r="C43" s="314" t="s">
        <v>24</v>
      </c>
      <c r="D43" s="25"/>
      <c r="E43" s="50">
        <f t="shared" si="8"/>
        <v>22</v>
      </c>
      <c r="F43" s="50">
        <v>22</v>
      </c>
      <c r="H43" s="50">
        <v>0</v>
      </c>
      <c r="I43" s="50">
        <v>3</v>
      </c>
      <c r="J43" s="50">
        <v>14</v>
      </c>
      <c r="K43" s="50">
        <f t="shared" si="7"/>
        <v>22</v>
      </c>
    </row>
    <row r="64" spans="4:13" ht="30.95">
      <c r="D64" s="25">
        <v>2019</v>
      </c>
      <c r="E64" s="25">
        <v>2020</v>
      </c>
      <c r="F64" s="25">
        <v>2021</v>
      </c>
      <c r="G64" s="25">
        <v>2022</v>
      </c>
      <c r="K64" s="317" t="s">
        <v>56</v>
      </c>
      <c r="L64" s="317" t="s">
        <v>28</v>
      </c>
      <c r="M64" s="317" t="s">
        <v>30</v>
      </c>
    </row>
    <row r="65" spans="2:13" ht="15.6">
      <c r="B65" s="317" t="s">
        <v>56</v>
      </c>
      <c r="C65" s="314" t="s">
        <v>24</v>
      </c>
      <c r="D65" s="25">
        <v>5</v>
      </c>
      <c r="E65" s="25">
        <v>28</v>
      </c>
      <c r="F65" s="25">
        <v>49</v>
      </c>
      <c r="G65" s="25">
        <v>17</v>
      </c>
      <c r="J65" s="25">
        <v>2019</v>
      </c>
      <c r="K65" s="25">
        <v>5</v>
      </c>
      <c r="L65" s="25">
        <v>0</v>
      </c>
      <c r="M65" s="25">
        <v>0</v>
      </c>
    </row>
    <row r="66" spans="2:13" ht="15.6">
      <c r="B66" s="317" t="s">
        <v>28</v>
      </c>
      <c r="C66" s="314" t="s">
        <v>24</v>
      </c>
      <c r="D66" s="25">
        <v>0</v>
      </c>
      <c r="E66" s="25">
        <v>0</v>
      </c>
      <c r="F66" s="25">
        <v>1</v>
      </c>
      <c r="G66" s="25">
        <v>0</v>
      </c>
      <c r="J66" s="25">
        <v>2020</v>
      </c>
      <c r="K66" s="25">
        <v>28</v>
      </c>
      <c r="L66" s="25">
        <v>0</v>
      </c>
      <c r="M66" s="25">
        <v>1</v>
      </c>
    </row>
    <row r="67" spans="2:13" ht="15.6">
      <c r="B67" s="317" t="s">
        <v>30</v>
      </c>
      <c r="C67" s="314" t="s">
        <v>24</v>
      </c>
      <c r="D67" s="25">
        <v>0</v>
      </c>
      <c r="E67" s="25">
        <v>1</v>
      </c>
      <c r="F67" s="25">
        <v>1</v>
      </c>
      <c r="G67" s="25">
        <v>0</v>
      </c>
      <c r="J67" s="25">
        <v>2021</v>
      </c>
      <c r="K67" s="25">
        <v>49</v>
      </c>
      <c r="L67" s="25">
        <v>1</v>
      </c>
      <c r="M67" s="25">
        <v>1</v>
      </c>
    </row>
    <row r="68" spans="2:13">
      <c r="J68" s="25">
        <v>2022</v>
      </c>
      <c r="K68" s="25">
        <v>17</v>
      </c>
      <c r="L68" s="25">
        <v>0</v>
      </c>
      <c r="M68" s="25">
        <v>0</v>
      </c>
    </row>
    <row r="76" spans="2:13">
      <c r="B76">
        <v>2019</v>
      </c>
      <c r="C76">
        <v>5</v>
      </c>
    </row>
    <row r="77" spans="2:13">
      <c r="B77">
        <v>2020</v>
      </c>
      <c r="C77">
        <v>28</v>
      </c>
    </row>
    <row r="78" spans="2:13">
      <c r="B78">
        <v>2021</v>
      </c>
      <c r="C78">
        <v>48</v>
      </c>
    </row>
    <row r="79" spans="2:13">
      <c r="B79" s="418">
        <v>44749</v>
      </c>
      <c r="C79">
        <v>57</v>
      </c>
    </row>
    <row r="81" spans="2:9">
      <c r="C81" t="s">
        <v>57</v>
      </c>
      <c r="D81" t="s">
        <v>91</v>
      </c>
    </row>
    <row r="82" spans="2:9">
      <c r="B82">
        <v>2019</v>
      </c>
      <c r="C82">
        <v>2</v>
      </c>
      <c r="D82">
        <v>3</v>
      </c>
    </row>
    <row r="83" spans="2:9">
      <c r="B83">
        <v>2020</v>
      </c>
      <c r="C83">
        <v>13</v>
      </c>
      <c r="D83">
        <v>15</v>
      </c>
    </row>
    <row r="84" spans="2:9">
      <c r="B84">
        <v>2021</v>
      </c>
      <c r="C84">
        <v>11</v>
      </c>
      <c r="D84">
        <v>37</v>
      </c>
    </row>
    <row r="85" spans="2:9">
      <c r="B85">
        <v>2022</v>
      </c>
      <c r="C85">
        <v>29</v>
      </c>
      <c r="D85">
        <f>C79-C85</f>
        <v>28</v>
      </c>
    </row>
    <row r="90" spans="2:9" ht="39.950000000000003" customHeight="1">
      <c r="C90" s="489"/>
      <c r="D90" s="30"/>
      <c r="E90" s="30"/>
      <c r="F90" s="30"/>
      <c r="G90" s="30"/>
      <c r="H90" s="30"/>
      <c r="I90" s="30"/>
    </row>
    <row r="91" spans="2:9" ht="39.950000000000003" customHeight="1">
      <c r="C91" s="489"/>
      <c r="D91" s="30"/>
      <c r="E91" s="30"/>
      <c r="F91" s="30"/>
      <c r="G91" s="30"/>
      <c r="H91" s="30"/>
      <c r="I91" s="30"/>
    </row>
    <row r="92" spans="2:9" ht="39.950000000000003" customHeight="1">
      <c r="C92" s="518"/>
      <c r="D92" s="518"/>
      <c r="E92" s="518"/>
      <c r="F92" s="518"/>
      <c r="G92" s="518"/>
      <c r="H92" s="518"/>
      <c r="I92" s="518"/>
    </row>
    <row r="93" spans="2:9" ht="39.950000000000003" customHeight="1">
      <c r="C93" s="519"/>
      <c r="D93" s="519"/>
      <c r="E93" s="519"/>
      <c r="F93" s="519"/>
      <c r="G93" s="519"/>
      <c r="H93" s="519"/>
      <c r="I93" s="519"/>
    </row>
    <row r="94" spans="2:9" ht="39.950000000000003" customHeight="1">
      <c r="C94" s="519"/>
      <c r="D94" s="519"/>
      <c r="E94" s="519"/>
      <c r="F94" s="519"/>
      <c r="G94" s="519"/>
      <c r="H94" s="519"/>
      <c r="I94" s="519"/>
    </row>
    <row r="95" spans="2:9" ht="39.950000000000003" customHeight="1">
      <c r="C95" s="519"/>
      <c r="D95" s="519"/>
      <c r="E95" s="519"/>
      <c r="F95" s="519"/>
      <c r="G95" s="519"/>
      <c r="H95" s="519"/>
      <c r="I95" s="519"/>
    </row>
    <row r="96" spans="2:9" ht="39.950000000000003" customHeight="1">
      <c r="C96" s="519"/>
      <c r="D96" s="519"/>
      <c r="E96" s="519"/>
      <c r="F96" s="519"/>
      <c r="G96" s="519"/>
      <c r="H96" s="519"/>
      <c r="I96" s="519"/>
    </row>
    <row r="97" spans="3:9" ht="39.950000000000003" customHeight="1">
      <c r="C97" s="519"/>
      <c r="D97" s="519"/>
      <c r="E97" s="519"/>
      <c r="F97" s="519"/>
      <c r="G97" s="519"/>
      <c r="H97" s="519"/>
      <c r="I97" s="519"/>
    </row>
    <row r="98" spans="3:9" ht="24.95" customHeight="1"/>
    <row r="99" spans="3:9" ht="24.95" customHeight="1"/>
    <row r="100" spans="3:9" ht="24.95" customHeight="1"/>
  </sheetData>
  <mergeCells count="3">
    <mergeCell ref="B16:C16"/>
    <mergeCell ref="E16:F16"/>
    <mergeCell ref="I16:J16"/>
  </mergeCells>
  <conditionalFormatting sqref="B35:B43">
    <cfRule type="duplicateValues" dxfId="364" priority="3"/>
  </conditionalFormatting>
  <conditionalFormatting sqref="B65:B67">
    <cfRule type="duplicateValues" dxfId="363" priority="2"/>
  </conditionalFormatting>
  <conditionalFormatting sqref="K64:M64">
    <cfRule type="duplicateValues" dxfId="362" priority="1"/>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theme="9" tint="0.59999389629810485"/>
  </sheetPr>
  <dimension ref="A1:DC1389"/>
  <sheetViews>
    <sheetView showGridLines="0" zoomScale="55" zoomScaleNormal="55" workbookViewId="0">
      <selection activeCell="Y32" sqref="Y32"/>
    </sheetView>
  </sheetViews>
  <sheetFormatPr defaultRowHeight="14.45"/>
  <cols>
    <col min="3" max="3" width="9.28515625" customWidth="1"/>
    <col min="4" max="4" width="13.5703125" customWidth="1"/>
    <col min="5" max="5" width="17" customWidth="1"/>
    <col min="6" max="9" width="13.5703125" customWidth="1"/>
    <col min="11" max="12" width="9.28515625" bestFit="1" customWidth="1"/>
    <col min="16" max="17" width="11.5703125" customWidth="1"/>
    <col min="18" max="18" width="13.7109375" bestFit="1" customWidth="1"/>
    <col min="19" max="19" width="13.28515625" style="25" customWidth="1"/>
    <col min="20" max="20" width="25.7109375" style="25" customWidth="1"/>
    <col min="21" max="22" width="13.28515625" style="25" customWidth="1"/>
    <col min="23" max="23" width="19.85546875" style="25" customWidth="1"/>
    <col min="24" max="26" width="13.28515625" style="25" customWidth="1"/>
    <col min="27" max="27" width="9.140625" customWidth="1"/>
    <col min="31" max="31" width="8.7109375" style="307"/>
  </cols>
  <sheetData>
    <row r="1" spans="2:107">
      <c r="DC1" s="307"/>
    </row>
    <row r="2" spans="2:107" ht="15" thickBot="1">
      <c r="DC2" s="307"/>
    </row>
    <row r="3" spans="2:107">
      <c r="B3" s="37"/>
      <c r="C3" s="38"/>
      <c r="D3" s="38"/>
      <c r="E3" s="38"/>
      <c r="F3" s="38"/>
      <c r="G3" s="38"/>
      <c r="H3" s="38"/>
      <c r="I3" s="38"/>
      <c r="J3" s="38"/>
      <c r="K3" s="38"/>
      <c r="L3" s="38"/>
      <c r="M3" s="38"/>
      <c r="N3" s="38"/>
      <c r="O3" s="38"/>
      <c r="P3" s="38"/>
      <c r="Q3" s="38"/>
      <c r="R3" s="38"/>
      <c r="S3" s="137"/>
      <c r="T3" s="137"/>
      <c r="U3" s="137"/>
      <c r="V3" s="137"/>
      <c r="W3" s="137"/>
      <c r="X3" s="137"/>
      <c r="Y3" s="137"/>
      <c r="Z3" s="137"/>
      <c r="AA3" s="38"/>
      <c r="AB3" s="38"/>
      <c r="AC3" s="39"/>
      <c r="AF3" s="1302"/>
      <c r="AG3" s="1302"/>
      <c r="AH3" s="1302"/>
      <c r="AI3" s="1302"/>
      <c r="AJ3" s="1302"/>
      <c r="AK3" s="1302"/>
      <c r="AL3" s="1302"/>
      <c r="AM3" s="1302"/>
      <c r="AN3" s="1302"/>
      <c r="AO3" s="1302"/>
      <c r="AP3" s="1302"/>
      <c r="AQ3" s="1302"/>
      <c r="AR3" s="1302"/>
      <c r="AS3" s="1302"/>
      <c r="AT3" s="1302"/>
      <c r="AU3" s="1302"/>
      <c r="AV3" s="1302"/>
      <c r="AW3" s="1302"/>
      <c r="AX3" s="1302"/>
      <c r="AY3" s="1302"/>
      <c r="AZ3" s="1302"/>
      <c r="BA3" s="1302"/>
      <c r="BB3" s="1302"/>
      <c r="BC3" s="1302"/>
      <c r="BD3" s="1302"/>
      <c r="BE3" s="1302"/>
      <c r="BF3" s="1302"/>
      <c r="BG3" s="1302"/>
      <c r="BH3" s="1302"/>
      <c r="BI3" s="1302"/>
      <c r="BJ3" s="1302"/>
      <c r="BK3" s="1302"/>
      <c r="BL3" s="1302"/>
      <c r="BM3" s="1302"/>
      <c r="BN3" s="1302"/>
      <c r="BO3" s="1302"/>
      <c r="BP3" s="1302"/>
      <c r="BQ3" s="1302"/>
      <c r="BR3" s="1302"/>
      <c r="BS3" s="1302"/>
      <c r="BT3" s="1302"/>
      <c r="BU3" s="1302"/>
      <c r="BV3" s="1302"/>
      <c r="BW3" s="1302"/>
      <c r="BX3" s="1302"/>
      <c r="BY3" s="1302"/>
      <c r="BZ3" s="1302"/>
      <c r="CA3" s="1302"/>
      <c r="CB3" s="1302"/>
      <c r="CC3" s="1302"/>
      <c r="CD3" s="1302"/>
      <c r="CE3" s="1302"/>
      <c r="CF3" s="1302"/>
      <c r="CG3" s="1302"/>
      <c r="CH3" s="1302"/>
      <c r="CI3" s="1302"/>
      <c r="CJ3" s="1302"/>
      <c r="CK3" s="1302"/>
      <c r="CL3" s="1302"/>
      <c r="CM3" s="1302"/>
      <c r="CN3" s="1302"/>
      <c r="CO3" s="1302"/>
      <c r="CP3" s="1302"/>
      <c r="CQ3" s="1302"/>
      <c r="CR3" s="1302"/>
      <c r="CS3" s="1302"/>
      <c r="CT3" s="1302"/>
      <c r="CU3" s="1302"/>
      <c r="CV3" s="1302"/>
      <c r="CW3" s="1302"/>
      <c r="CX3" s="1302"/>
      <c r="CY3" s="1302"/>
      <c r="CZ3" s="1302"/>
      <c r="DA3" s="1302"/>
      <c r="DB3" s="1302"/>
      <c r="DC3" s="307"/>
    </row>
    <row r="4" spans="2:107" ht="15" thickBot="1">
      <c r="B4" s="33"/>
      <c r="AC4" s="31"/>
      <c r="AF4" s="1302"/>
      <c r="AG4" s="1302"/>
      <c r="AH4" s="1302"/>
      <c r="AI4" s="1302"/>
      <c r="AJ4" s="1302"/>
      <c r="AK4" s="1302"/>
      <c r="AL4" s="1302"/>
      <c r="AM4" s="1302"/>
      <c r="AN4" s="1302"/>
      <c r="AO4" s="1302"/>
      <c r="AP4" s="1302"/>
      <c r="AQ4" s="1302"/>
      <c r="AR4" s="1302"/>
      <c r="AS4" s="1302"/>
      <c r="AT4" s="1302"/>
      <c r="AU4" s="1302"/>
      <c r="AV4" s="1302"/>
      <c r="AW4" s="1302"/>
      <c r="AX4" s="1302"/>
      <c r="AY4" s="1302"/>
      <c r="AZ4" s="1302"/>
      <c r="BA4" s="1302"/>
      <c r="BB4" s="1302"/>
      <c r="BC4" s="1302"/>
      <c r="BD4" s="1302"/>
      <c r="BE4" s="1302"/>
      <c r="BF4" s="1302"/>
      <c r="BG4" s="1302"/>
      <c r="BH4" s="1302"/>
      <c r="BI4" s="1302"/>
      <c r="BJ4" s="1302"/>
      <c r="BK4" s="1302"/>
      <c r="BL4" s="1302"/>
      <c r="BM4" s="1302"/>
      <c r="BN4" s="1302"/>
      <c r="BO4" s="1302"/>
      <c r="BP4" s="1302"/>
      <c r="BQ4" s="1302"/>
      <c r="BR4" s="1302"/>
      <c r="BS4" s="1302"/>
      <c r="BT4" s="1302"/>
      <c r="BU4" s="1302"/>
      <c r="BV4" s="1302"/>
      <c r="BW4" s="1302"/>
      <c r="BX4" s="1302"/>
      <c r="BY4" s="1302"/>
      <c r="BZ4" s="1302"/>
      <c r="CA4" s="1302"/>
      <c r="CB4" s="1302"/>
      <c r="CC4" s="1302"/>
      <c r="CD4" s="1302"/>
      <c r="CE4" s="1302"/>
      <c r="CF4" s="1302"/>
      <c r="CG4" s="1302"/>
      <c r="CH4" s="1302"/>
      <c r="CI4" s="1302"/>
      <c r="CJ4" s="1302"/>
      <c r="CK4" s="1302"/>
      <c r="CL4" s="1302"/>
      <c r="CM4" s="1302"/>
      <c r="CN4" s="1302"/>
      <c r="CO4" s="1302"/>
      <c r="CP4" s="1302"/>
      <c r="CQ4" s="1302"/>
      <c r="CR4" s="1302"/>
      <c r="CS4" s="1302"/>
      <c r="CT4" s="1302"/>
      <c r="CU4" s="1302"/>
      <c r="CV4" s="1302"/>
      <c r="CW4" s="1302"/>
      <c r="CX4" s="1302"/>
      <c r="CY4" s="1302"/>
      <c r="CZ4" s="1302"/>
      <c r="DA4" s="1302"/>
      <c r="DB4" s="1302"/>
      <c r="DC4" s="307"/>
    </row>
    <row r="5" spans="2:107" ht="14.45" customHeight="1">
      <c r="B5" s="33"/>
      <c r="C5" s="1293" t="s">
        <v>92</v>
      </c>
      <c r="D5" s="1294"/>
      <c r="E5" s="1294"/>
      <c r="F5" s="1294"/>
      <c r="G5" s="1294"/>
      <c r="H5" s="1294"/>
      <c r="I5" s="1294"/>
      <c r="J5" s="1294"/>
      <c r="K5" s="1294"/>
      <c r="L5" s="1294"/>
      <c r="M5" s="1294"/>
      <c r="N5" s="1294"/>
      <c r="O5" s="1294"/>
      <c r="P5" s="1294"/>
      <c r="Q5" s="1294"/>
      <c r="R5" s="1294"/>
      <c r="S5" s="1294"/>
      <c r="T5" s="1294"/>
      <c r="U5" s="1294"/>
      <c r="V5" s="1294"/>
      <c r="W5" s="1294"/>
      <c r="X5" s="1294"/>
      <c r="Y5" s="1294"/>
      <c r="Z5" s="1294"/>
      <c r="AA5" s="1294"/>
      <c r="AB5" s="1295"/>
      <c r="AC5" s="31"/>
      <c r="AF5" s="1302"/>
      <c r="AG5" s="1302"/>
      <c r="AH5" s="1302"/>
      <c r="AI5" s="1302"/>
      <c r="AJ5" s="1302"/>
      <c r="AK5" s="1302"/>
      <c r="AL5" s="1302"/>
      <c r="AM5" s="1302"/>
      <c r="AN5" s="1302"/>
      <c r="AO5" s="1302"/>
      <c r="AP5" s="1302"/>
      <c r="AQ5" s="1302"/>
      <c r="AR5" s="1302"/>
      <c r="AS5" s="1302"/>
      <c r="AT5" s="1302"/>
      <c r="AU5" s="1302"/>
      <c r="AV5" s="1302"/>
      <c r="AW5" s="1302"/>
      <c r="AX5" s="1302"/>
      <c r="AY5" s="1302"/>
      <c r="AZ5" s="1302"/>
      <c r="BA5" s="1302"/>
      <c r="BB5" s="1302"/>
      <c r="BC5" s="1302"/>
      <c r="BD5" s="1302"/>
      <c r="BE5" s="1302"/>
      <c r="BF5" s="1302"/>
      <c r="BG5" s="1302"/>
      <c r="BH5" s="1302"/>
      <c r="BI5" s="1302"/>
      <c r="BJ5" s="1302"/>
      <c r="BK5" s="1302"/>
      <c r="BL5" s="1302"/>
      <c r="BM5" s="1302"/>
      <c r="BN5" s="1302"/>
      <c r="BO5" s="1302"/>
      <c r="BP5" s="1302"/>
      <c r="BQ5" s="1302"/>
      <c r="BR5" s="1302"/>
      <c r="BS5" s="1302"/>
      <c r="BT5" s="1302"/>
      <c r="BU5" s="1302"/>
      <c r="BV5" s="1302"/>
      <c r="BW5" s="1302"/>
      <c r="BX5" s="1302"/>
      <c r="BY5" s="1302"/>
      <c r="BZ5" s="1302"/>
      <c r="CA5" s="1302"/>
      <c r="CB5" s="1302"/>
      <c r="CC5" s="1302"/>
      <c r="CD5" s="1302"/>
      <c r="CE5" s="1302"/>
      <c r="CF5" s="1302"/>
      <c r="CG5" s="1302"/>
      <c r="CH5" s="1302"/>
      <c r="CI5" s="1302"/>
      <c r="CJ5" s="1302"/>
      <c r="CK5" s="1302"/>
      <c r="CL5" s="1302"/>
      <c r="CM5" s="1302"/>
      <c r="CN5" s="1302"/>
      <c r="CO5" s="1302"/>
      <c r="CP5" s="1302"/>
      <c r="CQ5" s="1302"/>
      <c r="CR5" s="1302"/>
      <c r="CS5" s="1302"/>
      <c r="CT5" s="1302"/>
      <c r="CU5" s="1302"/>
      <c r="CV5" s="1302"/>
      <c r="CW5" s="1302"/>
      <c r="CX5" s="1302"/>
      <c r="CY5" s="1302"/>
      <c r="CZ5" s="1302"/>
      <c r="DA5" s="1302"/>
      <c r="DB5" s="1302"/>
      <c r="DC5" s="307"/>
    </row>
    <row r="6" spans="2:107" ht="15" customHeight="1">
      <c r="B6" s="33"/>
      <c r="C6" s="1296"/>
      <c r="D6" s="1297"/>
      <c r="E6" s="1297"/>
      <c r="F6" s="1297"/>
      <c r="G6" s="1297"/>
      <c r="H6" s="1297"/>
      <c r="I6" s="1297"/>
      <c r="J6" s="1297"/>
      <c r="K6" s="1297"/>
      <c r="L6" s="1297"/>
      <c r="M6" s="1297"/>
      <c r="N6" s="1297"/>
      <c r="O6" s="1297"/>
      <c r="P6" s="1297"/>
      <c r="Q6" s="1297"/>
      <c r="R6" s="1297"/>
      <c r="S6" s="1297"/>
      <c r="T6" s="1297"/>
      <c r="U6" s="1297"/>
      <c r="V6" s="1297"/>
      <c r="W6" s="1297"/>
      <c r="X6" s="1297"/>
      <c r="Y6" s="1297"/>
      <c r="Z6" s="1297"/>
      <c r="AA6" s="1297"/>
      <c r="AB6" s="1298"/>
      <c r="AC6" s="31"/>
      <c r="AF6" s="1302"/>
      <c r="AG6" s="1302"/>
      <c r="AH6" s="1302"/>
      <c r="AI6" s="1302"/>
      <c r="AJ6" s="1302"/>
      <c r="AK6" s="1302"/>
      <c r="AL6" s="1302"/>
      <c r="AM6" s="1302"/>
      <c r="AN6" s="1302"/>
      <c r="AO6" s="1302"/>
      <c r="AP6" s="1302"/>
      <c r="AQ6" s="1302"/>
      <c r="AR6" s="1302"/>
      <c r="AS6" s="1302"/>
      <c r="AT6" s="1302"/>
      <c r="AU6" s="1302"/>
      <c r="AV6" s="1302"/>
      <c r="AW6" s="1302"/>
      <c r="AX6" s="1302"/>
      <c r="AY6" s="1302"/>
      <c r="AZ6" s="1302"/>
      <c r="BA6" s="1302"/>
      <c r="BB6" s="1302"/>
      <c r="BC6" s="1302"/>
      <c r="BD6" s="1302"/>
      <c r="BE6" s="1302"/>
      <c r="BF6" s="1302"/>
      <c r="BG6" s="1302"/>
      <c r="BH6" s="1302"/>
      <c r="BI6" s="1302"/>
      <c r="BJ6" s="1302"/>
      <c r="BK6" s="1302"/>
      <c r="BL6" s="1302"/>
      <c r="BM6" s="1302"/>
      <c r="BN6" s="1302"/>
      <c r="BO6" s="1302"/>
      <c r="BP6" s="1302"/>
      <c r="BQ6" s="1302"/>
      <c r="BR6" s="1302"/>
      <c r="BS6" s="1302"/>
      <c r="BT6" s="1302"/>
      <c r="BU6" s="1302"/>
      <c r="BV6" s="1302"/>
      <c r="BW6" s="1302"/>
      <c r="BX6" s="1302"/>
      <c r="BY6" s="1302"/>
      <c r="BZ6" s="1302"/>
      <c r="CA6" s="1302"/>
      <c r="CB6" s="1302"/>
      <c r="CC6" s="1302"/>
      <c r="CD6" s="1302"/>
      <c r="CE6" s="1302"/>
      <c r="CF6" s="1302"/>
      <c r="CG6" s="1302"/>
      <c r="CH6" s="1302"/>
      <c r="CI6" s="1302"/>
      <c r="CJ6" s="1302"/>
      <c r="CK6" s="1302"/>
      <c r="CL6" s="1302"/>
      <c r="CM6" s="1302"/>
      <c r="CN6" s="1302"/>
      <c r="CO6" s="1302"/>
      <c r="CP6" s="1302"/>
      <c r="CQ6" s="1302"/>
      <c r="CR6" s="1302"/>
      <c r="CS6" s="1302"/>
      <c r="CT6" s="1302"/>
      <c r="CU6" s="1302"/>
      <c r="CV6" s="1302"/>
      <c r="CW6" s="1302"/>
      <c r="CX6" s="1302"/>
      <c r="CY6" s="1302"/>
      <c r="CZ6" s="1302"/>
      <c r="DA6" s="1302"/>
      <c r="DB6" s="1302"/>
      <c r="DC6" s="307"/>
    </row>
    <row r="7" spans="2:107" ht="15" customHeight="1">
      <c r="B7" s="33"/>
      <c r="C7" s="1296"/>
      <c r="D7" s="1297"/>
      <c r="E7" s="1297"/>
      <c r="F7" s="1297"/>
      <c r="G7" s="1297"/>
      <c r="H7" s="1297"/>
      <c r="I7" s="1297"/>
      <c r="J7" s="1297"/>
      <c r="K7" s="1297"/>
      <c r="L7" s="1297"/>
      <c r="M7" s="1297"/>
      <c r="N7" s="1297"/>
      <c r="O7" s="1297"/>
      <c r="P7" s="1297"/>
      <c r="Q7" s="1297"/>
      <c r="R7" s="1297"/>
      <c r="S7" s="1297"/>
      <c r="T7" s="1297"/>
      <c r="U7" s="1297"/>
      <c r="V7" s="1297"/>
      <c r="W7" s="1297"/>
      <c r="X7" s="1297"/>
      <c r="Y7" s="1297"/>
      <c r="Z7" s="1297"/>
      <c r="AA7" s="1297"/>
      <c r="AB7" s="1298"/>
      <c r="AC7" s="31"/>
      <c r="DC7" s="307"/>
    </row>
    <row r="8" spans="2:107" ht="15" customHeight="1">
      <c r="B8" s="33"/>
      <c r="C8" s="1296"/>
      <c r="D8" s="1297"/>
      <c r="E8" s="1297"/>
      <c r="F8" s="1297"/>
      <c r="G8" s="1297"/>
      <c r="H8" s="1297"/>
      <c r="I8" s="1297"/>
      <c r="J8" s="1297"/>
      <c r="K8" s="1297"/>
      <c r="L8" s="1297"/>
      <c r="M8" s="1297"/>
      <c r="N8" s="1297"/>
      <c r="O8" s="1297"/>
      <c r="P8" s="1297"/>
      <c r="Q8" s="1297"/>
      <c r="R8" s="1297"/>
      <c r="S8" s="1297"/>
      <c r="T8" s="1297"/>
      <c r="U8" s="1297"/>
      <c r="V8" s="1297"/>
      <c r="W8" s="1297"/>
      <c r="X8" s="1297"/>
      <c r="Y8" s="1297"/>
      <c r="Z8" s="1297"/>
      <c r="AA8" s="1297"/>
      <c r="AB8" s="1298"/>
      <c r="AC8" s="31"/>
      <c r="DC8" s="307"/>
    </row>
    <row r="9" spans="2:107" ht="15" customHeight="1" thickBot="1">
      <c r="B9" s="33"/>
      <c r="C9" s="1299"/>
      <c r="D9" s="1300"/>
      <c r="E9" s="1300"/>
      <c r="F9" s="1300"/>
      <c r="G9" s="1300"/>
      <c r="H9" s="1300"/>
      <c r="I9" s="1300"/>
      <c r="J9" s="1300"/>
      <c r="K9" s="1300"/>
      <c r="L9" s="1300"/>
      <c r="M9" s="1300"/>
      <c r="N9" s="1300"/>
      <c r="O9" s="1300"/>
      <c r="P9" s="1300"/>
      <c r="Q9" s="1300"/>
      <c r="R9" s="1300"/>
      <c r="S9" s="1300"/>
      <c r="T9" s="1300"/>
      <c r="U9" s="1300"/>
      <c r="V9" s="1300"/>
      <c r="W9" s="1300"/>
      <c r="X9" s="1300"/>
      <c r="Y9" s="1300"/>
      <c r="Z9" s="1300"/>
      <c r="AA9" s="1300"/>
      <c r="AB9" s="1301"/>
      <c r="AC9" s="31"/>
      <c r="DC9" s="307"/>
    </row>
    <row r="10" spans="2:107">
      <c r="B10" s="33"/>
      <c r="C10" s="29"/>
      <c r="D10" s="30"/>
      <c r="E10" s="30"/>
      <c r="F10" s="30"/>
      <c r="G10" s="30"/>
      <c r="H10" s="30"/>
      <c r="I10" s="30"/>
      <c r="J10" s="30"/>
      <c r="K10" s="30"/>
      <c r="L10" s="30"/>
      <c r="M10" s="30"/>
      <c r="N10" s="30"/>
      <c r="O10" s="30"/>
      <c r="P10" s="30"/>
      <c r="Q10" s="30"/>
      <c r="R10" s="30"/>
      <c r="S10" s="138"/>
      <c r="T10" s="138"/>
      <c r="U10" s="138"/>
      <c r="V10" s="138"/>
      <c r="W10" s="138"/>
      <c r="X10" s="138"/>
      <c r="Y10" s="138"/>
      <c r="Z10" s="138"/>
      <c r="AA10" s="30"/>
      <c r="AB10" s="31"/>
      <c r="AC10" s="31"/>
      <c r="DC10" s="307"/>
    </row>
    <row r="11" spans="2:107" ht="23.25" customHeight="1">
      <c r="B11" s="33"/>
      <c r="C11" s="1312" t="s">
        <v>93</v>
      </c>
      <c r="D11" s="1310" t="s">
        <v>94</v>
      </c>
      <c r="E11" s="1310" t="s">
        <v>95</v>
      </c>
      <c r="F11" s="1310" t="s">
        <v>96</v>
      </c>
      <c r="G11" s="1310" t="s">
        <v>97</v>
      </c>
      <c r="H11" s="1310" t="s">
        <v>98</v>
      </c>
      <c r="I11" s="293"/>
      <c r="J11" s="1313" t="s">
        <v>99</v>
      </c>
      <c r="K11" s="1314"/>
      <c r="L11" s="1314"/>
      <c r="M11" s="1314"/>
      <c r="N11" s="1314"/>
      <c r="O11" s="1314"/>
      <c r="P11" s="1314"/>
      <c r="Q11" s="1314"/>
      <c r="R11" s="124"/>
      <c r="S11" s="1306" t="s">
        <v>100</v>
      </c>
      <c r="T11" s="1306" t="s">
        <v>101</v>
      </c>
      <c r="U11" s="1306" t="s">
        <v>102</v>
      </c>
      <c r="V11" s="1306" t="s">
        <v>103</v>
      </c>
      <c r="W11" s="1306" t="s">
        <v>104</v>
      </c>
      <c r="X11" s="1306" t="s">
        <v>105</v>
      </c>
      <c r="Y11" s="1307" t="s">
        <v>106</v>
      </c>
      <c r="Z11" s="1306" t="s">
        <v>107</v>
      </c>
      <c r="AA11" s="136"/>
      <c r="AB11" s="31"/>
      <c r="AC11" s="31"/>
      <c r="DC11" s="307"/>
    </row>
    <row r="12" spans="2:107" ht="33.950000000000003" customHeight="1">
      <c r="B12" s="33"/>
      <c r="C12" s="1312"/>
      <c r="D12" s="1311"/>
      <c r="E12" s="1311"/>
      <c r="F12" s="1311"/>
      <c r="G12" s="1311"/>
      <c r="H12" s="1311"/>
      <c r="I12" s="117" t="s">
        <v>108</v>
      </c>
      <c r="J12" s="122" t="s">
        <v>67</v>
      </c>
      <c r="K12" s="122" t="s">
        <v>64</v>
      </c>
      <c r="L12" s="122" t="s">
        <v>33</v>
      </c>
      <c r="M12" s="122" t="s">
        <v>34</v>
      </c>
      <c r="N12" s="122" t="s">
        <v>109</v>
      </c>
      <c r="O12" s="122" t="s">
        <v>30</v>
      </c>
      <c r="P12" s="122" t="s">
        <v>110</v>
      </c>
      <c r="Q12" s="123" t="s">
        <v>66</v>
      </c>
      <c r="R12" s="125" t="s">
        <v>111</v>
      </c>
      <c r="S12" s="1306"/>
      <c r="T12" s="1306"/>
      <c r="U12" s="1306"/>
      <c r="V12" s="1306"/>
      <c r="W12" s="1306"/>
      <c r="X12" s="1306"/>
      <c r="Y12" s="1307"/>
      <c r="Z12" s="1306"/>
      <c r="AA12" s="136"/>
      <c r="AB12" s="31"/>
      <c r="AC12" s="31"/>
      <c r="DC12" s="307"/>
    </row>
    <row r="13" spans="2:107" ht="15.6">
      <c r="B13" s="33"/>
      <c r="C13" s="32">
        <v>1</v>
      </c>
      <c r="D13" s="1" t="s">
        <v>2</v>
      </c>
      <c r="E13" s="132">
        <v>1100</v>
      </c>
      <c r="F13" s="308">
        <v>307708</v>
      </c>
      <c r="G13" s="133">
        <f>F13/31*31</f>
        <v>307708</v>
      </c>
      <c r="H13" s="1">
        <v>1621</v>
      </c>
      <c r="I13" s="1">
        <v>365</v>
      </c>
      <c r="J13" s="309">
        <f>COUNTIFS('BASIC CAUSE INSIDEN'!$N$2:$N$1048576,DASHBOARD!$J$12,'BASIC CAUSE INSIDEN'!$F$2:$F$1048576,DASHBOARD!$D13)</f>
        <v>5</v>
      </c>
      <c r="K13" s="309">
        <f>COUNTIFS('BASIC CAUSE INSIDEN'!$N$2:$N$1048576,DASHBOARD!$K$12,'BASIC CAUSE INSIDEN'!$F$2:$F$1048576,DASHBOARD!$D13)</f>
        <v>6</v>
      </c>
      <c r="L13" s="309">
        <f>COUNTIFS('BASIC CAUSE INSIDEN'!$N$2:$N$1048576,DASHBOARD!$L$12,'BASIC CAUSE INSIDEN'!$F$2:$F$1048576,DASHBOARD!$D13)</f>
        <v>0</v>
      </c>
      <c r="M13" s="309">
        <f>COUNTIFS('BASIC CAUSE INSIDEN'!$N$2:$N$1048576,DASHBOARD!$M$12,'BASIC CAUSE INSIDEN'!$F$2:$F$1048576,DASHBOARD!$D13)</f>
        <v>0</v>
      </c>
      <c r="N13" s="309">
        <f>COUNTIFS('BASIC CAUSE INSIDEN'!$N$2:$N$1048576,DASHBOARD!$N$12,'BASIC CAUSE INSIDEN'!$F$2:$F$1048576,DASHBOARD!$D13)</f>
        <v>0</v>
      </c>
      <c r="O13" s="309">
        <f>COUNTIFS('BASIC CAUSE INSIDEN'!$N$2:$N$1048576,DASHBOARD!$O$12,'BASIC CAUSE INSIDEN'!$F$2:$F$1048576,DASHBOARD!$D13)</f>
        <v>0</v>
      </c>
      <c r="P13" s="309">
        <f>COUNTIFS('BASIC CAUSE INSIDEN'!$N$2:$N$1048576,DASHBOARD!$P$12,'BASIC CAUSE INSIDEN'!$F$2:$F$1048576,DASHBOARD!$D13)</f>
        <v>0</v>
      </c>
      <c r="Q13" s="309">
        <f>COUNTIFS('BASIC CAUSE INSIDEN'!$N$2:$N$1048576,DASHBOARD!$Q$12,'BASIC CAUSE INSIDEN'!$F$2:$F$1048576,DASHBOARD!$D13)</f>
        <v>1</v>
      </c>
      <c r="R13" s="1077">
        <f>SUM(J13:Q13)</f>
        <v>12</v>
      </c>
      <c r="S13" s="134">
        <v>31</v>
      </c>
      <c r="T13" s="571">
        <v>568989631.47056007</v>
      </c>
      <c r="U13" s="140">
        <f>(O13*1000000)/F13</f>
        <v>0</v>
      </c>
      <c r="V13" s="358">
        <f t="array" ref="V13">SUM(K13:P13*1000000)/F13</f>
        <v>19.499005550716912</v>
      </c>
      <c r="W13" s="361">
        <f>(K13*1000000)/F13</f>
        <v>19.499005550716912</v>
      </c>
      <c r="X13" s="131">
        <f>(S13*1000000)/F13</f>
        <v>100.74486201203739</v>
      </c>
      <c r="Y13" s="362">
        <f t="array" ref="Y13">SUM(K13:P13*1000000)/F13</f>
        <v>19.499005550716912</v>
      </c>
      <c r="Z13" s="363">
        <f>T13/F13</f>
        <v>1849.1219970574703</v>
      </c>
      <c r="AA13" s="130"/>
      <c r="AB13" s="31"/>
      <c r="AC13" s="31"/>
      <c r="DC13" s="307"/>
    </row>
    <row r="14" spans="2:107" ht="15.6">
      <c r="B14" s="33"/>
      <c r="C14" s="32">
        <v>2</v>
      </c>
      <c r="D14" s="1" t="s">
        <v>3</v>
      </c>
      <c r="E14" s="132">
        <v>1117</v>
      </c>
      <c r="F14" s="308">
        <v>260112</v>
      </c>
      <c r="G14" s="133">
        <f>F14/28*28</f>
        <v>260112</v>
      </c>
      <c r="H14" s="1">
        <v>1493</v>
      </c>
      <c r="I14" s="1">
        <v>334</v>
      </c>
      <c r="J14" s="309">
        <f>COUNTIFS('BASIC CAUSE INSIDEN'!$N$2:$N$1048576,DASHBOARD!$J$12,'BASIC CAUSE INSIDEN'!$F$2:$F$1048576,DASHBOARD!$D14)</f>
        <v>2</v>
      </c>
      <c r="K14" s="309">
        <f>COUNTIFS('BASIC CAUSE INSIDEN'!$N$2:$N$1048576,DASHBOARD!$K$12,'BASIC CAUSE INSIDEN'!$F$2:$F$1048576,DASHBOARD!$D14)</f>
        <v>2</v>
      </c>
      <c r="L14" s="309">
        <f>COUNTIFS('BASIC CAUSE INSIDEN'!$N$2:$N$1048576,DASHBOARD!$L$12,'BASIC CAUSE INSIDEN'!$F$2:$F$1048576,DASHBOARD!$D14)</f>
        <v>0</v>
      </c>
      <c r="M14" s="309">
        <f>COUNTIFS('BASIC CAUSE INSIDEN'!$N$2:$N$1048576,DASHBOARD!$M$12,'BASIC CAUSE INSIDEN'!$F$2:$F$1048576,DASHBOARD!$D14)</f>
        <v>1</v>
      </c>
      <c r="N14" s="309">
        <f>COUNTIFS('BASIC CAUSE INSIDEN'!$N$2:$N$1048576,DASHBOARD!$N$12,'BASIC CAUSE INSIDEN'!$F$2:$F$1048576,DASHBOARD!$D14)</f>
        <v>0</v>
      </c>
      <c r="O14" s="309">
        <f>COUNTIFS('BASIC CAUSE INSIDEN'!$N$2:$N$1048576,DASHBOARD!$O$12,'BASIC CAUSE INSIDEN'!$F$2:$F$1048576,DASHBOARD!$D14)</f>
        <v>0</v>
      </c>
      <c r="P14" s="309">
        <f>COUNTIFS('BASIC CAUSE INSIDEN'!$N$2:$N$1048576,DASHBOARD!$P$12,'BASIC CAUSE INSIDEN'!$F$2:$F$1048576,DASHBOARD!$D14)</f>
        <v>0</v>
      </c>
      <c r="Q14" s="309">
        <f>COUNTIFS('BASIC CAUSE INSIDEN'!$N$2:$N$1048576,DASHBOARD!$Q$12,'BASIC CAUSE INSIDEN'!$F$2:$F$1048576,DASHBOARD!$D14)</f>
        <v>0</v>
      </c>
      <c r="R14" s="1077">
        <f t="shared" ref="R14:R24" si="0">SUM(J14:Q14)</f>
        <v>5</v>
      </c>
      <c r="S14" s="134">
        <v>28</v>
      </c>
      <c r="T14" s="571">
        <v>981787068.51139998</v>
      </c>
      <c r="U14" s="140">
        <f t="shared" ref="U14:U24" si="1">(O14*1000000)/F14</f>
        <v>0</v>
      </c>
      <c r="V14" s="358">
        <f t="array" ref="V14">SUM(K14:P14*1000000)/F14</f>
        <v>11.533493264439933</v>
      </c>
      <c r="W14" s="361">
        <f>(K14*1000000)/F14</f>
        <v>7.688995509626622</v>
      </c>
      <c r="X14" s="131">
        <f>(S14*1000000)/F14</f>
        <v>107.64593713477271</v>
      </c>
      <c r="Y14" s="362">
        <f t="array" ref="Y14">SUM(K14:P14*1000000)/F14</f>
        <v>11.533493264439933</v>
      </c>
      <c r="Z14" s="363">
        <f t="shared" ref="Z14:Z24" si="2">T14/F14</f>
        <v>3774.4781805968196</v>
      </c>
      <c r="AB14" s="31"/>
      <c r="AC14" s="31"/>
      <c r="DC14" s="307"/>
    </row>
    <row r="15" spans="2:107" ht="15.6">
      <c r="B15" s="33"/>
      <c r="C15" s="32">
        <v>3</v>
      </c>
      <c r="D15" s="1" t="s">
        <v>4</v>
      </c>
      <c r="E15" s="132">
        <v>1513</v>
      </c>
      <c r="F15" s="419">
        <v>247068</v>
      </c>
      <c r="G15" s="133">
        <f>F15/31*31</f>
        <v>247068</v>
      </c>
      <c r="H15" s="1">
        <v>1203</v>
      </c>
      <c r="I15" s="1">
        <v>256</v>
      </c>
      <c r="J15" s="309">
        <f>COUNTIFS('BASIC CAUSE INSIDEN'!$N$2:$N$1048576,DASHBOARD!$J$12,'BASIC CAUSE INSIDEN'!$F$2:$F$1048576,DASHBOARD!$D15)</f>
        <v>2</v>
      </c>
      <c r="K15" s="309">
        <f>COUNTIFS('BASIC CAUSE INSIDEN'!$N$2:$N$1048576,DASHBOARD!$K$12,'BASIC CAUSE INSIDEN'!$F$2:$F$1048576,DASHBOARD!$D15)</f>
        <v>5</v>
      </c>
      <c r="L15" s="309">
        <f>COUNTIFS('BASIC CAUSE INSIDEN'!$N$2:$N$1048576,DASHBOARD!$L$12,'BASIC CAUSE INSIDEN'!$F$2:$F$1048576,DASHBOARD!$D15)</f>
        <v>0</v>
      </c>
      <c r="M15" s="309">
        <f>COUNTIFS('BASIC CAUSE INSIDEN'!$N$2:$N$1048576,DASHBOARD!$M$12,'BASIC CAUSE INSIDEN'!$F$2:$F$1048576,DASHBOARD!$D15)</f>
        <v>0</v>
      </c>
      <c r="N15" s="309">
        <f>COUNTIFS('BASIC CAUSE INSIDEN'!$N$2:$N$1048576,DASHBOARD!$N$12,'BASIC CAUSE INSIDEN'!$F$2:$F$1048576,DASHBOARD!$D15)</f>
        <v>0</v>
      </c>
      <c r="O15" s="309">
        <f>COUNTIFS('BASIC CAUSE INSIDEN'!$N$2:$N$1048576,DASHBOARD!$O$12,'BASIC CAUSE INSIDEN'!$F$2:$F$1048576,DASHBOARD!$D15)</f>
        <v>0</v>
      </c>
      <c r="P15" s="309">
        <f>COUNTIFS('BASIC CAUSE INSIDEN'!$N$2:$N$1048576,DASHBOARD!$P$12,'BASIC CAUSE INSIDEN'!$F$2:$F$1048576,DASHBOARD!$D15)</f>
        <v>0</v>
      </c>
      <c r="Q15" s="309">
        <f>COUNTIFS('BASIC CAUSE INSIDEN'!$N$2:$N$1048576,DASHBOARD!$Q$12,'BASIC CAUSE INSIDEN'!$F$2:$F$1048576,DASHBOARD!$D15)</f>
        <v>0</v>
      </c>
      <c r="R15" s="1077">
        <f t="shared" si="0"/>
        <v>7</v>
      </c>
      <c r="S15" s="134">
        <v>31</v>
      </c>
      <c r="T15" s="571">
        <v>2353611297.9264531</v>
      </c>
      <c r="U15" s="140">
        <f t="shared" si="1"/>
        <v>0</v>
      </c>
      <c r="V15" s="358">
        <f t="array" ref="V15">SUM(K15:P15*1000000)/F15</f>
        <v>20.237343565334239</v>
      </c>
      <c r="W15" s="361">
        <f t="shared" ref="W15:W24" si="3">(K15*1000000)/F15</f>
        <v>20.237343565334239</v>
      </c>
      <c r="X15" s="131">
        <f t="shared" ref="X15:X24" si="4">(S15*1000000)/F15</f>
        <v>125.47153010507229</v>
      </c>
      <c r="Y15" s="362">
        <f t="array" ref="Y15">SUM(K15:P15*1000000)/F15</f>
        <v>20.237343565334239</v>
      </c>
      <c r="Z15" s="363">
        <f t="shared" si="2"/>
        <v>9526.1680910779742</v>
      </c>
      <c r="AB15" s="31"/>
      <c r="AC15" s="31"/>
      <c r="DC15" s="307"/>
    </row>
    <row r="16" spans="2:107" ht="15.6">
      <c r="B16" s="33"/>
      <c r="C16" s="32">
        <v>4</v>
      </c>
      <c r="D16" s="1" t="s">
        <v>5</v>
      </c>
      <c r="E16" s="132">
        <v>1270</v>
      </c>
      <c r="F16" s="419">
        <v>256839</v>
      </c>
      <c r="G16" s="133">
        <f>F16/30*30</f>
        <v>256838.99999999997</v>
      </c>
      <c r="H16" s="309" t="s">
        <v>112</v>
      </c>
      <c r="I16" s="309" t="s">
        <v>113</v>
      </c>
      <c r="J16" s="309">
        <f>COUNTIFS('BASIC CAUSE INSIDEN'!$N$2:$N$1048576,DASHBOARD!$J$12,'BASIC CAUSE INSIDEN'!$F$2:$F$1048576,DASHBOARD!$D16)</f>
        <v>2</v>
      </c>
      <c r="K16" s="309">
        <f>COUNTIFS('BASIC CAUSE INSIDEN'!$N$2:$N$1048576,DASHBOARD!$K$12,'BASIC CAUSE INSIDEN'!$F$2:$F$1048576,DASHBOARD!$D16)</f>
        <v>6</v>
      </c>
      <c r="L16" s="309">
        <f>COUNTIFS('BASIC CAUSE INSIDEN'!$N$2:$N$1048576,DASHBOARD!$L$12,'BASIC CAUSE INSIDEN'!$F$2:$F$1048576,DASHBOARD!$D16)</f>
        <v>0</v>
      </c>
      <c r="M16" s="309">
        <f>COUNTIFS('BASIC CAUSE INSIDEN'!$N$2:$N$1048576,DASHBOARD!$M$12,'BASIC CAUSE INSIDEN'!$F$2:$F$1048576,DASHBOARD!$D16)</f>
        <v>0</v>
      </c>
      <c r="N16" s="309">
        <f>COUNTIFS('BASIC CAUSE INSIDEN'!$N$2:$N$1048576,DASHBOARD!$N$12,'BASIC CAUSE INSIDEN'!$F$2:$F$1048576,DASHBOARD!$D16)</f>
        <v>0</v>
      </c>
      <c r="O16" s="309">
        <f>COUNTIFS('BASIC CAUSE INSIDEN'!$N$2:$N$1048576,DASHBOARD!$O$12,'BASIC CAUSE INSIDEN'!$F$2:$F$1048576,DASHBOARD!$D16)</f>
        <v>0</v>
      </c>
      <c r="P16" s="309">
        <f>COUNTIFS('BASIC CAUSE INSIDEN'!$N$2:$N$1048576,DASHBOARD!$P$12,'BASIC CAUSE INSIDEN'!$F$2:$F$1048576,DASHBOARD!$D16)</f>
        <v>0</v>
      </c>
      <c r="Q16" s="309">
        <f>COUNTIFS('BASIC CAUSE INSIDEN'!$N$2:$N$1048576,DASHBOARD!$Q$12,'BASIC CAUSE INSIDEN'!$F$2:$F$1048576,DASHBOARD!$D16)</f>
        <v>1</v>
      </c>
      <c r="R16" s="1077">
        <f t="shared" si="0"/>
        <v>9</v>
      </c>
      <c r="S16" s="134">
        <v>0</v>
      </c>
      <c r="T16" s="571">
        <v>2403861868.8175521</v>
      </c>
      <c r="U16" s="140">
        <f t="shared" si="1"/>
        <v>0</v>
      </c>
      <c r="V16" s="358">
        <f t="array" ref="V16">SUM(K16:P16*1000000)/F16</f>
        <v>23.36093817527712</v>
      </c>
      <c r="W16" s="361">
        <f t="shared" si="3"/>
        <v>23.36093817527712</v>
      </c>
      <c r="X16" s="131">
        <f t="shared" si="4"/>
        <v>0</v>
      </c>
      <c r="Y16" s="362">
        <f t="array" ref="Y16">SUM(K16:P16*1000000)/F16</f>
        <v>23.36093817527712</v>
      </c>
      <c r="Z16" s="363">
        <f t="shared" si="2"/>
        <v>9359.4114165588253</v>
      </c>
      <c r="AB16" s="31"/>
      <c r="AC16" s="31"/>
      <c r="DC16" s="307"/>
    </row>
    <row r="17" spans="2:107" ht="15.6">
      <c r="B17" s="33"/>
      <c r="C17" s="32">
        <v>5</v>
      </c>
      <c r="D17" s="1" t="s">
        <v>6</v>
      </c>
      <c r="E17" s="132">
        <v>1413</v>
      </c>
      <c r="F17" s="419">
        <v>327786</v>
      </c>
      <c r="G17" s="133">
        <f>F17/31*31</f>
        <v>327786</v>
      </c>
      <c r="H17" s="309" t="s">
        <v>114</v>
      </c>
      <c r="I17" s="309" t="s">
        <v>115</v>
      </c>
      <c r="J17" s="309">
        <f>COUNTIFS('BASIC CAUSE INSIDEN'!$N$2:$N$1048576,DASHBOARD!$J$12,'BASIC CAUSE INSIDEN'!$F$2:$F$1048576,DASHBOARD!$D17)</f>
        <v>5</v>
      </c>
      <c r="K17" s="309">
        <f>COUNTIFS('BASIC CAUSE INSIDEN'!$N$2:$N$1048576,DASHBOARD!$K$12,'BASIC CAUSE INSIDEN'!$F$2:$F$1048576,DASHBOARD!$D17)</f>
        <v>4</v>
      </c>
      <c r="L17" s="309">
        <f>COUNTIFS('BASIC CAUSE INSIDEN'!$N$2:$N$1048576,DASHBOARD!$L$12,'BASIC CAUSE INSIDEN'!$F$2:$F$1048576,DASHBOARD!$D17)</f>
        <v>0</v>
      </c>
      <c r="M17" s="309">
        <f>COUNTIFS('BASIC CAUSE INSIDEN'!$N$2:$N$1048576,DASHBOARD!$M$12,'BASIC CAUSE INSIDEN'!$F$2:$F$1048576,DASHBOARD!$D17)</f>
        <v>0</v>
      </c>
      <c r="N17" s="309">
        <f>COUNTIFS('BASIC CAUSE INSIDEN'!$N$2:$N$1048576,DASHBOARD!$N$12,'BASIC CAUSE INSIDEN'!$F$2:$F$1048576,DASHBOARD!$D17)</f>
        <v>0</v>
      </c>
      <c r="O17" s="309">
        <f>COUNTIFS('BASIC CAUSE INSIDEN'!$N$2:$N$1048576,DASHBOARD!$O$12,'BASIC CAUSE INSIDEN'!$F$2:$F$1048576,DASHBOARD!$D17)</f>
        <v>0</v>
      </c>
      <c r="P17" s="309">
        <f>COUNTIFS('BASIC CAUSE INSIDEN'!$N$2:$N$1048576,DASHBOARD!$P$12,'BASIC CAUSE INSIDEN'!$F$2:$F$1048576,DASHBOARD!$D17)</f>
        <v>0</v>
      </c>
      <c r="Q17" s="309">
        <f>COUNTIFS('BASIC CAUSE INSIDEN'!$N$2:$N$1048576,DASHBOARD!$Q$12,'BASIC CAUSE INSIDEN'!$F$2:$F$1048576,DASHBOARD!$D17)</f>
        <v>1</v>
      </c>
      <c r="R17" s="1077">
        <f t="shared" si="0"/>
        <v>10</v>
      </c>
      <c r="S17" s="134">
        <v>0</v>
      </c>
      <c r="T17" s="571">
        <v>556196516.2076</v>
      </c>
      <c r="U17" s="140">
        <f t="shared" si="1"/>
        <v>0</v>
      </c>
      <c r="V17" s="358">
        <f t="array" ref="V17">SUM(K17:P17*1000000)/F17</f>
        <v>12.203083719255856</v>
      </c>
      <c r="W17" s="361">
        <f t="shared" si="3"/>
        <v>12.203083719255856</v>
      </c>
      <c r="X17" s="131">
        <f t="shared" si="4"/>
        <v>0</v>
      </c>
      <c r="Y17" s="362">
        <f t="array" ref="Y17">SUM(K17:P17*1000000)/F17</f>
        <v>12.203083719255856</v>
      </c>
      <c r="Z17" s="363">
        <f t="shared" si="2"/>
        <v>1696.8281629099474</v>
      </c>
      <c r="AB17" s="31"/>
      <c r="AC17" s="31"/>
      <c r="DC17" s="307"/>
    </row>
    <row r="18" spans="2:107" ht="15.6">
      <c r="B18" s="33"/>
      <c r="C18" s="32">
        <v>6</v>
      </c>
      <c r="D18" s="1" t="s">
        <v>116</v>
      </c>
      <c r="E18" s="132">
        <v>1513</v>
      </c>
      <c r="F18" s="419">
        <v>381712.5</v>
      </c>
      <c r="G18" s="133">
        <f>F18/30*30</f>
        <v>381712.5</v>
      </c>
      <c r="H18" s="309" t="s">
        <v>117</v>
      </c>
      <c r="I18" s="309" t="s">
        <v>118</v>
      </c>
      <c r="J18" s="309">
        <f>COUNTIFS('BASIC CAUSE INSIDEN'!$N$2:$N$1048576,DASHBOARD!$J$12,'BASIC CAUSE INSIDEN'!$F$2:$F$1048576,DASHBOARD!$D18)</f>
        <v>2</v>
      </c>
      <c r="K18" s="309">
        <f>COUNTIFS('BASIC CAUSE INSIDEN'!$N$2:$N$1048576,DASHBOARD!$K$12,'BASIC CAUSE INSIDEN'!$F$2:$F$1048576,DASHBOARD!$D18)</f>
        <v>5</v>
      </c>
      <c r="L18" s="309">
        <f>COUNTIFS('BASIC CAUSE INSIDEN'!$N$2:$N$1048576,DASHBOARD!$L$12,'BASIC CAUSE INSIDEN'!$F$2:$F$1048576,DASHBOARD!$D18)</f>
        <v>0</v>
      </c>
      <c r="M18" s="309">
        <f>COUNTIFS('BASIC CAUSE INSIDEN'!$N$2:$N$1048576,DASHBOARD!$M$12,'BASIC CAUSE INSIDEN'!$F$2:$F$1048576,DASHBOARD!$D18)</f>
        <v>0</v>
      </c>
      <c r="N18" s="309">
        <f>COUNTIFS('BASIC CAUSE INSIDEN'!$N$2:$N$1048576,DASHBOARD!$N$12,'BASIC CAUSE INSIDEN'!$F$2:$F$1048576,DASHBOARD!$D18)</f>
        <v>0</v>
      </c>
      <c r="O18" s="309">
        <f>COUNTIFS('BASIC CAUSE INSIDEN'!$N$2:$N$1048576,DASHBOARD!$O$12,'BASIC CAUSE INSIDEN'!$F$2:$F$1048576,DASHBOARD!$D18)</f>
        <v>0</v>
      </c>
      <c r="P18" s="309">
        <f>COUNTIFS('BASIC CAUSE INSIDEN'!$N$2:$N$1048576,DASHBOARD!$P$12,'BASIC CAUSE INSIDEN'!$F$2:$F$1048576,DASHBOARD!$D18)</f>
        <v>0</v>
      </c>
      <c r="Q18" s="309">
        <f>COUNTIFS('BASIC CAUSE INSIDEN'!$N$2:$N$1048576,DASHBOARD!$Q$12,'BASIC CAUSE INSIDEN'!$F$2:$F$1048576,DASHBOARD!$D18)</f>
        <v>1</v>
      </c>
      <c r="R18" s="1077">
        <f t="shared" si="0"/>
        <v>8</v>
      </c>
      <c r="S18" s="134">
        <v>0</v>
      </c>
      <c r="T18" s="571">
        <v>49019660</v>
      </c>
      <c r="U18" s="140">
        <f t="shared" si="1"/>
        <v>0</v>
      </c>
      <c r="V18" s="358">
        <f t="array" ref="V18">SUM(K18:P18*1000000)/F18</f>
        <v>13.098863673576318</v>
      </c>
      <c r="W18" s="361">
        <f t="shared" si="3"/>
        <v>13.098863673576318</v>
      </c>
      <c r="X18" s="131">
        <f t="shared" si="4"/>
        <v>0</v>
      </c>
      <c r="Y18" s="362">
        <f t="array" ref="Y18">SUM(K18:P18*1000000)/F18</f>
        <v>13.098863673576318</v>
      </c>
      <c r="Z18" s="363">
        <f t="shared" si="2"/>
        <v>128.42036873301242</v>
      </c>
      <c r="AB18" s="31"/>
      <c r="AC18" s="31"/>
      <c r="DC18" s="307"/>
    </row>
    <row r="19" spans="2:107" ht="15.6">
      <c r="B19" s="33"/>
      <c r="C19" s="32">
        <v>7</v>
      </c>
      <c r="D19" s="1" t="s">
        <v>8</v>
      </c>
      <c r="E19" s="608">
        <v>1721</v>
      </c>
      <c r="F19" s="310">
        <v>418169</v>
      </c>
      <c r="G19" s="133">
        <f>F19/31*31</f>
        <v>418169</v>
      </c>
      <c r="H19" s="309" t="s">
        <v>119</v>
      </c>
      <c r="I19" s="309" t="s">
        <v>120</v>
      </c>
      <c r="J19" s="309">
        <f>COUNTIFS('BASIC CAUSE INSIDEN'!$N$2:$N$1048576,DASHBOARD!$J$12,'BASIC CAUSE INSIDEN'!$F$2:$F$1048576,DASHBOARD!$D19)</f>
        <v>1</v>
      </c>
      <c r="K19" s="309">
        <f>COUNTIFS('BASIC CAUSE INSIDEN'!$N$2:$N$1048576,DASHBOARD!$K$12,'BASIC CAUSE INSIDEN'!$F$2:$F$1048576,DASHBOARD!$D19)</f>
        <v>3</v>
      </c>
      <c r="L19" s="309">
        <f>COUNTIFS('BASIC CAUSE INSIDEN'!$N$2:$N$1048576,DASHBOARD!$L$12,'BASIC CAUSE INSIDEN'!$F$2:$F$1048576,DASHBOARD!$D19)</f>
        <v>0</v>
      </c>
      <c r="M19" s="309">
        <f>COUNTIFS('BASIC CAUSE INSIDEN'!$N$2:$N$1048576,DASHBOARD!$M$12,'BASIC CAUSE INSIDEN'!$F$2:$F$1048576,DASHBOARD!$D19)</f>
        <v>2</v>
      </c>
      <c r="N19" s="309">
        <f>COUNTIFS('BASIC CAUSE INSIDEN'!$N$2:$N$1048576,DASHBOARD!$N$12,'BASIC CAUSE INSIDEN'!$F$2:$F$1048576,DASHBOARD!$D19)</f>
        <v>0</v>
      </c>
      <c r="O19" s="309">
        <f>COUNTIFS('BASIC CAUSE INSIDEN'!$N$2:$N$1048576,DASHBOARD!$O$12,'BASIC CAUSE INSIDEN'!$F$2:$F$1048576,DASHBOARD!$D19)</f>
        <v>0</v>
      </c>
      <c r="P19" s="309">
        <f>COUNTIFS('BASIC CAUSE INSIDEN'!$N$2:$N$1048576,DASHBOARD!$P$12,'BASIC CAUSE INSIDEN'!$F$2:$F$1048576,DASHBOARD!$D19)</f>
        <v>0</v>
      </c>
      <c r="Q19" s="309">
        <f>COUNTIFS('BASIC CAUSE INSIDEN'!$N$2:$N$1048576,DASHBOARD!$Q$12,'BASIC CAUSE INSIDEN'!$F$2:$F$1048576,DASHBOARD!$D19)</f>
        <v>1</v>
      </c>
      <c r="R19" s="1077">
        <f t="shared" si="0"/>
        <v>7</v>
      </c>
      <c r="S19" s="134">
        <v>0</v>
      </c>
      <c r="T19" s="571">
        <v>1884392334</v>
      </c>
      <c r="U19" s="140">
        <f t="shared" si="1"/>
        <v>0</v>
      </c>
      <c r="V19" s="358">
        <f t="array" ref="V19">SUM(K19:P19*1000000)/F19</f>
        <v>11.956888243748342</v>
      </c>
      <c r="W19" s="361">
        <f t="shared" si="3"/>
        <v>7.1741329462490047</v>
      </c>
      <c r="X19" s="131">
        <f t="shared" si="4"/>
        <v>0</v>
      </c>
      <c r="Y19" s="362">
        <f t="array" ref="Y19">SUM(K19:P19*1000000)/F19</f>
        <v>11.956888243748342</v>
      </c>
      <c r="Z19" s="363">
        <f t="shared" si="2"/>
        <v>4506.293709002819</v>
      </c>
      <c r="AB19" s="31"/>
      <c r="AC19" s="31"/>
      <c r="DC19" s="307"/>
    </row>
    <row r="20" spans="2:107" ht="15.6">
      <c r="B20" s="33"/>
      <c r="C20" s="32">
        <v>8</v>
      </c>
      <c r="D20" s="1" t="s">
        <v>121</v>
      </c>
      <c r="E20" s="608">
        <v>1809</v>
      </c>
      <c r="F20" s="310">
        <v>421621.5</v>
      </c>
      <c r="G20" s="133">
        <f>F20/31*31</f>
        <v>421621.5</v>
      </c>
      <c r="H20" s="310"/>
      <c r="I20" s="310"/>
      <c r="J20" s="309">
        <f>COUNTIFS('BASIC CAUSE INSIDEN'!$N$2:$N$1048576,DASHBOARD!$J$12,'BASIC CAUSE INSIDEN'!$F$2:$F$1048576,DASHBOARD!$D20)</f>
        <v>5</v>
      </c>
      <c r="K20" s="309">
        <f>COUNTIFS('BASIC CAUSE INSIDEN'!$N$2:$N$1048576,DASHBOARD!$K$12,'BASIC CAUSE INSIDEN'!$F$2:$F$1048576,DASHBOARD!$D20)</f>
        <v>3</v>
      </c>
      <c r="L20" s="309">
        <f>COUNTIFS('BASIC CAUSE INSIDEN'!$N$2:$N$1048576,DASHBOARD!$L$12,'BASIC CAUSE INSIDEN'!$F$2:$F$1048576,DASHBOARD!$D20)</f>
        <v>0</v>
      </c>
      <c r="M20" s="309">
        <f>COUNTIFS('BASIC CAUSE INSIDEN'!$N$2:$N$1048576,DASHBOARD!$M$12,'BASIC CAUSE INSIDEN'!$F$2:$F$1048576,DASHBOARD!$D20)</f>
        <v>0</v>
      </c>
      <c r="N20" s="309">
        <f>COUNTIFS('BASIC CAUSE INSIDEN'!$N$2:$N$1048576,DASHBOARD!$N$12,'BASIC CAUSE INSIDEN'!$F$2:$F$1048576,DASHBOARD!$D20)</f>
        <v>0</v>
      </c>
      <c r="O20" s="309">
        <f>COUNTIFS('BASIC CAUSE INSIDEN'!$N$2:$N$1048576,DASHBOARD!$O$12,'BASIC CAUSE INSIDEN'!$F$2:$F$1048576,DASHBOARD!$D20)</f>
        <v>0</v>
      </c>
      <c r="P20" s="309">
        <f>COUNTIFS('BASIC CAUSE INSIDEN'!$N$2:$N$1048576,DASHBOARD!$P$12,'BASIC CAUSE INSIDEN'!$F$2:$F$1048576,DASHBOARD!$D20)</f>
        <v>0</v>
      </c>
      <c r="Q20" s="309">
        <f>COUNTIFS('BASIC CAUSE INSIDEN'!$N$2:$N$1048576,DASHBOARD!$Q$12,'BASIC CAUSE INSIDEN'!$F$2:$F$1048576,DASHBOARD!$D20)</f>
        <v>1</v>
      </c>
      <c r="R20" s="1077">
        <f t="shared" si="0"/>
        <v>9</v>
      </c>
      <c r="S20" s="134">
        <v>0</v>
      </c>
      <c r="T20" s="571">
        <v>1193000000</v>
      </c>
      <c r="U20" s="140">
        <f t="shared" si="1"/>
        <v>0</v>
      </c>
      <c r="V20" s="358">
        <f t="array" ref="V20">SUM(K20:P20*1000000)/F20</f>
        <v>7.1153866679000002</v>
      </c>
      <c r="W20" s="361">
        <f t="shared" si="3"/>
        <v>7.1153866679000002</v>
      </c>
      <c r="X20" s="131">
        <f t="shared" si="4"/>
        <v>0</v>
      </c>
      <c r="Y20" s="362">
        <f t="array" ref="Y20">SUM(K20:P20*1000000)/F20</f>
        <v>7.1153866679000002</v>
      </c>
      <c r="Z20" s="363">
        <f t="shared" si="2"/>
        <v>2829.5520982682333</v>
      </c>
      <c r="AB20" s="31"/>
      <c r="AC20" s="31"/>
      <c r="DC20" s="307"/>
    </row>
    <row r="21" spans="2:107" ht="15.6">
      <c r="B21" s="33"/>
      <c r="C21" s="32">
        <v>9</v>
      </c>
      <c r="D21" s="1" t="s">
        <v>10</v>
      </c>
      <c r="E21" s="608">
        <v>1810</v>
      </c>
      <c r="F21" s="310">
        <v>426966.5</v>
      </c>
      <c r="G21" s="133">
        <f>F21/30*30</f>
        <v>426966.5</v>
      </c>
      <c r="H21" s="310"/>
      <c r="I21" s="310"/>
      <c r="J21" s="309">
        <f>COUNTIFS('BASIC CAUSE INSIDEN'!$N$2:$N$1048576,DASHBOARD!$J$12,'BASIC CAUSE INSIDEN'!$F$2:$F$1048576,DASHBOARD!$D21)</f>
        <v>1</v>
      </c>
      <c r="K21" s="309">
        <f>COUNTIFS('BASIC CAUSE INSIDEN'!$N$2:$N$1048576,DASHBOARD!$K$12,'BASIC CAUSE INSIDEN'!$F$2:$F$1048576,DASHBOARD!$D21)</f>
        <v>2</v>
      </c>
      <c r="L21" s="309">
        <f>COUNTIFS('BASIC CAUSE INSIDEN'!$N$2:$N$1048576,DASHBOARD!$L$12,'BASIC CAUSE INSIDEN'!$F$2:$F$1048576,DASHBOARD!$D21)</f>
        <v>0</v>
      </c>
      <c r="M21" s="309">
        <f>COUNTIFS('BASIC CAUSE INSIDEN'!$N$2:$N$1048576,DASHBOARD!$M$12,'BASIC CAUSE INSIDEN'!$F$2:$F$1048576,DASHBOARD!$D21)</f>
        <v>0</v>
      </c>
      <c r="N21" s="309">
        <f>COUNTIFS('BASIC CAUSE INSIDEN'!$N$2:$N$1048576,DASHBOARD!$N$12,'BASIC CAUSE INSIDEN'!$F$2:$F$1048576,DASHBOARD!$D21)</f>
        <v>0</v>
      </c>
      <c r="O21" s="309">
        <f>COUNTIFS('BASIC CAUSE INSIDEN'!$N$2:$N$1048576,DASHBOARD!$O$12,'BASIC CAUSE INSIDEN'!$F$2:$F$1048576,DASHBOARD!$D21)</f>
        <v>0</v>
      </c>
      <c r="P21" s="309">
        <f>COUNTIFS('BASIC CAUSE INSIDEN'!$N$2:$N$1048576,DASHBOARD!$P$12,'BASIC CAUSE INSIDEN'!$F$2:$F$1048576,DASHBOARD!$D21)</f>
        <v>0</v>
      </c>
      <c r="Q21" s="309">
        <f>COUNTIFS('BASIC CAUSE INSIDEN'!$N$2:$N$1048576,DASHBOARD!$Q$12,'BASIC CAUSE INSIDEN'!$F$2:$F$1048576,DASHBOARD!$D21)</f>
        <v>0</v>
      </c>
      <c r="R21" s="309">
        <f t="shared" si="0"/>
        <v>3</v>
      </c>
      <c r="S21" s="134">
        <v>0</v>
      </c>
      <c r="T21" s="571">
        <v>26250000</v>
      </c>
      <c r="U21" s="140">
        <f t="shared" si="1"/>
        <v>0</v>
      </c>
      <c r="V21" s="358">
        <f t="array" ref="V21">SUM(K21:P21*1000000)/F21</f>
        <v>4.6842082458459853</v>
      </c>
      <c r="W21" s="361">
        <f t="shared" si="3"/>
        <v>4.6842082458459853</v>
      </c>
      <c r="X21" s="131">
        <f t="shared" si="4"/>
        <v>0</v>
      </c>
      <c r="Y21" s="362">
        <f t="array" ref="Y21">SUM(K21:P21*1000000)/F21</f>
        <v>4.6842082458459853</v>
      </c>
      <c r="Z21" s="363">
        <f t="shared" si="2"/>
        <v>61.480233226728558</v>
      </c>
      <c r="AB21" s="31"/>
      <c r="AC21" s="31"/>
      <c r="DC21" s="307"/>
    </row>
    <row r="22" spans="2:107" ht="15.6">
      <c r="B22" s="33"/>
      <c r="C22" s="32">
        <v>10</v>
      </c>
      <c r="D22" s="1" t="s">
        <v>122</v>
      </c>
      <c r="E22" s="608">
        <v>1810</v>
      </c>
      <c r="F22" s="310">
        <v>426966.5</v>
      </c>
      <c r="G22" s="133">
        <f>F22/31*31</f>
        <v>426966.5</v>
      </c>
      <c r="H22" s="310"/>
      <c r="I22" s="310"/>
      <c r="J22" s="309">
        <f>COUNTIFS('BASIC CAUSE INSIDEN'!$N$2:$N$1048576,DASHBOARD!$J$12,'BASIC CAUSE INSIDEN'!$F$2:$F$1048576,DASHBOARD!$D22)</f>
        <v>1</v>
      </c>
      <c r="K22" s="309">
        <f>COUNTIFS('BASIC CAUSE INSIDEN'!$N$2:$N$1048576,DASHBOARD!$K$12,'BASIC CAUSE INSIDEN'!$F$2:$F$1048576,DASHBOARD!$D22)</f>
        <v>2</v>
      </c>
      <c r="L22" s="309">
        <f>COUNTIFS('BASIC CAUSE INSIDEN'!$N$2:$N$1048576,DASHBOARD!$L$12,'BASIC CAUSE INSIDEN'!$F$2:$F$1048576,DASHBOARD!$D22)</f>
        <v>0</v>
      </c>
      <c r="M22" s="309">
        <f>COUNTIFS('BASIC CAUSE INSIDEN'!$N$2:$N$1048576,DASHBOARD!$M$12,'BASIC CAUSE INSIDEN'!$F$2:$F$1048576,DASHBOARD!$D22)</f>
        <v>0</v>
      </c>
      <c r="N22" s="309">
        <f>COUNTIFS('BASIC CAUSE INSIDEN'!$N$2:$N$1048576,DASHBOARD!$N$12,'BASIC CAUSE INSIDEN'!$F$2:$F$1048576,DASHBOARD!$D22)</f>
        <v>0</v>
      </c>
      <c r="O22" s="309">
        <f>COUNTIFS('BASIC CAUSE INSIDEN'!$N$2:$N$1048576,DASHBOARD!$O$12,'BASIC CAUSE INSIDEN'!$F$2:$F$1048576,DASHBOARD!$D22)</f>
        <v>0</v>
      </c>
      <c r="P22" s="309">
        <f>COUNTIFS('BASIC CAUSE INSIDEN'!$N$2:$N$1048576,DASHBOARD!$P$12,'BASIC CAUSE INSIDEN'!$F$2:$F$1048576,DASHBOARD!$D22)</f>
        <v>0</v>
      </c>
      <c r="Q22" s="309">
        <f>COUNTIFS('BASIC CAUSE INSIDEN'!$N$2:$N$1048576,DASHBOARD!$Q$12,'BASIC CAUSE INSIDEN'!$F$2:$F$1048576,DASHBOARD!$D22)</f>
        <v>1</v>
      </c>
      <c r="R22" s="309">
        <f t="shared" si="0"/>
        <v>4</v>
      </c>
      <c r="S22" s="134"/>
      <c r="T22" s="134"/>
      <c r="U22" s="140">
        <f t="shared" si="1"/>
        <v>0</v>
      </c>
      <c r="V22" s="358">
        <f t="array" ref="V22">SUM(K22:P22*1000000)/F22</f>
        <v>4.6842082458459853</v>
      </c>
      <c r="W22" s="361">
        <f t="shared" si="3"/>
        <v>4.6842082458459853</v>
      </c>
      <c r="X22" s="131">
        <f t="shared" si="4"/>
        <v>0</v>
      </c>
      <c r="Y22" s="362">
        <f t="array" ref="Y22">SUM(K22:P22*1000000)/F22</f>
        <v>4.6842082458459853</v>
      </c>
      <c r="Z22" s="363">
        <f t="shared" si="2"/>
        <v>0</v>
      </c>
      <c r="AB22" s="31"/>
      <c r="AC22" s="31"/>
      <c r="DC22" s="307"/>
    </row>
    <row r="23" spans="2:107" ht="15.6">
      <c r="B23" s="33"/>
      <c r="C23" s="32">
        <v>11</v>
      </c>
      <c r="D23" s="1" t="s">
        <v>12</v>
      </c>
      <c r="E23" s="310"/>
      <c r="F23" s="310"/>
      <c r="G23" s="310"/>
      <c r="H23" s="310"/>
      <c r="I23" s="310"/>
      <c r="J23" s="309">
        <f>COUNTIFS('BASIC CAUSE INSIDEN'!$N$2:$N$1048576,DASHBOARD!$J$12,'BASIC CAUSE INSIDEN'!$F$2:$F$1048576,DASHBOARD!$D23)</f>
        <v>0</v>
      </c>
      <c r="K23" s="309">
        <f>COUNTIFS('BASIC CAUSE INSIDEN'!$N$2:$N$1048576,DASHBOARD!$K$12,'BASIC CAUSE INSIDEN'!$F$2:$F$1048576,DASHBOARD!$D23)</f>
        <v>0</v>
      </c>
      <c r="L23" s="309">
        <f>COUNTIFS('BASIC CAUSE INSIDEN'!$N$2:$N$1048576,DASHBOARD!$L$12,'BASIC CAUSE INSIDEN'!$F$2:$F$1048576,DASHBOARD!$D23)</f>
        <v>0</v>
      </c>
      <c r="M23" s="309">
        <f>COUNTIFS('BASIC CAUSE INSIDEN'!$N$2:$N$1048576,DASHBOARD!$M$12,'BASIC CAUSE INSIDEN'!$F$2:$F$1048576,DASHBOARD!$D23)</f>
        <v>0</v>
      </c>
      <c r="N23" s="309">
        <f>COUNTIFS('BASIC CAUSE INSIDEN'!$N$2:$N$1048576,DASHBOARD!$N$12,'BASIC CAUSE INSIDEN'!$F$2:$F$1048576,DASHBOARD!$D23)</f>
        <v>0</v>
      </c>
      <c r="O23" s="309">
        <f>COUNTIFS('BASIC CAUSE INSIDEN'!$N$2:$N$1048576,DASHBOARD!$O$12,'BASIC CAUSE INSIDEN'!$F$2:$F$1048576,DASHBOARD!$D23)</f>
        <v>0</v>
      </c>
      <c r="P23" s="309">
        <f>COUNTIFS('BASIC CAUSE INSIDEN'!$N$2:$N$1048576,DASHBOARD!$P$12,'BASIC CAUSE INSIDEN'!$F$2:$F$1048576,DASHBOARD!$D23)</f>
        <v>0</v>
      </c>
      <c r="Q23" s="309">
        <f>COUNTIFS('BASIC CAUSE INSIDEN'!$N$2:$N$1048576,DASHBOARD!$Q$12,'BASIC CAUSE INSIDEN'!$F$2:$F$1048576,DASHBOARD!$D23)</f>
        <v>0</v>
      </c>
      <c r="R23" s="309">
        <f t="shared" si="0"/>
        <v>0</v>
      </c>
      <c r="S23" s="134"/>
      <c r="T23" s="134"/>
      <c r="U23" s="140" t="e">
        <f t="shared" si="1"/>
        <v>#DIV/0!</v>
      </c>
      <c r="V23" s="358" t="e">
        <f t="array" ref="V23">SUM(K23:P23*1000000)/F23</f>
        <v>#DIV/0!</v>
      </c>
      <c r="W23" s="361" t="e">
        <f t="shared" si="3"/>
        <v>#DIV/0!</v>
      </c>
      <c r="X23" s="131" t="e">
        <f t="shared" si="4"/>
        <v>#DIV/0!</v>
      </c>
      <c r="Y23" s="362" t="e">
        <f t="array" ref="Y23">SUM(K23:P23*1000000)/F23</f>
        <v>#DIV/0!</v>
      </c>
      <c r="Z23" s="363" t="e">
        <f t="shared" si="2"/>
        <v>#DIV/0!</v>
      </c>
      <c r="AB23" s="31"/>
      <c r="AC23" s="31"/>
      <c r="DC23" s="307"/>
    </row>
    <row r="24" spans="2:107" ht="15.6">
      <c r="B24" s="33"/>
      <c r="C24" s="32">
        <v>12</v>
      </c>
      <c r="D24" s="1" t="s">
        <v>13</v>
      </c>
      <c r="E24" s="310"/>
      <c r="F24" s="310"/>
      <c r="G24" s="310"/>
      <c r="H24" s="310"/>
      <c r="I24" s="310"/>
      <c r="J24" s="309">
        <f>COUNTIFS('BASIC CAUSE INSIDEN'!$N$2:$N$1048576,DASHBOARD!$J$12,'BASIC CAUSE INSIDEN'!$F$2:$F$1048576,DASHBOARD!$D24)</f>
        <v>0</v>
      </c>
      <c r="K24" s="309">
        <f>COUNTIFS('BASIC CAUSE INSIDEN'!$N$2:$N$1048576,DASHBOARD!$K$12,'BASIC CAUSE INSIDEN'!$F$2:$F$1048576,DASHBOARD!$D24)</f>
        <v>0</v>
      </c>
      <c r="L24" s="309">
        <f>COUNTIFS('BASIC CAUSE INSIDEN'!$N$2:$N$1048576,DASHBOARD!$L$12,'BASIC CAUSE INSIDEN'!$F$2:$F$1048576,DASHBOARD!$D24)</f>
        <v>0</v>
      </c>
      <c r="M24" s="309">
        <f>COUNTIFS('BASIC CAUSE INSIDEN'!$N$2:$N$1048576,DASHBOARD!$M$12,'BASIC CAUSE INSIDEN'!$F$2:$F$1048576,DASHBOARD!$D24)</f>
        <v>0</v>
      </c>
      <c r="N24" s="309">
        <f>COUNTIFS('BASIC CAUSE INSIDEN'!$N$2:$N$1048576,DASHBOARD!$N$12,'BASIC CAUSE INSIDEN'!$F$2:$F$1048576,DASHBOARD!$D24)</f>
        <v>0</v>
      </c>
      <c r="O24" s="309">
        <f>COUNTIFS('BASIC CAUSE INSIDEN'!$N$2:$N$1048576,DASHBOARD!$O$12,'BASIC CAUSE INSIDEN'!$F$2:$F$1048576,DASHBOARD!$D24)</f>
        <v>0</v>
      </c>
      <c r="P24" s="309">
        <f>COUNTIFS('BASIC CAUSE INSIDEN'!$N$2:$N$1048576,DASHBOARD!$P$12,'BASIC CAUSE INSIDEN'!$F$2:$F$1048576,DASHBOARD!$D24)</f>
        <v>0</v>
      </c>
      <c r="Q24" s="309">
        <f>COUNTIFS('BASIC CAUSE INSIDEN'!$N$2:$N$1048576,DASHBOARD!$Q$12,'BASIC CAUSE INSIDEN'!$F$2:$F$1048576,DASHBOARD!$D24)</f>
        <v>0</v>
      </c>
      <c r="R24" s="309">
        <f t="shared" si="0"/>
        <v>0</v>
      </c>
      <c r="S24" s="134"/>
      <c r="T24" s="134"/>
      <c r="U24" s="140" t="e">
        <f t="shared" si="1"/>
        <v>#DIV/0!</v>
      </c>
      <c r="V24" s="358" t="e">
        <f t="array" ref="V24">SUM(K24:P24*1000000)/F24</f>
        <v>#DIV/0!</v>
      </c>
      <c r="W24" s="361" t="e">
        <f t="shared" si="3"/>
        <v>#DIV/0!</v>
      </c>
      <c r="X24" s="131" t="e">
        <f t="shared" si="4"/>
        <v>#DIV/0!</v>
      </c>
      <c r="Y24" s="362" t="e">
        <f t="array" ref="Y24">SUM(K24:P24*1000000)/F24</f>
        <v>#DIV/0!</v>
      </c>
      <c r="Z24" s="363" t="e">
        <f t="shared" si="2"/>
        <v>#DIV/0!</v>
      </c>
      <c r="AB24" s="31"/>
      <c r="AC24" s="31"/>
      <c r="DC24" s="307"/>
    </row>
    <row r="25" spans="2:107" ht="15.6">
      <c r="B25" s="33"/>
      <c r="C25" s="1308" t="s">
        <v>123</v>
      </c>
      <c r="D25" s="1309"/>
      <c r="E25" s="141">
        <f t="shared" ref="E25:K25" si="5">SUM(E13:E24)</f>
        <v>15076</v>
      </c>
      <c r="F25" s="141">
        <f t="shared" si="5"/>
        <v>3474949</v>
      </c>
      <c r="G25" s="141">
        <f t="shared" si="5"/>
        <v>3474949</v>
      </c>
      <c r="H25" s="141">
        <f t="shared" si="5"/>
        <v>4317</v>
      </c>
      <c r="I25" s="141">
        <f t="shared" si="5"/>
        <v>955</v>
      </c>
      <c r="J25" s="399">
        <f t="shared" si="5"/>
        <v>26</v>
      </c>
      <c r="K25" s="399">
        <f t="shared" si="5"/>
        <v>38</v>
      </c>
      <c r="L25" s="399">
        <f t="shared" ref="L25:Q25" si="6">SUM(L13:L24)</f>
        <v>0</v>
      </c>
      <c r="M25" s="399">
        <f t="shared" si="6"/>
        <v>3</v>
      </c>
      <c r="N25" s="399">
        <f t="shared" si="6"/>
        <v>0</v>
      </c>
      <c r="O25" s="399">
        <f t="shared" si="6"/>
        <v>0</v>
      </c>
      <c r="P25" s="399">
        <f t="shared" si="6"/>
        <v>0</v>
      </c>
      <c r="Q25" s="399">
        <f t="shared" si="6"/>
        <v>7</v>
      </c>
      <c r="R25" s="399">
        <f>SUM(R13:R24)</f>
        <v>74</v>
      </c>
      <c r="S25" s="142">
        <f>SUM(S13:S24)</f>
        <v>90</v>
      </c>
      <c r="T25" s="988">
        <f>SUM(T13:T24)</f>
        <v>10017108376.933565</v>
      </c>
      <c r="U25" s="142">
        <f>(O25*1000000)/F25</f>
        <v>0</v>
      </c>
      <c r="V25" s="360">
        <f t="array" ref="V25">SUM(K25:P25*1000000)/F25</f>
        <v>11.798734312359692</v>
      </c>
      <c r="W25" s="360">
        <f>(K25*1000000)/F25</f>
        <v>10.935412289504105</v>
      </c>
      <c r="X25" s="364">
        <f>(S25*1000000)/F25</f>
        <v>25.899660685667616</v>
      </c>
      <c r="Y25" s="360">
        <f t="array" ref="Y25">SUM(K25:P25*1000000)/F25</f>
        <v>11.798734312359692</v>
      </c>
      <c r="Z25" s="359">
        <f>T25/F25</f>
        <v>2882.6634223793112</v>
      </c>
      <c r="AA25" s="135"/>
      <c r="AB25" s="31"/>
      <c r="AC25" s="31"/>
      <c r="DC25" s="307"/>
    </row>
    <row r="26" spans="2:107">
      <c r="B26" s="33"/>
      <c r="C26" s="33"/>
      <c r="AB26" s="31"/>
      <c r="AC26" s="31"/>
      <c r="DC26" s="307"/>
    </row>
    <row r="27" spans="2:107">
      <c r="B27" s="33"/>
      <c r="C27" s="33"/>
      <c r="AB27" s="31"/>
      <c r="AC27" s="31"/>
      <c r="DC27" s="307"/>
    </row>
    <row r="28" spans="2:107">
      <c r="B28" s="33"/>
      <c r="C28" s="1290" t="s">
        <v>124</v>
      </c>
      <c r="D28" s="1291"/>
      <c r="E28" s="1291"/>
      <c r="F28" s="1291"/>
      <c r="G28" s="1291"/>
      <c r="H28" s="1291"/>
      <c r="I28" s="1291"/>
      <c r="J28" s="1291"/>
      <c r="K28" s="1291"/>
      <c r="L28" s="1291"/>
      <c r="M28" s="1291"/>
      <c r="N28" s="1291"/>
      <c r="O28" s="1291"/>
      <c r="P28" s="1291"/>
      <c r="Q28" s="1291"/>
      <c r="R28" s="1291"/>
      <c r="S28" s="1291"/>
      <c r="T28" s="1291"/>
      <c r="U28" s="1291"/>
      <c r="V28" s="1291"/>
      <c r="W28" s="1291"/>
      <c r="X28" s="1291"/>
      <c r="Y28" s="1291"/>
      <c r="Z28" s="1291"/>
      <c r="AA28" s="1291"/>
      <c r="AB28" s="1292"/>
      <c r="AC28" s="31"/>
      <c r="DC28" s="307"/>
    </row>
    <row r="29" spans="2:107">
      <c r="B29" s="33"/>
      <c r="C29" s="1290"/>
      <c r="D29" s="1291"/>
      <c r="E29" s="1291"/>
      <c r="F29" s="1291"/>
      <c r="G29" s="1291"/>
      <c r="H29" s="1291"/>
      <c r="I29" s="1291"/>
      <c r="J29" s="1291"/>
      <c r="K29" s="1291"/>
      <c r="L29" s="1291"/>
      <c r="M29" s="1291"/>
      <c r="N29" s="1291"/>
      <c r="O29" s="1291"/>
      <c r="P29" s="1291"/>
      <c r="Q29" s="1291"/>
      <c r="R29" s="1291"/>
      <c r="S29" s="1291"/>
      <c r="T29" s="1291"/>
      <c r="U29" s="1291"/>
      <c r="V29" s="1291"/>
      <c r="W29" s="1291"/>
      <c r="X29" s="1291"/>
      <c r="Y29" s="1291"/>
      <c r="Z29" s="1291"/>
      <c r="AA29" s="1291"/>
      <c r="AB29" s="1292"/>
      <c r="AC29" s="31"/>
      <c r="DC29" s="307"/>
    </row>
    <row r="30" spans="2:107">
      <c r="B30" s="33"/>
      <c r="C30" s="33"/>
      <c r="AB30" s="31"/>
      <c r="AC30" s="31"/>
      <c r="DC30" s="307"/>
    </row>
    <row r="31" spans="2:107" ht="14.45" customHeight="1">
      <c r="B31" s="33"/>
      <c r="C31" s="1312" t="s">
        <v>93</v>
      </c>
      <c r="D31" s="116"/>
      <c r="E31" s="1288" t="s">
        <v>125</v>
      </c>
      <c r="F31" s="1288"/>
      <c r="G31" s="1288"/>
      <c r="H31" s="1316" t="s">
        <v>126</v>
      </c>
      <c r="I31" s="1316"/>
      <c r="J31" s="1316"/>
      <c r="K31" s="1316"/>
      <c r="L31" s="1316"/>
      <c r="M31" s="1316"/>
      <c r="N31" s="1316"/>
      <c r="O31" s="1316"/>
      <c r="P31" s="1316"/>
      <c r="Q31" s="1316"/>
      <c r="R31" s="1316"/>
      <c r="S31" s="1316"/>
      <c r="T31" s="1316"/>
      <c r="U31" s="1316"/>
      <c r="V31" s="1315" t="s">
        <v>127</v>
      </c>
      <c r="W31" s="1315"/>
      <c r="X31" s="1315"/>
      <c r="AB31" s="31"/>
      <c r="AC31" s="31"/>
      <c r="DC31" s="307"/>
    </row>
    <row r="32" spans="2:107" ht="72.95" customHeight="1">
      <c r="B32" s="33"/>
      <c r="C32" s="1312"/>
      <c r="D32" s="117" t="s">
        <v>94</v>
      </c>
      <c r="E32" s="122" t="s">
        <v>128</v>
      </c>
      <c r="F32" s="127" t="s">
        <v>129</v>
      </c>
      <c r="G32" s="1129" t="s">
        <v>130</v>
      </c>
      <c r="H32" s="298" t="s">
        <v>131</v>
      </c>
      <c r="I32" s="298" t="s">
        <v>132</v>
      </c>
      <c r="J32" s="298" t="s">
        <v>133</v>
      </c>
      <c r="K32" s="298" t="s">
        <v>134</v>
      </c>
      <c r="L32" s="298" t="s">
        <v>135</v>
      </c>
      <c r="M32" s="298" t="s">
        <v>136</v>
      </c>
      <c r="N32" s="298" t="s">
        <v>137</v>
      </c>
      <c r="O32" s="298" t="s">
        <v>138</v>
      </c>
      <c r="P32" s="298" t="s">
        <v>139</v>
      </c>
      <c r="Q32" s="298" t="s">
        <v>140</v>
      </c>
      <c r="R32" s="295" t="s">
        <v>141</v>
      </c>
      <c r="S32" s="295" t="s">
        <v>142</v>
      </c>
      <c r="T32" s="295" t="s">
        <v>143</v>
      </c>
      <c r="U32" s="301" t="s">
        <v>57</v>
      </c>
      <c r="V32" s="301" t="s">
        <v>58</v>
      </c>
      <c r="W32" s="301" t="s">
        <v>144</v>
      </c>
      <c r="AB32" s="31"/>
      <c r="AC32" s="31"/>
      <c r="DC32" s="307"/>
    </row>
    <row r="33" spans="2:107" ht="15.6">
      <c r="B33" s="33"/>
      <c r="C33" s="32">
        <v>1</v>
      </c>
      <c r="D33" s="1" t="s">
        <v>2</v>
      </c>
      <c r="E33" s="1">
        <f>COUNTA('RINCIAN KECELAKAAN'!N8:N64)</f>
        <v>57</v>
      </c>
      <c r="F33" s="129">
        <f>COUNTIFS('RINCIAN KECELAKAAN'!$S8:$S64,'RINCIAN KECELAKAAN'!$AB$8)</f>
        <v>57</v>
      </c>
      <c r="G33" s="436">
        <f t="shared" ref="G33:G39" si="7">F33/E33</f>
        <v>1</v>
      </c>
      <c r="H33" s="131">
        <f>COUNTIF('RINCIAN KECELAKAAN'!$R8:$R64,DASHBOARD!H32)</f>
        <v>28</v>
      </c>
      <c r="I33" s="131">
        <f>COUNTIF('RINCIAN KECELAKAAN'!$R8:$R64,DASHBOARD!I32)</f>
        <v>2</v>
      </c>
      <c r="J33" s="131">
        <f>COUNTIF('RINCIAN KECELAKAAN'!$R8:$R64,DASHBOARD!J32)</f>
        <v>0</v>
      </c>
      <c r="K33" s="131">
        <f>COUNTIF('RINCIAN KECELAKAAN'!$R8:$R64,DASHBOARD!K32)</f>
        <v>0</v>
      </c>
      <c r="L33" s="131">
        <f>COUNTIF('RINCIAN KECELAKAAN'!$R8:$R64,DASHBOARD!L32)</f>
        <v>0</v>
      </c>
      <c r="M33" s="131">
        <f>COUNTIF('RINCIAN KECELAKAAN'!$R8:$R64,DASHBOARD!M32)</f>
        <v>8</v>
      </c>
      <c r="N33" s="131">
        <f>COUNTIF('RINCIAN KECELAKAAN'!$R8:$R64,DASHBOARD!N32)</f>
        <v>0</v>
      </c>
      <c r="O33" s="131">
        <f>COUNTIF('RINCIAN KECELAKAAN'!$R8:$R64,DASHBOARD!O32)</f>
        <v>9</v>
      </c>
      <c r="P33" s="131">
        <f>COUNTIF('RINCIAN KECELAKAAN'!$R8:$R64,DASHBOARD!P32)</f>
        <v>2</v>
      </c>
      <c r="Q33" s="131">
        <f>COUNTIF('RINCIAN KECELAKAAN'!$R8:$R64,DASHBOARD!Q32)</f>
        <v>4</v>
      </c>
      <c r="R33" s="131">
        <f>COUNTIF('RINCIAN KECELAKAAN'!$R8:$R64,DASHBOARD!R32)</f>
        <v>0</v>
      </c>
      <c r="S33" s="131">
        <f>COUNTIF('RINCIAN KECELAKAAN'!$R8:$R64,DASHBOARD!S32)</f>
        <v>2</v>
      </c>
      <c r="T33" s="131">
        <f>COUNTIF('RINCIAN KECELAKAAN'!$R8:$R64,DASHBOARD!T32)</f>
        <v>2</v>
      </c>
      <c r="U33" s="129">
        <f>COUNTIF('RINCIAN KECELAKAAN'!$T8:$T64,DASHBOARD!U32)</f>
        <v>5</v>
      </c>
      <c r="V33" s="129">
        <f>COUNTIF('RINCIAN KECELAKAAN'!$T8:$T64,DASHBOARD!V32)</f>
        <v>7</v>
      </c>
      <c r="W33" s="128">
        <f t="shared" ref="W33:W42" si="8">SUM(U33:V33)</f>
        <v>12</v>
      </c>
      <c r="AB33" s="31"/>
      <c r="AC33" s="31"/>
      <c r="DC33" s="307"/>
    </row>
    <row r="34" spans="2:107" ht="15.6" customHeight="1">
      <c r="B34" s="33"/>
      <c r="C34" s="32">
        <v>2</v>
      </c>
      <c r="D34" s="1" t="s">
        <v>3</v>
      </c>
      <c r="E34" s="1">
        <f>COUNTA('RINCIAN KECELAKAAN'!S65:S93)</f>
        <v>29</v>
      </c>
      <c r="F34" s="129">
        <f>COUNTIF('RINCIAN KECELAKAAN'!$S$65:$S$93,'RINCIAN KECELAKAAN'!$AB$8)</f>
        <v>29</v>
      </c>
      <c r="G34" s="437">
        <f t="shared" si="7"/>
        <v>1</v>
      </c>
      <c r="H34" s="131">
        <f>COUNTIF('RINCIAN KECELAKAAN'!$R65:$R93,DASHBOARD!H32)</f>
        <v>15</v>
      </c>
      <c r="I34" s="131">
        <f>COUNTIF('RINCIAN KECELAKAAN'!$R65:$R93,DASHBOARD!I32)</f>
        <v>4</v>
      </c>
      <c r="J34" s="131">
        <f>COUNTIF('RINCIAN KECELAKAAN'!$R65:$R93,DASHBOARD!J32)</f>
        <v>0</v>
      </c>
      <c r="K34" s="131">
        <f>COUNTIF('RINCIAN KECELAKAAN'!$R65:$R93,DASHBOARD!K32)</f>
        <v>0</v>
      </c>
      <c r="L34" s="131">
        <f>COUNTIF('RINCIAN KECELAKAAN'!$R65:$R93,DASHBOARD!L32)</f>
        <v>1</v>
      </c>
      <c r="M34" s="131">
        <f>COUNTIF('RINCIAN KECELAKAAN'!$R65:$R93,DASHBOARD!M32)</f>
        <v>1</v>
      </c>
      <c r="N34" s="131">
        <f>COUNTIF('RINCIAN KECELAKAAN'!$R65:$R93,DASHBOARD!N32)</f>
        <v>0</v>
      </c>
      <c r="O34" s="131">
        <f>COUNTIF('RINCIAN KECELAKAAN'!$R65:$R93,DASHBOARD!O32)</f>
        <v>3</v>
      </c>
      <c r="P34" s="131">
        <f>COUNTIF('RINCIAN KECELAKAAN'!$R65:$R93,DASHBOARD!P32)</f>
        <v>0</v>
      </c>
      <c r="Q34" s="131">
        <f>COUNTIF('RINCIAN KECELAKAAN'!$R65:$R93,DASHBOARD!Q32)</f>
        <v>1</v>
      </c>
      <c r="R34" s="131">
        <f>COUNTIF('RINCIAN KECELAKAAN'!$R65:$R93,DASHBOARD!R32)</f>
        <v>0</v>
      </c>
      <c r="S34" s="131">
        <f>COUNTIF('RINCIAN KECELAKAAN'!$R65:$R93,DASHBOARD!S32)</f>
        <v>4</v>
      </c>
      <c r="T34" s="131">
        <f>COUNTIF('RINCIAN KECELAKAAN'!$R65:$R93,DASHBOARD!T32)</f>
        <v>0</v>
      </c>
      <c r="U34" s="129">
        <f>COUNTIF('RINCIAN KECELAKAAN'!$T65:$T93,DASHBOARD!U32)</f>
        <v>4</v>
      </c>
      <c r="V34" s="129">
        <f>COUNTIF('RINCIAN KECELAKAAN'!$T65:$T93,DASHBOARD!V32)</f>
        <v>1</v>
      </c>
      <c r="W34" s="128">
        <f t="shared" si="8"/>
        <v>5</v>
      </c>
      <c r="AB34" s="31"/>
      <c r="AC34" s="31"/>
      <c r="DC34" s="307"/>
    </row>
    <row r="35" spans="2:107" ht="16.5" customHeight="1">
      <c r="B35" s="33"/>
      <c r="C35" s="32">
        <v>3</v>
      </c>
      <c r="D35" s="1" t="s">
        <v>4</v>
      </c>
      <c r="E35" s="1">
        <f>COUNTA('RINCIAN KECELAKAAN'!S94:S133)</f>
        <v>40</v>
      </c>
      <c r="F35" s="129">
        <f>COUNTIF('RINCIAN KECELAKAAN'!$S$94:$S$133,'RINCIAN KECELAKAAN'!$AB$8)</f>
        <v>40</v>
      </c>
      <c r="G35" s="437">
        <f t="shared" si="7"/>
        <v>1</v>
      </c>
      <c r="H35" s="131">
        <f>COUNTIF('RINCIAN KECELAKAAN'!$R94:$R133,DASHBOARD!H32)</f>
        <v>25</v>
      </c>
      <c r="I35" s="131">
        <f>COUNTIF('RINCIAN KECELAKAAN'!$R94:$R133,DASHBOARD!I32)</f>
        <v>0</v>
      </c>
      <c r="J35" s="131">
        <f>COUNTIF('RINCIAN KECELAKAAN'!$R94:$R133,DASHBOARD!J32)</f>
        <v>0</v>
      </c>
      <c r="K35" s="131">
        <f>COUNTIF('RINCIAN KECELAKAAN'!$R94:$R133,DASHBOARD!K32)</f>
        <v>0</v>
      </c>
      <c r="L35" s="131">
        <f>COUNTIF('RINCIAN KECELAKAAN'!$R94:$R133,DASHBOARD!L32)</f>
        <v>0</v>
      </c>
      <c r="M35" s="131">
        <f>COUNTIF('RINCIAN KECELAKAAN'!$R94:$R133,DASHBOARD!M32)</f>
        <v>2</v>
      </c>
      <c r="N35" s="131">
        <f>COUNTIF('RINCIAN KECELAKAAN'!$R94:$R133,DASHBOARD!N32)</f>
        <v>0</v>
      </c>
      <c r="O35" s="131">
        <f>COUNTIF('RINCIAN KECELAKAAN'!$R94:$R133,DASHBOARD!O32)</f>
        <v>0</v>
      </c>
      <c r="P35" s="131">
        <f>COUNTIF('RINCIAN KECELAKAAN'!$R94:$R133,DASHBOARD!P32)</f>
        <v>0</v>
      </c>
      <c r="Q35" s="131">
        <f>COUNTIF('RINCIAN KECELAKAAN'!$R94:$R133,DASHBOARD!Q32)</f>
        <v>3</v>
      </c>
      <c r="R35" s="131">
        <f>COUNTIF('RINCIAN KECELAKAAN'!$R94:$R133,DASHBOARD!R32)</f>
        <v>2</v>
      </c>
      <c r="S35" s="131">
        <f>COUNTIF('RINCIAN KECELAKAAN'!$R94:$R133,DASHBOARD!S32)</f>
        <v>7</v>
      </c>
      <c r="T35" s="131">
        <f>COUNTIF('RINCIAN KECELAKAAN'!$R94:$R133,DASHBOARD!T32)</f>
        <v>1</v>
      </c>
      <c r="U35" s="129">
        <f>COUNTIF('RINCIAN KECELAKAAN'!$T94:$T133,DASHBOARD!U32)</f>
        <v>3</v>
      </c>
      <c r="V35" s="129">
        <f>COUNTIF('RINCIAN KECELAKAAN'!$T94:$T133,DASHBOARD!V32)</f>
        <v>4</v>
      </c>
      <c r="W35" s="128">
        <f t="shared" si="8"/>
        <v>7</v>
      </c>
      <c r="AB35" s="31"/>
      <c r="AC35" s="31"/>
      <c r="DC35" s="307"/>
    </row>
    <row r="36" spans="2:107" ht="16.5" customHeight="1">
      <c r="B36" s="33"/>
      <c r="C36" s="32">
        <v>4</v>
      </c>
      <c r="D36" s="1" t="s">
        <v>5</v>
      </c>
      <c r="E36" s="1">
        <f>COUNTA('RINCIAN KECELAKAAN'!S134:S192)</f>
        <v>59</v>
      </c>
      <c r="F36" s="129">
        <f>COUNTIF('RINCIAN KECELAKAAN'!$S$134:$S$192,'RINCIAN KECELAKAAN'!$AB$8)</f>
        <v>59</v>
      </c>
      <c r="G36" s="437">
        <f t="shared" si="7"/>
        <v>1</v>
      </c>
      <c r="H36" s="131">
        <f>COUNTIF('RINCIAN KECELAKAAN'!$R134:$R192,DASHBOARD!H32)</f>
        <v>28</v>
      </c>
      <c r="I36" s="131">
        <f>COUNTIF('RINCIAN KECELAKAAN'!$R134:$R192,DASHBOARD!I32)</f>
        <v>0</v>
      </c>
      <c r="J36" s="131">
        <f>COUNTIF('RINCIAN KECELAKAAN'!$R134:$R192,DASHBOARD!J32)</f>
        <v>0</v>
      </c>
      <c r="K36" s="131">
        <f>COUNTIF('RINCIAN KECELAKAAN'!$R134:$R192,DASHBOARD!K32)</f>
        <v>0</v>
      </c>
      <c r="L36" s="131">
        <f>COUNTIF('RINCIAN KECELAKAAN'!$R134:$R192,DASHBOARD!L32)</f>
        <v>1</v>
      </c>
      <c r="M36" s="131">
        <f>COUNTIF('RINCIAN KECELAKAAN'!$R134:$R192,DASHBOARD!M32)</f>
        <v>7</v>
      </c>
      <c r="N36" s="131">
        <f>COUNTIF('RINCIAN KECELAKAAN'!$R134:$R192,DASHBOARD!N32)</f>
        <v>0</v>
      </c>
      <c r="O36" s="131">
        <f>COUNTIF('RINCIAN KECELAKAAN'!$R134:$R192,DASHBOARD!O32)</f>
        <v>6</v>
      </c>
      <c r="P36" s="131">
        <f>COUNTIF('RINCIAN KECELAKAAN'!$R134:$R192,DASHBOARD!P32)</f>
        <v>4</v>
      </c>
      <c r="Q36" s="131">
        <f>COUNTIF('RINCIAN KECELAKAAN'!$R134:$R192,DASHBOARD!Q32)</f>
        <v>4</v>
      </c>
      <c r="R36" s="131">
        <f>COUNTIF('RINCIAN KECELAKAAN'!$R134:$R192,DASHBOARD!R32)</f>
        <v>0</v>
      </c>
      <c r="S36" s="131">
        <f>COUNTIF('RINCIAN KECELAKAAN'!$R134:$R192,DASHBOARD!S32)</f>
        <v>7</v>
      </c>
      <c r="T36" s="131">
        <f>COUNTIF('RINCIAN KECELAKAAN'!$R134:$R192,DASHBOARD!T32)</f>
        <v>2</v>
      </c>
      <c r="U36" s="129">
        <f>COUNTIF('RINCIAN KECELAKAAN'!$T134:$T192,DASHBOARD!U32)</f>
        <v>4</v>
      </c>
      <c r="V36" s="129">
        <f>COUNTIF('RINCIAN KECELAKAAN'!$T134:$T192,DASHBOARD!V32)</f>
        <v>5</v>
      </c>
      <c r="W36" s="128">
        <f t="shared" si="8"/>
        <v>9</v>
      </c>
      <c r="AB36" s="31"/>
      <c r="AC36" s="31"/>
      <c r="DC36" s="307"/>
    </row>
    <row r="37" spans="2:107" ht="15.6">
      <c r="B37" s="33"/>
      <c r="C37" s="32">
        <v>5</v>
      </c>
      <c r="D37" s="1" t="s">
        <v>6</v>
      </c>
      <c r="E37" s="1">
        <f>COUNTA('RINCIAN KECELAKAAN'!S193:S270)</f>
        <v>78</v>
      </c>
      <c r="F37" s="129">
        <f>COUNTIF('RINCIAN KECELAKAAN'!$S$193:$S$270,'RINCIAN KECELAKAAN'!$AB$8)</f>
        <v>78</v>
      </c>
      <c r="G37" s="437">
        <f t="shared" si="7"/>
        <v>1</v>
      </c>
      <c r="H37" s="131">
        <f>COUNTIF('RINCIAN KECELAKAAN'!$R193:$R270,DASHBOARD!H32)</f>
        <v>17</v>
      </c>
      <c r="I37" s="131">
        <f>COUNTIF('RINCIAN KECELAKAAN'!$R193:$R270,DASHBOARD!I32)</f>
        <v>22</v>
      </c>
      <c r="J37" s="131">
        <f>COUNTIF('RINCIAN KECELAKAAN'!$R193:$R270,DASHBOARD!J32)</f>
        <v>0</v>
      </c>
      <c r="K37" s="131">
        <f>COUNTIF('RINCIAN KECELAKAAN'!$R193:$R270,DASHBOARD!K32)</f>
        <v>1</v>
      </c>
      <c r="L37" s="131">
        <f>COUNTIF('RINCIAN KECELAKAAN'!$R193:$R270,DASHBOARD!L32)</f>
        <v>0</v>
      </c>
      <c r="M37" s="131">
        <f>COUNTIF('RINCIAN KECELAKAAN'!$R193:$R270,DASHBOARD!M32)</f>
        <v>7</v>
      </c>
      <c r="N37" s="131">
        <f>COUNTIF('RINCIAN KECELAKAAN'!$R193:$R270,DASHBOARD!N32)</f>
        <v>0</v>
      </c>
      <c r="O37" s="131">
        <f>COUNTIF('RINCIAN KECELAKAAN'!$R193:$R270,DASHBOARD!O32)</f>
        <v>23</v>
      </c>
      <c r="P37" s="131">
        <f>COUNTIF('RINCIAN KECELAKAAN'!$R193:$R270,DASHBOARD!P32)</f>
        <v>0</v>
      </c>
      <c r="Q37" s="131">
        <f>COUNTIF('RINCIAN KECELAKAAN'!$R193:$R270,DASHBOARD!Q32)</f>
        <v>3</v>
      </c>
      <c r="R37" s="131">
        <f>COUNTIF('RINCIAN KECELAKAAN'!$R193:$R270,DASHBOARD!R32)</f>
        <v>0</v>
      </c>
      <c r="S37" s="131">
        <f>COUNTIF('RINCIAN KECELAKAAN'!$R193:$R270,DASHBOARD!S32)</f>
        <v>5</v>
      </c>
      <c r="T37" s="131">
        <f>COUNTIF('RINCIAN KECELAKAAN'!$R193:$R270,DASHBOARD!T32)</f>
        <v>0</v>
      </c>
      <c r="U37" s="129">
        <f>COUNTIF('RINCIAN KECELAKAAN'!$T193:$T270,DASHBOARD!U32)</f>
        <v>7</v>
      </c>
      <c r="V37" s="129">
        <f>COUNTIF('RINCIAN KECELAKAAN'!$T193:$T270,DASHBOARD!V32)</f>
        <v>3</v>
      </c>
      <c r="W37" s="128">
        <f t="shared" si="8"/>
        <v>10</v>
      </c>
      <c r="AB37" s="31"/>
      <c r="AC37" s="31"/>
      <c r="DC37" s="307"/>
    </row>
    <row r="38" spans="2:107" ht="15.6">
      <c r="B38" s="33"/>
      <c r="C38" s="32">
        <v>6</v>
      </c>
      <c r="D38" s="1" t="s">
        <v>116</v>
      </c>
      <c r="E38" s="1">
        <f>COUNTA('RINCIAN KECELAKAAN'!S271:S331)</f>
        <v>61</v>
      </c>
      <c r="F38" s="129">
        <f>COUNTIF('RINCIAN KECELAKAAN'!$S$271:$S$331,'RINCIAN KECELAKAAN'!$AB$8)</f>
        <v>61</v>
      </c>
      <c r="G38" s="437">
        <f t="shared" si="7"/>
        <v>1</v>
      </c>
      <c r="H38" s="131">
        <f>COUNTIF('RINCIAN KECELAKAAN'!$R271:$R331,DASHBOARD!H32)</f>
        <v>23</v>
      </c>
      <c r="I38" s="131">
        <f>COUNTIF('RINCIAN KECELAKAAN'!$R271:$R331,DASHBOARD!I32)</f>
        <v>9</v>
      </c>
      <c r="J38" s="131">
        <f>COUNTIF('RINCIAN KECELAKAAN'!$R271:$R331,DASHBOARD!J32)</f>
        <v>0</v>
      </c>
      <c r="K38" s="131">
        <f>COUNTIF('RINCIAN KECELAKAAN'!$R271:$R331,DASHBOARD!K32)</f>
        <v>0</v>
      </c>
      <c r="L38" s="131">
        <f>COUNTIF('RINCIAN KECELAKAAN'!$R271:$R331,DASHBOARD!L32)</f>
        <v>0</v>
      </c>
      <c r="M38" s="131">
        <f>COUNTIF('RINCIAN KECELAKAAN'!$R271:$R331,DASHBOARD!M32)</f>
        <v>1</v>
      </c>
      <c r="N38" s="131">
        <f>COUNTIF('RINCIAN KECELAKAAN'!$R271:$R331,DASHBOARD!N32)</f>
        <v>0</v>
      </c>
      <c r="O38" s="131">
        <f>COUNTIF('RINCIAN KECELAKAAN'!$R271:$R331,DASHBOARD!O32)</f>
        <v>18</v>
      </c>
      <c r="P38" s="131">
        <f>COUNTIF('RINCIAN KECELAKAAN'!$R271:$R331,DASHBOARD!P32)</f>
        <v>0</v>
      </c>
      <c r="Q38" s="131">
        <f>COUNTIF('RINCIAN KECELAKAAN'!$R271:$R331,DASHBOARD!Q32)</f>
        <v>3</v>
      </c>
      <c r="R38" s="131">
        <f>COUNTIF('RINCIAN KECELAKAAN'!$R271:$R331,DASHBOARD!R32)</f>
        <v>0</v>
      </c>
      <c r="S38" s="131">
        <f>COUNTIF('RINCIAN KECELAKAAN'!$R271:$R331,DASHBOARD!S32)</f>
        <v>5</v>
      </c>
      <c r="T38" s="131">
        <f>COUNTIF('RINCIAN KECELAKAAN'!$R271:$R331,DASHBOARD!T32)</f>
        <v>2</v>
      </c>
      <c r="U38" s="129">
        <f>COUNTIF('RINCIAN KECELAKAAN'!$T271:$T331,DASHBOARD!U32)</f>
        <v>3</v>
      </c>
      <c r="V38" s="129">
        <f>COUNTIF('RINCIAN KECELAKAAN'!$T271:$T331,DASHBOARD!V32)</f>
        <v>5</v>
      </c>
      <c r="W38" s="128">
        <f t="shared" si="8"/>
        <v>8</v>
      </c>
      <c r="AB38" s="31"/>
      <c r="AC38" s="31"/>
      <c r="DC38" s="307"/>
    </row>
    <row r="39" spans="2:107" ht="15.6">
      <c r="B39" s="33"/>
      <c r="C39" s="32">
        <v>7</v>
      </c>
      <c r="D39" s="1" t="s">
        <v>8</v>
      </c>
      <c r="E39" s="1">
        <f>COUNTA('RINCIAN KECELAKAAN'!S332:S394)</f>
        <v>63</v>
      </c>
      <c r="F39" s="129">
        <f>COUNTIF('RINCIAN KECELAKAAN'!$S$332:$S$394,'RINCIAN KECELAKAAN'!$AB$8)</f>
        <v>63</v>
      </c>
      <c r="G39" s="437">
        <f t="shared" si="7"/>
        <v>1</v>
      </c>
      <c r="H39" s="131">
        <f>COUNTIF('RINCIAN KECELAKAAN'!$R332:$R394,DASHBOARD!H32)</f>
        <v>25</v>
      </c>
      <c r="I39" s="131">
        <f>COUNTIF('RINCIAN KECELAKAAN'!$R332:$R394,DASHBOARD!I32)</f>
        <v>0</v>
      </c>
      <c r="J39" s="131">
        <f>COUNTIF('RINCIAN KECELAKAAN'!$R332:$R394,DASHBOARD!J32)</f>
        <v>0</v>
      </c>
      <c r="K39" s="131">
        <f>COUNTIF('RINCIAN KECELAKAAN'!$R332:$R394,DASHBOARD!K32)</f>
        <v>0</v>
      </c>
      <c r="L39" s="131">
        <f>COUNTIF('RINCIAN KECELAKAAN'!$R332:$R394,DASHBOARD!L32)</f>
        <v>0</v>
      </c>
      <c r="M39" s="131">
        <f>COUNTIF('RINCIAN KECELAKAAN'!$R332:$R394,DASHBOARD!M32)</f>
        <v>0</v>
      </c>
      <c r="N39" s="131">
        <f>COUNTIF('RINCIAN KECELAKAAN'!$R332:$R394,DASHBOARD!N32)</f>
        <v>0</v>
      </c>
      <c r="O39" s="131">
        <f>COUNTIF('RINCIAN KECELAKAAN'!$R332:$R394,DASHBOARD!O32)</f>
        <v>8</v>
      </c>
      <c r="P39" s="131">
        <f>COUNTIF('RINCIAN KECELAKAAN'!$R332:$R394,DASHBOARD!P32)</f>
        <v>9</v>
      </c>
      <c r="Q39" s="131">
        <f>COUNTIF('RINCIAN KECELAKAAN'!$R332:$R394,DASHBOARD!Q32)</f>
        <v>14</v>
      </c>
      <c r="R39" s="131">
        <f>COUNTIF('RINCIAN KECELAKAAN'!$R332:$R394,DASHBOARD!R32)</f>
        <v>3</v>
      </c>
      <c r="S39" s="131">
        <f>COUNTIF('RINCIAN KECELAKAAN'!$R332:$R394,DASHBOARD!S32)</f>
        <v>3</v>
      </c>
      <c r="T39" s="131">
        <f>COUNTIF('RINCIAN KECELAKAAN'!$R332:$R394,DASHBOARD!T32)</f>
        <v>1</v>
      </c>
      <c r="U39" s="129">
        <f>COUNTIF('RINCIAN KECELAKAAN'!$T332:$T394,DASHBOARD!U32)</f>
        <v>4</v>
      </c>
      <c r="V39" s="129">
        <f>COUNTIF('RINCIAN KECELAKAAN'!$T332:$T394,DASHBOARD!V32)</f>
        <v>3</v>
      </c>
      <c r="W39" s="128">
        <f t="shared" si="8"/>
        <v>7</v>
      </c>
      <c r="AB39" s="31"/>
      <c r="AC39" s="31"/>
      <c r="DC39" s="307"/>
    </row>
    <row r="40" spans="2:107" ht="15.6">
      <c r="B40" s="33"/>
      <c r="C40" s="32">
        <v>8</v>
      </c>
      <c r="D40" s="1" t="s">
        <v>121</v>
      </c>
      <c r="E40" s="1">
        <f>COUNTA('RINCIAN KECELAKAAN'!S395:S427)</f>
        <v>31</v>
      </c>
      <c r="F40" s="129">
        <f>COUNTIF('RINCIAN KECELAKAAN'!$S$395:$S$427,'RINCIAN KECELAKAAN'!$AB$8)</f>
        <v>30</v>
      </c>
      <c r="G40" s="1225">
        <f t="shared" ref="G40" si="9">F40/E40</f>
        <v>0.967741935483871</v>
      </c>
      <c r="H40" s="131">
        <f>COUNTIF('RINCIAN KECELAKAAN'!$R395:$R427,DASHBOARD!H32)</f>
        <v>15</v>
      </c>
      <c r="I40" s="131">
        <f>COUNTIF('RINCIAN KECELAKAAN'!$R395:$R427,DASHBOARD!I32)</f>
        <v>6</v>
      </c>
      <c r="J40" s="131">
        <f>COUNTIF('RINCIAN KECELAKAAN'!$R395:$R427,DASHBOARD!J32)</f>
        <v>0</v>
      </c>
      <c r="K40" s="131">
        <f>COUNTIF('RINCIAN KECELAKAAN'!$R395:$R427,DASHBOARD!K32)</f>
        <v>0</v>
      </c>
      <c r="L40" s="131">
        <f>COUNTIF('RINCIAN KECELAKAAN'!$R395:$R427,DASHBOARD!L32)</f>
        <v>1</v>
      </c>
      <c r="M40" s="131">
        <f>COUNTIF('RINCIAN KECELAKAAN'!$R395:$R427,DASHBOARD!M32)</f>
        <v>1</v>
      </c>
      <c r="N40" s="131">
        <f>COUNTIF('RINCIAN KECELAKAAN'!$R395:$R427,DASHBOARD!N32)</f>
        <v>0</v>
      </c>
      <c r="O40" s="131">
        <f>COUNTIF('RINCIAN KECELAKAAN'!$R395:$R427,DASHBOARD!O32)</f>
        <v>2</v>
      </c>
      <c r="P40" s="131">
        <f>COUNTIF('RINCIAN KECELAKAAN'!$R395:$R427,DASHBOARD!P32)</f>
        <v>3</v>
      </c>
      <c r="Q40" s="131">
        <f>COUNTIF('RINCIAN KECELAKAAN'!$R395:$R427,DASHBOARD!Q32)</f>
        <v>2</v>
      </c>
      <c r="R40" s="131">
        <f>COUNTIF('RINCIAN KECELAKAAN'!$R395:$R427,DASHBOARD!R32)</f>
        <v>1</v>
      </c>
      <c r="S40" s="131">
        <f>COUNTIF('RINCIAN KECELAKAAN'!$R395:$R427,DASHBOARD!S32)</f>
        <v>0</v>
      </c>
      <c r="T40" s="131">
        <f>COUNTIF('RINCIAN KECELAKAAN'!$R395:$R427,DASHBOARD!T32)</f>
        <v>0</v>
      </c>
      <c r="U40" s="129">
        <f>COUNTIF('RINCIAN KECELAKAAN'!$T395:$T427,DASHBOARD!U32)</f>
        <v>2</v>
      </c>
      <c r="V40" s="129">
        <f>COUNTIF('RINCIAN KECELAKAAN'!$T395:$T427,DASHBOARD!V32)</f>
        <v>7</v>
      </c>
      <c r="W40" s="128">
        <f t="shared" si="8"/>
        <v>9</v>
      </c>
      <c r="AB40" s="31"/>
      <c r="AC40" s="31"/>
      <c r="DC40" s="307"/>
    </row>
    <row r="41" spans="2:107" ht="15.6">
      <c r="B41" s="33"/>
      <c r="C41" s="32">
        <v>9</v>
      </c>
      <c r="D41" s="1" t="s">
        <v>10</v>
      </c>
      <c r="E41" s="1">
        <f>COUNTA('RINCIAN KECELAKAAN'!S428:S447)</f>
        <v>19</v>
      </c>
      <c r="F41" s="129">
        <f>COUNTIF('RINCIAN KECELAKAAN'!$S$428:$S$447,'RINCIAN KECELAKAAN'!$AB$8)</f>
        <v>11</v>
      </c>
      <c r="G41" s="1227">
        <f>F41/E41</f>
        <v>0.57894736842105265</v>
      </c>
      <c r="H41" s="131">
        <f>COUNTIF('RINCIAN KECELAKAAN'!$R428:$R447,DASHBOARD!H32)</f>
        <v>7</v>
      </c>
      <c r="I41" s="131">
        <f>COUNTIF('RINCIAN KECELAKAAN'!$R428:$R447,DASHBOARD!I32)</f>
        <v>7</v>
      </c>
      <c r="J41" s="131">
        <f>COUNTIF('RINCIAN KECELAKAAN'!$R428:$R447,DASHBOARD!J32)</f>
        <v>0</v>
      </c>
      <c r="K41" s="131">
        <f>COUNTIF('RINCIAN KECELAKAAN'!$R428:$R447,DASHBOARD!K32)</f>
        <v>0</v>
      </c>
      <c r="L41" s="131">
        <f>COUNTIF('RINCIAN KECELAKAAN'!$R428:$R447,DASHBOARD!L32)</f>
        <v>0</v>
      </c>
      <c r="M41" s="131">
        <f>COUNTIF('RINCIAN KECELAKAAN'!$R428:$R447,DASHBOARD!M32)</f>
        <v>2</v>
      </c>
      <c r="N41" s="131">
        <f>COUNTIF('RINCIAN KECELAKAAN'!$R428:$R447,DASHBOARD!N32)</f>
        <v>0</v>
      </c>
      <c r="O41" s="131">
        <f>COUNTIF('RINCIAN KECELAKAAN'!$R428:$R447,DASHBOARD!O32)</f>
        <v>3</v>
      </c>
      <c r="P41" s="131">
        <f>COUNTIF('RINCIAN KECELAKAAN'!$R428:$R447,DASHBOARD!P32)</f>
        <v>0</v>
      </c>
      <c r="Q41" s="131">
        <f>COUNTIF('RINCIAN KECELAKAAN'!$R428:$R447,DASHBOARD!Q32)</f>
        <v>0</v>
      </c>
      <c r="R41" s="131">
        <f>COUNTIF('RINCIAN KECELAKAAN'!$R428:$R447,DASHBOARD!R32)</f>
        <v>0</v>
      </c>
      <c r="S41" s="131">
        <f>COUNTIF('RINCIAN KECELAKAAN'!$R428:$R447,DASHBOARD!S32)</f>
        <v>0</v>
      </c>
      <c r="T41" s="131">
        <f>COUNTIF('RINCIAN KECELAKAAN'!$R428:$R447,DASHBOARD!T32)</f>
        <v>0</v>
      </c>
      <c r="U41" s="129">
        <f>COUNTIF('RINCIAN KECELAKAAN'!$T428:$T447,DASHBOARD!U32)</f>
        <v>2</v>
      </c>
      <c r="V41" s="129">
        <f>COUNTIF('RINCIAN KECELAKAAN'!$T428:$T447,DASHBOARD!V32)</f>
        <v>1</v>
      </c>
      <c r="W41" s="128">
        <f t="shared" si="8"/>
        <v>3</v>
      </c>
      <c r="AB41" s="31"/>
      <c r="AC41" s="31"/>
      <c r="DC41" s="307"/>
    </row>
    <row r="42" spans="2:107" ht="15.6">
      <c r="B42" s="33"/>
      <c r="C42" s="32">
        <v>10</v>
      </c>
      <c r="D42" s="1" t="s">
        <v>122</v>
      </c>
      <c r="E42" s="1">
        <f>COUNTA('RINCIAN KECELAKAAN'!S448:S456)</f>
        <v>6</v>
      </c>
      <c r="F42" s="129">
        <f>COUNTIF('RINCIAN KECELAKAAN'!$S$448:$S$456,'RINCIAN KECELAKAAN'!$AB$8)</f>
        <v>6</v>
      </c>
      <c r="G42" s="1227">
        <f>F42/E42</f>
        <v>1</v>
      </c>
      <c r="H42" s="131">
        <f>COUNTIF('RINCIAN KECELAKAAN'!$R448:$R456,DASHBOARD!H32)</f>
        <v>0</v>
      </c>
      <c r="I42" s="131">
        <f>COUNTIF('RINCIAN KECELAKAAN'!$R448:$R456,DASHBOARD!I32)</f>
        <v>0</v>
      </c>
      <c r="J42" s="131">
        <f>COUNTIF('RINCIAN KECELAKAAN'!$R448:$R456,DASHBOARD!J32)</f>
        <v>0</v>
      </c>
      <c r="K42" s="131">
        <f>COUNTIF('RINCIAN KECELAKAAN'!$R448:$R456,DASHBOARD!K32)</f>
        <v>0</v>
      </c>
      <c r="L42" s="131">
        <f>COUNTIF('RINCIAN KECELAKAAN'!$R448:$R456,DASHBOARD!L32)</f>
        <v>0</v>
      </c>
      <c r="M42" s="131">
        <f>COUNTIF('RINCIAN KECELAKAAN'!$R448:$R456,DASHBOARD!M32)</f>
        <v>0</v>
      </c>
      <c r="N42" s="131">
        <f>COUNTIF('RINCIAN KECELAKAAN'!$R448:$R456,DASHBOARD!N32)</f>
        <v>0</v>
      </c>
      <c r="O42" s="131">
        <f>COUNTIF('RINCIAN KECELAKAAN'!$R448:$R456,DASHBOARD!O32)</f>
        <v>0</v>
      </c>
      <c r="P42" s="131">
        <f>COUNTIF('RINCIAN KECELAKAAN'!$R448:$R456,DASHBOARD!P32)</f>
        <v>0</v>
      </c>
      <c r="Q42" s="131">
        <f>COUNTIF('RINCIAN KECELAKAAN'!$R448:$R456,DASHBOARD!Q32)</f>
        <v>0</v>
      </c>
      <c r="R42" s="131">
        <f>COUNTIF('RINCIAN KECELAKAAN'!$R448:$R456,DASHBOARD!R32)</f>
        <v>0</v>
      </c>
      <c r="S42" s="131">
        <f>COUNTIF('RINCIAN KECELAKAAN'!$R448:$R456,DASHBOARD!S32)</f>
        <v>0</v>
      </c>
      <c r="T42" s="131">
        <f>COUNTIF('RINCIAN KECELAKAAN'!$R448:$R456,DASHBOARD!T32)</f>
        <v>0</v>
      </c>
      <c r="U42" s="129">
        <f>COUNTIF('RINCIAN KECELAKAAN'!$T448:$T456,DASHBOARD!U32)</f>
        <v>0</v>
      </c>
      <c r="V42" s="129">
        <f>COUNTIF('RINCIAN KECELAKAAN'!$T448:$T456,DASHBOARD!V32)</f>
        <v>1</v>
      </c>
      <c r="W42" s="128">
        <f t="shared" si="8"/>
        <v>1</v>
      </c>
      <c r="AB42" s="31"/>
      <c r="AC42" s="31"/>
      <c r="DC42" s="307"/>
    </row>
    <row r="43" spans="2:107" ht="15.6">
      <c r="B43" s="33"/>
      <c r="C43" s="32">
        <v>11</v>
      </c>
      <c r="D43" s="1" t="s">
        <v>12</v>
      </c>
      <c r="E43" s="309"/>
      <c r="F43" s="309"/>
      <c r="G43" s="309"/>
      <c r="H43" s="309"/>
      <c r="I43" s="309"/>
      <c r="J43" s="309"/>
      <c r="K43" s="309"/>
      <c r="L43" s="309"/>
      <c r="M43" s="309"/>
      <c r="N43" s="309"/>
      <c r="O43" s="309"/>
      <c r="P43" s="309"/>
      <c r="Q43" s="309"/>
      <c r="R43" s="309"/>
      <c r="S43" s="309"/>
      <c r="T43" s="309"/>
      <c r="U43" s="309"/>
      <c r="V43" s="309"/>
      <c r="W43" s="311"/>
      <c r="AB43" s="31"/>
      <c r="AC43" s="31"/>
      <c r="DC43" s="307"/>
    </row>
    <row r="44" spans="2:107" ht="15.6">
      <c r="B44" s="33"/>
      <c r="C44" s="32">
        <v>12</v>
      </c>
      <c r="D44" s="1" t="s">
        <v>13</v>
      </c>
      <c r="E44" s="309"/>
      <c r="F44" s="309"/>
      <c r="G44" s="309"/>
      <c r="H44" s="309"/>
      <c r="I44" s="309"/>
      <c r="J44" s="309"/>
      <c r="K44" s="309"/>
      <c r="L44" s="309"/>
      <c r="M44" s="309"/>
      <c r="N44" s="309"/>
      <c r="O44" s="309"/>
      <c r="P44" s="309"/>
      <c r="Q44" s="309"/>
      <c r="R44" s="309"/>
      <c r="S44" s="309"/>
      <c r="T44" s="309"/>
      <c r="U44" s="309"/>
      <c r="V44" s="309"/>
      <c r="W44" s="311"/>
      <c r="AB44" s="31"/>
      <c r="AC44" s="31"/>
      <c r="DC44" s="307"/>
    </row>
    <row r="45" spans="2:107" ht="15.6">
      <c r="B45" s="33"/>
      <c r="C45" s="1308" t="s">
        <v>123</v>
      </c>
      <c r="D45" s="1309"/>
      <c r="E45" s="2">
        <f>SUM(E33:E44)</f>
        <v>443</v>
      </c>
      <c r="F45" s="2">
        <f>SUM(F33:F44)</f>
        <v>434</v>
      </c>
      <c r="G45" s="1226">
        <f>F45/E45</f>
        <v>0.97968397291196385</v>
      </c>
      <c r="H45" s="2">
        <f t="shared" ref="H45:S45" si="10">SUM(H33:H44)</f>
        <v>183</v>
      </c>
      <c r="I45" s="2">
        <f t="shared" si="10"/>
        <v>50</v>
      </c>
      <c r="J45" s="2">
        <f t="shared" si="10"/>
        <v>0</v>
      </c>
      <c r="K45" s="2">
        <f t="shared" si="10"/>
        <v>1</v>
      </c>
      <c r="L45" s="2">
        <f t="shared" si="10"/>
        <v>3</v>
      </c>
      <c r="M45" s="2">
        <f t="shared" si="10"/>
        <v>29</v>
      </c>
      <c r="N45" s="2">
        <f t="shared" si="10"/>
        <v>0</v>
      </c>
      <c r="O45" s="2">
        <f t="shared" si="10"/>
        <v>72</v>
      </c>
      <c r="P45" s="2">
        <f t="shared" si="10"/>
        <v>18</v>
      </c>
      <c r="Q45" s="2">
        <f t="shared" si="10"/>
        <v>34</v>
      </c>
      <c r="R45" s="2">
        <f>SUM(R33:R44)</f>
        <v>6</v>
      </c>
      <c r="S45" s="2">
        <f t="shared" si="10"/>
        <v>33</v>
      </c>
      <c r="T45" s="2">
        <f t="shared" ref="T45" si="11">SUM(T33:T44)</f>
        <v>8</v>
      </c>
      <c r="U45" s="2">
        <f>SUM(U33:U44)</f>
        <v>34</v>
      </c>
      <c r="V45" s="2">
        <f t="shared" ref="V45" si="12">SUM(V33:V44)</f>
        <v>37</v>
      </c>
      <c r="W45" s="128">
        <f>SUM(W33:W44)</f>
        <v>71</v>
      </c>
      <c r="AB45" s="31"/>
      <c r="AC45" s="31"/>
      <c r="DC45" s="307"/>
    </row>
    <row r="46" spans="2:107">
      <c r="B46" s="33"/>
      <c r="C46" s="33"/>
      <c r="E46" s="25">
        <f>E45-F45</f>
        <v>9</v>
      </c>
      <c r="AB46" s="31"/>
      <c r="AC46" s="31"/>
      <c r="DC46" s="307"/>
    </row>
    <row r="47" spans="2:107">
      <c r="B47" s="33"/>
      <c r="C47" s="33"/>
      <c r="AB47" s="31"/>
      <c r="AC47" s="31"/>
      <c r="DC47" s="307"/>
    </row>
    <row r="48" spans="2:107">
      <c r="B48" s="33"/>
      <c r="C48" s="1290" t="s">
        <v>145</v>
      </c>
      <c r="D48" s="1291"/>
      <c r="E48" s="1291"/>
      <c r="F48" s="1291"/>
      <c r="G48" s="1291"/>
      <c r="H48" s="1291"/>
      <c r="I48" s="1291"/>
      <c r="J48" s="1291"/>
      <c r="K48" s="1291"/>
      <c r="L48" s="1291"/>
      <c r="M48" s="1291"/>
      <c r="N48" s="1291"/>
      <c r="O48" s="1291"/>
      <c r="P48" s="1291"/>
      <c r="Q48" s="1291"/>
      <c r="R48" s="1291"/>
      <c r="S48" s="1291"/>
      <c r="T48" s="1291"/>
      <c r="U48" s="1291"/>
      <c r="V48" s="1291"/>
      <c r="W48" s="1291"/>
      <c r="X48" s="1291"/>
      <c r="Y48" s="1291"/>
      <c r="Z48" s="1291"/>
      <c r="AA48" s="1291"/>
      <c r="AB48" s="1292"/>
      <c r="AC48" s="31"/>
      <c r="DC48" s="307"/>
    </row>
    <row r="49" spans="2:107">
      <c r="B49" s="33"/>
      <c r="C49" s="1290"/>
      <c r="D49" s="1291"/>
      <c r="E49" s="1291"/>
      <c r="F49" s="1291"/>
      <c r="G49" s="1291"/>
      <c r="H49" s="1291"/>
      <c r="I49" s="1291"/>
      <c r="J49" s="1291"/>
      <c r="K49" s="1291"/>
      <c r="L49" s="1291"/>
      <c r="M49" s="1291"/>
      <c r="N49" s="1291"/>
      <c r="O49" s="1291"/>
      <c r="P49" s="1291"/>
      <c r="Q49" s="1291"/>
      <c r="R49" s="1291"/>
      <c r="S49" s="1291"/>
      <c r="T49" s="1291"/>
      <c r="U49" s="1291"/>
      <c r="V49" s="1291"/>
      <c r="W49" s="1291"/>
      <c r="X49" s="1291"/>
      <c r="Y49" s="1291"/>
      <c r="Z49" s="1291"/>
      <c r="AA49" s="1291"/>
      <c r="AB49" s="1292"/>
      <c r="AC49" s="31"/>
      <c r="DC49" s="307"/>
    </row>
    <row r="50" spans="2:107">
      <c r="B50" s="33"/>
      <c r="C50" s="33"/>
      <c r="AB50" s="31"/>
      <c r="AC50" s="31"/>
      <c r="DC50" s="307"/>
    </row>
    <row r="51" spans="2:107">
      <c r="B51" s="33"/>
      <c r="C51" s="33"/>
      <c r="AB51" s="31"/>
      <c r="AC51" s="31"/>
      <c r="DC51" s="307"/>
    </row>
    <row r="52" spans="2:107" ht="27" customHeight="1">
      <c r="B52" s="33"/>
      <c r="C52" s="1286" t="s">
        <v>93</v>
      </c>
      <c r="D52" s="293"/>
      <c r="E52" s="1305" t="s">
        <v>145</v>
      </c>
      <c r="F52" s="1305"/>
      <c r="G52" s="1305"/>
      <c r="H52" s="1305"/>
      <c r="I52" s="1305"/>
      <c r="J52" s="1305"/>
      <c r="K52" s="1305"/>
      <c r="L52" s="1305"/>
      <c r="M52" s="1305"/>
      <c r="N52" s="1305"/>
      <c r="O52" s="1305"/>
      <c r="P52" s="1305"/>
      <c r="Q52" s="1305"/>
      <c r="R52" s="1305"/>
      <c r="S52" s="1305"/>
      <c r="T52" s="1305"/>
      <c r="AB52" s="31"/>
      <c r="AC52" s="31"/>
      <c r="DC52" s="307"/>
    </row>
    <row r="53" spans="2:107" ht="78.599999999999994" customHeight="1">
      <c r="B53" s="33"/>
      <c r="C53" s="1287"/>
      <c r="D53" s="294" t="s">
        <v>94</v>
      </c>
      <c r="E53" s="295" t="s">
        <v>146</v>
      </c>
      <c r="F53" s="295" t="s">
        <v>147</v>
      </c>
      <c r="G53" s="295" t="s">
        <v>148</v>
      </c>
      <c r="H53" s="295" t="s">
        <v>149</v>
      </c>
      <c r="I53" s="295" t="s">
        <v>150</v>
      </c>
      <c r="J53" s="295" t="s">
        <v>151</v>
      </c>
      <c r="K53" s="295" t="s">
        <v>152</v>
      </c>
      <c r="L53" s="295" t="s">
        <v>153</v>
      </c>
      <c r="M53" s="295" t="s">
        <v>154</v>
      </c>
      <c r="N53" s="295" t="s">
        <v>155</v>
      </c>
      <c r="O53" s="295" t="s">
        <v>156</v>
      </c>
      <c r="P53" s="295" t="s">
        <v>157</v>
      </c>
      <c r="Q53" s="295" t="s">
        <v>158</v>
      </c>
      <c r="R53" s="298" t="s">
        <v>159</v>
      </c>
      <c r="S53" s="301" t="s">
        <v>144</v>
      </c>
      <c r="AB53" s="31"/>
      <c r="AC53" s="31"/>
      <c r="DC53" s="307"/>
    </row>
    <row r="54" spans="2:107" ht="15.6">
      <c r="B54" s="33"/>
      <c r="C54" s="32">
        <v>1</v>
      </c>
      <c r="D54" s="1" t="s">
        <v>2</v>
      </c>
      <c r="E54" s="312">
        <f>COUNTIF('RINCIAN KECELAKAAN'!$H8:$H64,DASHBOARD!E53)</f>
        <v>0</v>
      </c>
      <c r="F54" s="129">
        <f>COUNTIF('RINCIAN KECELAKAAN'!$H8:$H64,DASHBOARD!F53)</f>
        <v>5</v>
      </c>
      <c r="G54" s="312">
        <f>COUNTIF('RINCIAN KECELAKAAN'!$H8:$H64,DASHBOARD!G53)</f>
        <v>0</v>
      </c>
      <c r="H54" s="129">
        <f>COUNTIF('RINCIAN KECELAKAAN'!$H8:$H64,DASHBOARD!H53)</f>
        <v>4</v>
      </c>
      <c r="I54" s="312">
        <f>COUNTIF('RINCIAN KECELAKAAN'!$H8:$H64,DASHBOARD!I53)</f>
        <v>0</v>
      </c>
      <c r="J54" s="129">
        <f>COUNTIF('RINCIAN KECELAKAAN'!$H8:$H64,DASHBOARD!J53)</f>
        <v>3</v>
      </c>
      <c r="K54" s="312">
        <f>COUNTIF('RINCIAN KECELAKAAN'!$H8:$H64,DASHBOARD!K53)</f>
        <v>0</v>
      </c>
      <c r="L54" s="312">
        <f>COUNTIF('RINCIAN KECELAKAAN'!$H8:$H64,DASHBOARD!L53)</f>
        <v>0</v>
      </c>
      <c r="M54" s="312">
        <f>COUNTIF('RINCIAN KECELAKAAN'!$H8:$H64,DASHBOARD!M53)</f>
        <v>0</v>
      </c>
      <c r="N54" s="312">
        <f>COUNTIF('RINCIAN KECELAKAAN'!$H8:$H64,DASHBOARD!N53)</f>
        <v>0</v>
      </c>
      <c r="O54" s="312">
        <f>COUNTIF('RINCIAN KECELAKAAN'!$H8:$H64,DASHBOARD!O53)</f>
        <v>0</v>
      </c>
      <c r="P54" s="312">
        <f>COUNTIF('RINCIAN KECELAKAAN'!$H8:$H64,DASHBOARD!P53)</f>
        <v>0</v>
      </c>
      <c r="Q54" s="312">
        <f>COUNTIF('RINCIAN KECELAKAAN'!$H8:$H64,DASHBOARD!Q53)</f>
        <v>0</v>
      </c>
      <c r="R54" s="312">
        <f>COUNTIF('RINCIAN KECELAKAAN'!$H8:$H64,DASHBOARD!R53)</f>
        <v>0</v>
      </c>
      <c r="S54" s="128">
        <f t="shared" ref="S54:S61" si="13">SUM(E54:R54)</f>
        <v>12</v>
      </c>
      <c r="AB54" s="31"/>
      <c r="AC54" s="31"/>
      <c r="DC54" s="307"/>
    </row>
    <row r="55" spans="2:107" ht="15.6">
      <c r="B55" s="33"/>
      <c r="C55" s="32">
        <v>2</v>
      </c>
      <c r="D55" s="1" t="s">
        <v>3</v>
      </c>
      <c r="E55" s="312">
        <f>COUNTIF('RINCIAN KECELAKAAN'!$H65:$H93,DASHBOARD!E53)</f>
        <v>1</v>
      </c>
      <c r="F55" s="129">
        <f>COUNTIF('RINCIAN KECELAKAAN'!$H65:$H93,DASHBOARD!F53)</f>
        <v>0</v>
      </c>
      <c r="G55" s="312">
        <f>COUNTIF('RINCIAN KECELAKAAN'!$H65:$H93,DASHBOARD!G53)</f>
        <v>0</v>
      </c>
      <c r="H55" s="129">
        <f>COUNTIF('RINCIAN KECELAKAAN'!$H65:$H93,DASHBOARD!H53)</f>
        <v>4</v>
      </c>
      <c r="I55" s="312">
        <f>COUNTIF('RINCIAN KECELAKAAN'!$H65:$H93,DASHBOARD!I53)</f>
        <v>0</v>
      </c>
      <c r="J55" s="129">
        <f>COUNTIF('RINCIAN KECELAKAAN'!$H65:$H93,DASHBOARD!J53)</f>
        <v>0</v>
      </c>
      <c r="K55" s="312">
        <f>COUNTIF('RINCIAN KECELAKAAN'!$H65:$H93,DASHBOARD!K53)</f>
        <v>0</v>
      </c>
      <c r="L55" s="312">
        <f>COUNTIF('RINCIAN KECELAKAAN'!$H65:$H93,DASHBOARD!L53)</f>
        <v>0</v>
      </c>
      <c r="M55" s="312">
        <f>COUNTIF('RINCIAN KECELAKAAN'!$H65:$H93,DASHBOARD!M53)</f>
        <v>0</v>
      </c>
      <c r="N55" s="312">
        <f>COUNTIF('RINCIAN KECELAKAAN'!$H65:$H93,DASHBOARD!N53)</f>
        <v>0</v>
      </c>
      <c r="O55" s="312">
        <f>COUNTIF('RINCIAN KECELAKAAN'!$H65:$H93,DASHBOARD!O53)</f>
        <v>0</v>
      </c>
      <c r="P55" s="312">
        <f>COUNTIF('RINCIAN KECELAKAAN'!$H65:$H93,DASHBOARD!P53)</f>
        <v>0</v>
      </c>
      <c r="Q55" s="312">
        <f>COUNTIF('RINCIAN KECELAKAAN'!$H65:$H93,DASHBOARD!Q53)</f>
        <v>0</v>
      </c>
      <c r="R55" s="312">
        <f>COUNTIF('RINCIAN KECELAKAAN'!$H65:$H93,DASHBOARD!R53)</f>
        <v>0</v>
      </c>
      <c r="S55" s="128">
        <f t="shared" si="13"/>
        <v>5</v>
      </c>
      <c r="AB55" s="31"/>
      <c r="AC55" s="31"/>
      <c r="DC55" s="307"/>
    </row>
    <row r="56" spans="2:107" ht="15.6">
      <c r="B56" s="33"/>
      <c r="C56" s="32">
        <v>3</v>
      </c>
      <c r="D56" s="1" t="s">
        <v>4</v>
      </c>
      <c r="E56" s="312">
        <f>COUNTIF('RINCIAN KECELAKAAN'!$H94:$H133,DASHBOARD!E53)</f>
        <v>0</v>
      </c>
      <c r="F56" s="129">
        <f>COUNTIF('RINCIAN KECELAKAAN'!$H94:$H133,DASHBOARD!F53)</f>
        <v>1</v>
      </c>
      <c r="G56" s="129">
        <f>COUNTIF('RINCIAN KECELAKAAN'!$H94:$H133,DASHBOARD!G53)</f>
        <v>1</v>
      </c>
      <c r="H56" s="129">
        <f>COUNTIF('RINCIAN KECELAKAAN'!$H94:$H133,DASHBOARD!H53)</f>
        <v>3</v>
      </c>
      <c r="I56" s="129">
        <f>COUNTIF('RINCIAN KECELAKAAN'!$H94:$H133,DASHBOARD!I53)</f>
        <v>1</v>
      </c>
      <c r="J56" s="129">
        <f>COUNTIF('RINCIAN KECELAKAAN'!$H94:$H133,DASHBOARD!J53)</f>
        <v>1</v>
      </c>
      <c r="K56" s="312">
        <f>COUNTIF('RINCIAN KECELAKAAN'!$H94:$H133,DASHBOARD!K53)</f>
        <v>0</v>
      </c>
      <c r="L56" s="312">
        <f>COUNTIF('RINCIAN KECELAKAAN'!$H94:$H133,DASHBOARD!L53)</f>
        <v>0</v>
      </c>
      <c r="M56" s="312">
        <f>COUNTIF('RINCIAN KECELAKAAN'!$H94:$H133,DASHBOARD!M53)</f>
        <v>0</v>
      </c>
      <c r="N56" s="312">
        <f>COUNTIF('RINCIAN KECELAKAAN'!$H94:$H133,DASHBOARD!N53)</f>
        <v>0</v>
      </c>
      <c r="O56" s="312">
        <f>COUNTIF('RINCIAN KECELAKAAN'!$H94:$H133,DASHBOARD!O53)</f>
        <v>0</v>
      </c>
      <c r="P56" s="312">
        <f>COUNTIF('RINCIAN KECELAKAAN'!$H94:$H133,DASHBOARD!P53)</f>
        <v>0</v>
      </c>
      <c r="Q56" s="312">
        <f>COUNTIF('RINCIAN KECELAKAAN'!$H94:$H133,DASHBOARD!Q53)</f>
        <v>0</v>
      </c>
      <c r="R56" s="312">
        <f>COUNTIF('RINCIAN KECELAKAAN'!$H94:$H133,DASHBOARD!R53)</f>
        <v>0</v>
      </c>
      <c r="S56" s="128">
        <f t="shared" si="13"/>
        <v>7</v>
      </c>
      <c r="AB56" s="31"/>
      <c r="AC56" s="31"/>
      <c r="DC56" s="307"/>
    </row>
    <row r="57" spans="2:107" ht="15.6">
      <c r="B57" s="33"/>
      <c r="C57" s="32">
        <v>4</v>
      </c>
      <c r="D57" s="1" t="s">
        <v>5</v>
      </c>
      <c r="E57" s="312">
        <f>COUNTIF('RINCIAN KECELAKAAN'!$H134:$H192,DASHBOARD!E53)</f>
        <v>1</v>
      </c>
      <c r="F57" s="312">
        <f>COUNTIF('RINCIAN KECELAKAAN'!$H134:$H192,DASHBOARD!F53)</f>
        <v>3</v>
      </c>
      <c r="G57" s="312">
        <f>COUNTIF('RINCIAN KECELAKAAN'!$H134:$H192,DASHBOARD!G53)</f>
        <v>0</v>
      </c>
      <c r="H57" s="312">
        <f>COUNTIF('RINCIAN KECELAKAAN'!$H134:$H192,DASHBOARD!H53)</f>
        <v>4</v>
      </c>
      <c r="I57" s="312">
        <f>COUNTIF('RINCIAN KECELAKAAN'!$H134:$H192,DASHBOARD!I53)</f>
        <v>0</v>
      </c>
      <c r="J57" s="312">
        <f>COUNTIF('RINCIAN KECELAKAAN'!$H134:$H192,DASHBOARD!J53)</f>
        <v>0</v>
      </c>
      <c r="K57" s="312">
        <f>COUNTIF('RINCIAN KECELAKAAN'!$H134:$H192,DASHBOARD!K53)</f>
        <v>0</v>
      </c>
      <c r="L57" s="312">
        <f>COUNTIF('RINCIAN KECELAKAAN'!$H134:$H192,DASHBOARD!L53)</f>
        <v>0</v>
      </c>
      <c r="M57" s="312">
        <f>COUNTIF('RINCIAN KECELAKAAN'!$H134:$H192,DASHBOARD!M53)</f>
        <v>0</v>
      </c>
      <c r="N57" s="312">
        <f>COUNTIF('RINCIAN KECELAKAAN'!$H134:$H192,DASHBOARD!N53)</f>
        <v>1</v>
      </c>
      <c r="O57" s="312">
        <f>COUNTIF('RINCIAN KECELAKAAN'!$H134:$H192,DASHBOARD!O53)</f>
        <v>0</v>
      </c>
      <c r="P57" s="312">
        <f>COUNTIF('RINCIAN KECELAKAAN'!$H134:$H192,DASHBOARD!P53)</f>
        <v>0</v>
      </c>
      <c r="Q57" s="312">
        <f>COUNTIF('RINCIAN KECELAKAAN'!$H134:$H192,DASHBOARD!Q53)</f>
        <v>0</v>
      </c>
      <c r="R57" s="312">
        <f>COUNTIF('RINCIAN KECELAKAAN'!$H134:$H192,DASHBOARD!R53)</f>
        <v>0</v>
      </c>
      <c r="S57" s="128">
        <f t="shared" si="13"/>
        <v>9</v>
      </c>
      <c r="AB57" s="31"/>
      <c r="AC57" s="31"/>
      <c r="DC57" s="307"/>
    </row>
    <row r="58" spans="2:107" ht="15.6">
      <c r="B58" s="33"/>
      <c r="C58" s="32">
        <v>5</v>
      </c>
      <c r="D58" s="1" t="s">
        <v>6</v>
      </c>
      <c r="E58" s="312">
        <f>COUNTIF('RINCIAN KECELAKAAN'!$H193:$H270,DASHBOARD!E53)</f>
        <v>4</v>
      </c>
      <c r="F58" s="312">
        <f>COUNTIF('RINCIAN KECELAKAAN'!$H193:$H270,DASHBOARD!F53)</f>
        <v>1</v>
      </c>
      <c r="G58" s="312">
        <f>COUNTIF('RINCIAN KECELAKAAN'!$H193:$H270,DASHBOARD!G53)</f>
        <v>0</v>
      </c>
      <c r="H58" s="312">
        <f>COUNTIF('RINCIAN KECELAKAAN'!$H193:$H270,DASHBOARD!H53)</f>
        <v>4</v>
      </c>
      <c r="I58" s="312">
        <f>COUNTIF('RINCIAN KECELAKAAN'!$H193:$H270,DASHBOARD!I53)</f>
        <v>0</v>
      </c>
      <c r="J58" s="312">
        <f>COUNTIF('RINCIAN KECELAKAAN'!$H193:$H270,DASHBOARD!J53)</f>
        <v>0</v>
      </c>
      <c r="K58" s="312">
        <f>COUNTIF('RINCIAN KECELAKAAN'!$H193:$H270,DASHBOARD!K53)</f>
        <v>0</v>
      </c>
      <c r="L58" s="312">
        <f>COUNTIF('RINCIAN KECELAKAAN'!$H193:$H270,DASHBOARD!L53)</f>
        <v>0</v>
      </c>
      <c r="M58" s="312">
        <f>COUNTIF('RINCIAN KECELAKAAN'!$H193:$H270,DASHBOARD!M53)</f>
        <v>0</v>
      </c>
      <c r="N58" s="312">
        <f>COUNTIF('RINCIAN KECELAKAAN'!$H193:$H270,DASHBOARD!N53)</f>
        <v>0</v>
      </c>
      <c r="O58" s="312">
        <f>COUNTIF('RINCIAN KECELAKAAN'!$H193:$H270,DASHBOARD!O53)</f>
        <v>0</v>
      </c>
      <c r="P58" s="312">
        <f>COUNTIF('RINCIAN KECELAKAAN'!$H193:$H270,DASHBOARD!P53)</f>
        <v>1</v>
      </c>
      <c r="Q58" s="312">
        <f>COUNTIF('RINCIAN KECELAKAAN'!$H193:$H270,DASHBOARD!Q53)</f>
        <v>0</v>
      </c>
      <c r="R58" s="312">
        <f>COUNTIF('RINCIAN KECELAKAAN'!$H193:$H270,DASHBOARD!R53)</f>
        <v>0</v>
      </c>
      <c r="S58" s="128">
        <f t="shared" si="13"/>
        <v>10</v>
      </c>
      <c r="AB58" s="31"/>
      <c r="AC58" s="31"/>
      <c r="DC58" s="307"/>
    </row>
    <row r="59" spans="2:107" ht="15.6">
      <c r="B59" s="33"/>
      <c r="C59" s="32">
        <v>6</v>
      </c>
      <c r="D59" s="1" t="s">
        <v>116</v>
      </c>
      <c r="E59" s="312">
        <f>COUNTIF('RINCIAN KECELAKAAN'!$H271:$H331,DASHBOARD!E53)</f>
        <v>2</v>
      </c>
      <c r="F59" s="312">
        <f>COUNTIF('RINCIAN KECELAKAAN'!$H271:$H331,DASHBOARD!F53)</f>
        <v>1</v>
      </c>
      <c r="G59" s="312">
        <f>COUNTIF('RINCIAN KECELAKAAN'!$H271:$H331,DASHBOARD!G53)</f>
        <v>1</v>
      </c>
      <c r="H59" s="312">
        <f>COUNTIF('RINCIAN KECELAKAAN'!$H271:$H331,DASHBOARD!H53)</f>
        <v>2</v>
      </c>
      <c r="I59" s="312">
        <f>COUNTIF('RINCIAN KECELAKAAN'!$H271:$H331,DASHBOARD!I53)</f>
        <v>1</v>
      </c>
      <c r="J59" s="312">
        <f>COUNTIF('RINCIAN KECELAKAAN'!$H271:$H331,DASHBOARD!J53)</f>
        <v>0</v>
      </c>
      <c r="K59" s="312">
        <f>COUNTIF('RINCIAN KECELAKAAN'!$H271:$H331,DASHBOARD!K53)</f>
        <v>1</v>
      </c>
      <c r="L59" s="312">
        <f>COUNTIF('RINCIAN KECELAKAAN'!$H271:$H331,DASHBOARD!L53)</f>
        <v>0</v>
      </c>
      <c r="M59" s="312">
        <f>COUNTIF('RINCIAN KECELAKAAN'!$H271:$H331,DASHBOARD!M53)</f>
        <v>0</v>
      </c>
      <c r="N59" s="312">
        <f>COUNTIF('RINCIAN KECELAKAAN'!$H271:$H331,DASHBOARD!N53)</f>
        <v>0</v>
      </c>
      <c r="O59" s="312">
        <f>COUNTIF('RINCIAN KECELAKAAN'!$H271:$H331,DASHBOARD!O53)</f>
        <v>0</v>
      </c>
      <c r="P59" s="312">
        <f>COUNTIF('RINCIAN KECELAKAAN'!$H271:$H331,DASHBOARD!P53)</f>
        <v>0</v>
      </c>
      <c r="Q59" s="312">
        <f>COUNTIF('RINCIAN KECELAKAAN'!$H271:$H331,DASHBOARD!Q53)</f>
        <v>0</v>
      </c>
      <c r="R59" s="312">
        <f>COUNTIF('RINCIAN KECELAKAAN'!$H271:$H331,DASHBOARD!R53)</f>
        <v>0</v>
      </c>
      <c r="S59" s="128">
        <f t="shared" si="13"/>
        <v>8</v>
      </c>
      <c r="AB59" s="31"/>
      <c r="AC59" s="31"/>
      <c r="DC59" s="307"/>
    </row>
    <row r="60" spans="2:107" ht="15.6">
      <c r="B60" s="33"/>
      <c r="C60" s="32">
        <v>7</v>
      </c>
      <c r="D60" s="1" t="s">
        <v>8</v>
      </c>
      <c r="E60" s="309">
        <f>COUNTIF('RINCIAN KECELAKAAN'!$H$332:$H$394,DASHBOARD!E53)</f>
        <v>0</v>
      </c>
      <c r="F60" s="309">
        <f>COUNTIF('RINCIAN KECELAKAAN'!$H$332:$H$394,DASHBOARD!F53)</f>
        <v>1</v>
      </c>
      <c r="G60" s="309">
        <f>COUNTIF('RINCIAN KECELAKAAN'!$H$332:$H$394,DASHBOARD!G53)</f>
        <v>0</v>
      </c>
      <c r="H60" s="309">
        <f>COUNTIF('RINCIAN KECELAKAAN'!$H$332:$H$394,DASHBOARD!H53)</f>
        <v>4</v>
      </c>
      <c r="I60" s="309">
        <f>COUNTIF('RINCIAN KECELAKAAN'!$H$332:$H$394,DASHBOARD!I53)</f>
        <v>1</v>
      </c>
      <c r="J60" s="309">
        <f>COUNTIF('RINCIAN KECELAKAAN'!$H$332:$H$394,DASHBOARD!J53)</f>
        <v>0</v>
      </c>
      <c r="K60" s="309">
        <f>COUNTIF('RINCIAN KECELAKAAN'!$H$332:$H$394,DASHBOARD!K53)</f>
        <v>0</v>
      </c>
      <c r="L60" s="309">
        <f>COUNTIF('RINCIAN KECELAKAAN'!$H$332:$H$394,DASHBOARD!L53)</f>
        <v>0</v>
      </c>
      <c r="M60" s="309">
        <f>COUNTIF('RINCIAN KECELAKAAN'!$H$332:$H$394,DASHBOARD!M53)</f>
        <v>0</v>
      </c>
      <c r="N60" s="309">
        <f>COUNTIF('RINCIAN KECELAKAAN'!$H$332:$H$394,DASHBOARD!N53)</f>
        <v>1</v>
      </c>
      <c r="O60" s="309">
        <f>COUNTIF('RINCIAN KECELAKAAN'!$H$332:$H$394,DASHBOARD!O53)</f>
        <v>0</v>
      </c>
      <c r="P60" s="309">
        <f>COUNTIF('RINCIAN KECELAKAAN'!$H$332:$H$394,DASHBOARD!P53)</f>
        <v>0</v>
      </c>
      <c r="Q60" s="309">
        <f>COUNTIF('RINCIAN KECELAKAAN'!$H$332:$H$394,DASHBOARD!Q53)</f>
        <v>0</v>
      </c>
      <c r="R60" s="309">
        <f>COUNTIF('RINCIAN KECELAKAAN'!$H$332:$H$394,DASHBOARD!R53)</f>
        <v>0</v>
      </c>
      <c r="S60" s="128">
        <f t="shared" si="13"/>
        <v>7</v>
      </c>
      <c r="AB60" s="31"/>
      <c r="AC60" s="31"/>
      <c r="DC60" s="307"/>
    </row>
    <row r="61" spans="2:107" ht="15.6">
      <c r="B61" s="33"/>
      <c r="C61" s="32">
        <v>8</v>
      </c>
      <c r="D61" s="1" t="s">
        <v>121</v>
      </c>
      <c r="E61" s="309">
        <f>COUNTIF('RINCIAN KECELAKAAN'!$H$395:$H$427,DASHBOARD!E53)</f>
        <v>0</v>
      </c>
      <c r="F61" s="309">
        <f>COUNTIF('RINCIAN KECELAKAAN'!$H$395:$H$427,DASHBOARD!F53)</f>
        <v>3</v>
      </c>
      <c r="G61" s="309">
        <f>COUNTIF('RINCIAN KECELAKAAN'!$H$395:$H$427,DASHBOARD!G53)</f>
        <v>0</v>
      </c>
      <c r="H61" s="309">
        <f>COUNTIF('RINCIAN KECELAKAAN'!$H$395:$H$427,DASHBOARD!H53)</f>
        <v>2</v>
      </c>
      <c r="I61" s="309">
        <f>COUNTIF('RINCIAN KECELAKAAN'!$H$395:$H$427,DASHBOARD!I53)</f>
        <v>1</v>
      </c>
      <c r="J61" s="309">
        <f>COUNTIF('RINCIAN KECELAKAAN'!$H$395:$H$427,DASHBOARD!J53)</f>
        <v>1</v>
      </c>
      <c r="K61" s="309">
        <f>COUNTIF('RINCIAN KECELAKAAN'!$H$395:$H$427,DASHBOARD!K53)</f>
        <v>0</v>
      </c>
      <c r="L61" s="309">
        <f>COUNTIF('RINCIAN KECELAKAAN'!$H$395:$H$427,DASHBOARD!L53)</f>
        <v>0</v>
      </c>
      <c r="M61" s="309">
        <f>COUNTIF('RINCIAN KECELAKAAN'!$H$395:$H$427,DASHBOARD!M53)</f>
        <v>0</v>
      </c>
      <c r="N61" s="309">
        <f>COUNTIF('RINCIAN KECELAKAAN'!$H$395:$H$427,DASHBOARD!N53)</f>
        <v>1</v>
      </c>
      <c r="O61" s="309">
        <f>COUNTIF('RINCIAN KECELAKAAN'!$H$395:$H$427,DASHBOARD!O53)</f>
        <v>0</v>
      </c>
      <c r="P61" s="309">
        <f>COUNTIF('RINCIAN KECELAKAAN'!$H$395:$H$427,DASHBOARD!P53)</f>
        <v>0</v>
      </c>
      <c r="Q61" s="309">
        <f>COUNTIF('RINCIAN KECELAKAAN'!$H$395:$H$427,DASHBOARD!Q53)</f>
        <v>0</v>
      </c>
      <c r="R61" s="309">
        <f>COUNTIF('RINCIAN KECELAKAAN'!$H$395:$H$427,DASHBOARD!R53)</f>
        <v>1</v>
      </c>
      <c r="S61" s="128">
        <f t="shared" si="13"/>
        <v>9</v>
      </c>
      <c r="AB61" s="31"/>
      <c r="AC61" s="31"/>
      <c r="DC61" s="307"/>
    </row>
    <row r="62" spans="2:107" ht="15.6">
      <c r="B62" s="33"/>
      <c r="C62" s="32">
        <v>9</v>
      </c>
      <c r="D62" s="1" t="s">
        <v>10</v>
      </c>
      <c r="E62" s="309">
        <f>COUNTIF('RINCIAN KECELAKAAN'!$H$428:$H$447,DASHBOARD!E53)</f>
        <v>1</v>
      </c>
      <c r="F62" s="309">
        <f>COUNTIF('RINCIAN KECELAKAAN'!$H$428:$H$447,DASHBOARD!F53)</f>
        <v>1</v>
      </c>
      <c r="G62" s="309">
        <f>COUNTIF('RINCIAN KECELAKAAN'!$H$428:$H$447,DASHBOARD!G53)</f>
        <v>0</v>
      </c>
      <c r="H62" s="309">
        <f>COUNTIF('RINCIAN KECELAKAAN'!$H$428:$H$447,DASHBOARD!H53)</f>
        <v>1</v>
      </c>
      <c r="I62" s="309">
        <f>COUNTIF('RINCIAN KECELAKAAN'!$H$428:$H$447,DASHBOARD!I53)</f>
        <v>0</v>
      </c>
      <c r="J62" s="309">
        <f>COUNTIF('RINCIAN KECELAKAAN'!$H$428:$H$447,DASHBOARD!J53)</f>
        <v>0</v>
      </c>
      <c r="K62" s="309">
        <f>COUNTIF('RINCIAN KECELAKAAN'!$H$428:$H$447,DASHBOARD!K53)</f>
        <v>0</v>
      </c>
      <c r="L62" s="309">
        <f>COUNTIF('RINCIAN KECELAKAAN'!$H$428:$H$447,DASHBOARD!L53)</f>
        <v>0</v>
      </c>
      <c r="M62" s="309">
        <f>COUNTIF('RINCIAN KECELAKAAN'!$H$428:$H$447,DASHBOARD!M53)</f>
        <v>0</v>
      </c>
      <c r="N62" s="309">
        <f>COUNTIF('RINCIAN KECELAKAAN'!$H$428:$H$447,DASHBOARD!N53)</f>
        <v>0</v>
      </c>
      <c r="O62" s="309">
        <f>COUNTIF('RINCIAN KECELAKAAN'!$H$428:$H$447,DASHBOARD!O53)</f>
        <v>0</v>
      </c>
      <c r="P62" s="309">
        <f>COUNTIF('RINCIAN KECELAKAAN'!$H$428:$H$447,DASHBOARD!P53)</f>
        <v>0</v>
      </c>
      <c r="Q62" s="309">
        <f>COUNTIF('RINCIAN KECELAKAAN'!$H$428:$H$447,DASHBOARD!Q53)</f>
        <v>0</v>
      </c>
      <c r="R62" s="309">
        <f>COUNTIF('RINCIAN KECELAKAAN'!$H$428:$H$447,DASHBOARD!R53)</f>
        <v>0</v>
      </c>
      <c r="S62" s="128">
        <f t="shared" ref="S62" si="14">SUM(E62:R62)</f>
        <v>3</v>
      </c>
      <c r="AB62" s="31"/>
      <c r="AC62" s="31"/>
      <c r="DC62" s="307"/>
    </row>
    <row r="63" spans="2:107" ht="15.6">
      <c r="B63" s="33"/>
      <c r="C63" s="32">
        <v>10</v>
      </c>
      <c r="D63" s="1" t="s">
        <v>122</v>
      </c>
      <c r="E63" s="309"/>
      <c r="F63" s="309"/>
      <c r="G63" s="309"/>
      <c r="H63" s="309"/>
      <c r="I63" s="309"/>
      <c r="J63" s="309"/>
      <c r="K63" s="309"/>
      <c r="L63" s="309"/>
      <c r="M63" s="309"/>
      <c r="N63" s="309"/>
      <c r="O63" s="309"/>
      <c r="P63" s="309"/>
      <c r="Q63" s="309"/>
      <c r="R63" s="309"/>
      <c r="S63" s="50"/>
      <c r="AB63" s="31"/>
      <c r="AC63" s="31"/>
      <c r="DC63" s="307"/>
    </row>
    <row r="64" spans="2:107" ht="15.6">
      <c r="B64" s="33"/>
      <c r="C64" s="32">
        <v>11</v>
      </c>
      <c r="D64" s="1" t="s">
        <v>12</v>
      </c>
      <c r="E64" s="309"/>
      <c r="F64" s="309"/>
      <c r="G64" s="309"/>
      <c r="H64" s="309"/>
      <c r="I64" s="309"/>
      <c r="J64" s="309"/>
      <c r="K64" s="309"/>
      <c r="L64" s="309"/>
      <c r="M64" s="309"/>
      <c r="N64" s="309"/>
      <c r="O64" s="309"/>
      <c r="P64" s="309"/>
      <c r="Q64" s="309"/>
      <c r="R64" s="309"/>
      <c r="S64" s="50"/>
      <c r="AB64" s="31"/>
      <c r="AC64" s="31"/>
      <c r="DC64" s="307"/>
    </row>
    <row r="65" spans="2:107" ht="15.6">
      <c r="B65" s="33"/>
      <c r="C65" s="32">
        <v>12</v>
      </c>
      <c r="D65" s="1" t="s">
        <v>13</v>
      </c>
      <c r="E65" s="309"/>
      <c r="F65" s="309"/>
      <c r="G65" s="309"/>
      <c r="H65" s="309"/>
      <c r="I65" s="309"/>
      <c r="J65" s="309"/>
      <c r="K65" s="309"/>
      <c r="L65" s="309"/>
      <c r="M65" s="309"/>
      <c r="N65" s="309"/>
      <c r="O65" s="309"/>
      <c r="P65" s="309"/>
      <c r="Q65" s="309"/>
      <c r="R65" s="309"/>
      <c r="S65" s="50"/>
      <c r="AB65" s="31"/>
      <c r="AC65" s="31"/>
      <c r="DC65" s="307"/>
    </row>
    <row r="66" spans="2:107" ht="15.6">
      <c r="B66" s="33"/>
      <c r="C66" s="1284" t="s">
        <v>144</v>
      </c>
      <c r="D66" s="1285"/>
      <c r="E66" s="311">
        <f>SUM(E54:E65)</f>
        <v>9</v>
      </c>
      <c r="F66" s="311">
        <f t="shared" ref="F66:R66" si="15">SUM(F54:F65)</f>
        <v>16</v>
      </c>
      <c r="G66" s="311">
        <f t="shared" si="15"/>
        <v>2</v>
      </c>
      <c r="H66" s="311">
        <f t="shared" si="15"/>
        <v>28</v>
      </c>
      <c r="I66" s="311">
        <f t="shared" si="15"/>
        <v>4</v>
      </c>
      <c r="J66" s="311">
        <f t="shared" si="15"/>
        <v>5</v>
      </c>
      <c r="K66" s="311">
        <f t="shared" si="15"/>
        <v>1</v>
      </c>
      <c r="L66" s="311">
        <f t="shared" si="15"/>
        <v>0</v>
      </c>
      <c r="M66" s="311">
        <f t="shared" si="15"/>
        <v>0</v>
      </c>
      <c r="N66" s="311">
        <f t="shared" si="15"/>
        <v>3</v>
      </c>
      <c r="O66" s="311">
        <f t="shared" si="15"/>
        <v>0</v>
      </c>
      <c r="P66" s="311">
        <f t="shared" si="15"/>
        <v>1</v>
      </c>
      <c r="Q66" s="311">
        <f t="shared" si="15"/>
        <v>0</v>
      </c>
      <c r="R66" s="311">
        <f t="shared" si="15"/>
        <v>1</v>
      </c>
      <c r="S66" s="128">
        <f>SUM(S54:S65)</f>
        <v>70</v>
      </c>
      <c r="AB66" s="31"/>
      <c r="AC66" s="31"/>
      <c r="DC66" s="307"/>
    </row>
    <row r="67" spans="2:107">
      <c r="B67" s="33"/>
      <c r="C67" s="33"/>
      <c r="AB67" s="31"/>
      <c r="AC67" s="31"/>
      <c r="DC67" s="307"/>
    </row>
    <row r="68" spans="2:107">
      <c r="B68" s="33"/>
      <c r="C68" s="1290"/>
      <c r="D68" s="1291"/>
      <c r="E68" s="1291"/>
      <c r="F68" s="1291"/>
      <c r="G68" s="1291"/>
      <c r="H68" s="1291"/>
      <c r="I68" s="1291"/>
      <c r="J68" s="1291"/>
      <c r="K68" s="1291"/>
      <c r="L68" s="1291"/>
      <c r="M68" s="1291"/>
      <c r="N68" s="1291"/>
      <c r="O68" s="1291"/>
      <c r="P68" s="1291"/>
      <c r="Q68" s="1291"/>
      <c r="R68" s="1291"/>
      <c r="S68" s="1291"/>
      <c r="T68" s="1291"/>
      <c r="U68" s="1291"/>
      <c r="V68" s="1291"/>
      <c r="W68" s="1291"/>
      <c r="X68" s="1291"/>
      <c r="Y68" s="1291"/>
      <c r="Z68" s="1291"/>
      <c r="AA68" s="1291"/>
      <c r="AB68" s="1292"/>
      <c r="AC68" s="31"/>
      <c r="DC68" s="307"/>
    </row>
    <row r="69" spans="2:107">
      <c r="B69" s="33"/>
      <c r="C69" s="1290"/>
      <c r="D69" s="1291"/>
      <c r="E69" s="1291"/>
      <c r="F69" s="1291"/>
      <c r="G69" s="1291"/>
      <c r="H69" s="1291"/>
      <c r="I69" s="1291"/>
      <c r="J69" s="1291"/>
      <c r="K69" s="1291"/>
      <c r="L69" s="1291"/>
      <c r="M69" s="1291"/>
      <c r="N69" s="1291"/>
      <c r="O69" s="1291"/>
      <c r="P69" s="1291"/>
      <c r="Q69" s="1291"/>
      <c r="R69" s="1291"/>
      <c r="S69" s="1291"/>
      <c r="T69" s="1291"/>
      <c r="U69" s="1291"/>
      <c r="V69" s="1291"/>
      <c r="W69" s="1291"/>
      <c r="X69" s="1291"/>
      <c r="Y69" s="1291"/>
      <c r="Z69" s="1291"/>
      <c r="AA69" s="1291"/>
      <c r="AB69" s="1292"/>
      <c r="AC69" s="31"/>
      <c r="DC69" s="307"/>
    </row>
    <row r="70" spans="2:107">
      <c r="B70" s="33"/>
      <c r="C70" s="33"/>
      <c r="AB70" s="31"/>
      <c r="AC70" s="31"/>
      <c r="DC70" s="307"/>
    </row>
    <row r="71" spans="2:107">
      <c r="B71" s="33"/>
      <c r="C71" s="33"/>
      <c r="AB71" s="31"/>
      <c r="AC71" s="31"/>
      <c r="DC71" s="307"/>
    </row>
    <row r="72" spans="2:107">
      <c r="B72" s="33"/>
      <c r="C72" s="1286" t="s">
        <v>93</v>
      </c>
      <c r="D72" s="1288" t="s">
        <v>160</v>
      </c>
      <c r="E72" s="1289" t="s">
        <v>161</v>
      </c>
      <c r="F72" s="1289"/>
      <c r="G72" s="1289"/>
      <c r="H72" s="1289"/>
      <c r="I72" s="1289"/>
      <c r="AB72" s="31"/>
      <c r="AC72" s="31"/>
      <c r="DC72" s="307"/>
    </row>
    <row r="73" spans="2:107" ht="44.45" customHeight="1">
      <c r="B73" s="33"/>
      <c r="C73" s="1287"/>
      <c r="D73" s="1288"/>
      <c r="E73" s="300" t="s">
        <v>78</v>
      </c>
      <c r="F73" s="300" t="s">
        <v>77</v>
      </c>
      <c r="G73" s="300" t="s">
        <v>76</v>
      </c>
      <c r="H73" s="300" t="s">
        <v>162</v>
      </c>
      <c r="I73" s="300" t="s">
        <v>144</v>
      </c>
      <c r="J73" s="299"/>
      <c r="AB73" s="31"/>
      <c r="AC73" s="31"/>
      <c r="DC73" s="307"/>
    </row>
    <row r="74" spans="2:107" ht="15.6">
      <c r="B74" s="33"/>
      <c r="C74" s="32">
        <v>1</v>
      </c>
      <c r="D74" s="1" t="s">
        <v>2</v>
      </c>
      <c r="E74" s="22">
        <f>COUNTIF('BASIC CAUSE INSIDEN'!$AM2:$AM13,DASHBOARD!$E$73)</f>
        <v>3</v>
      </c>
      <c r="F74" s="22">
        <f>COUNTIF('BASIC CAUSE INSIDEN'!$AM2:$AM13,DASHBOARD!$F$73)</f>
        <v>1</v>
      </c>
      <c r="G74" s="22">
        <f>COUNTIF('BASIC CAUSE INSIDEN'!$AM2:$AM13,DASHBOARD!$G$73)</f>
        <v>8</v>
      </c>
      <c r="H74" s="22">
        <f>COUNTIF('BASIC CAUSE INSIDEN'!$AM2:$AM13,DASHBOARD!$H$73)</f>
        <v>0</v>
      </c>
      <c r="I74" s="50">
        <f>SUM(E74:H74)</f>
        <v>12</v>
      </c>
      <c r="AB74" s="31"/>
      <c r="AC74" s="31"/>
      <c r="DC74" s="307"/>
    </row>
    <row r="75" spans="2:107" ht="15.6">
      <c r="B75" s="33"/>
      <c r="C75" s="32">
        <v>2</v>
      </c>
      <c r="D75" s="1" t="s">
        <v>3</v>
      </c>
      <c r="E75" s="22">
        <f>COUNTIF('BASIC CAUSE INSIDEN'!$AM14:$AM18,DASHBOARD!$E$73)</f>
        <v>0</v>
      </c>
      <c r="F75" s="22">
        <f>COUNTIF('BASIC CAUSE INSIDEN'!$AM14:$AM18,DASHBOARD!$F$73)</f>
        <v>1</v>
      </c>
      <c r="G75" s="22">
        <f>COUNTIF('BASIC CAUSE INSIDEN'!$AM14:$AM18,DASHBOARD!$G$73)</f>
        <v>4</v>
      </c>
      <c r="H75" s="22">
        <f>COUNTIF('BASIC CAUSE INSIDEN'!$AM14:$AM18,DASHBOARD!$H$73)</f>
        <v>0</v>
      </c>
      <c r="I75" s="50">
        <f>SUM(E75:H75)</f>
        <v>5</v>
      </c>
      <c r="AB75" s="31"/>
      <c r="AC75" s="31"/>
      <c r="DC75" s="307"/>
    </row>
    <row r="76" spans="2:107" ht="15.6">
      <c r="B76" s="33"/>
      <c r="C76" s="32">
        <v>3</v>
      </c>
      <c r="D76" s="1" t="s">
        <v>4</v>
      </c>
      <c r="E76" s="22">
        <f>COUNTIF('BASIC CAUSE INSIDEN'!$AM19:$AM25,DASHBOARD!$E$73)</f>
        <v>1</v>
      </c>
      <c r="F76" s="22">
        <f>COUNTIF('BASIC CAUSE INSIDEN'!$AM19:$AM25,DASHBOARD!$F$73)</f>
        <v>0</v>
      </c>
      <c r="G76" s="22">
        <f>COUNTIF('BASIC CAUSE INSIDEN'!$AM19:$AM25,DASHBOARD!$G$73)</f>
        <v>6</v>
      </c>
      <c r="H76" s="22">
        <f>COUNTIF('BASIC CAUSE INSIDEN'!$AM19:$AM25,DASHBOARD!$H$73)</f>
        <v>0</v>
      </c>
      <c r="I76" s="50">
        <f t="shared" ref="I76:I85" si="16">SUM(E76:H76)</f>
        <v>7</v>
      </c>
      <c r="AB76" s="31"/>
      <c r="AC76" s="31"/>
      <c r="DC76" s="307"/>
    </row>
    <row r="77" spans="2:107" ht="15.6">
      <c r="B77" s="33"/>
      <c r="C77" s="32">
        <v>4</v>
      </c>
      <c r="D77" s="1" t="s">
        <v>5</v>
      </c>
      <c r="E77" s="22">
        <f>COUNTIF('BASIC CAUSE INSIDEN'!$AM26:$AM34,DASHBOARD!$E$73)</f>
        <v>0</v>
      </c>
      <c r="F77" s="22">
        <f>COUNTIF('BASIC CAUSE INSIDEN'!$AM26:$AM34,DASHBOARD!$F$73)</f>
        <v>1</v>
      </c>
      <c r="G77" s="22">
        <f>COUNTIF('BASIC CAUSE INSIDEN'!$AM26:$AM34,DASHBOARD!$G$73)</f>
        <v>8</v>
      </c>
      <c r="H77" s="22">
        <f>COUNTIF('BASIC CAUSE INSIDEN'!$AM26:$AM34,DASHBOARD!$H$73)</f>
        <v>0</v>
      </c>
      <c r="I77" s="50">
        <f t="shared" si="16"/>
        <v>9</v>
      </c>
      <c r="AB77" s="31"/>
      <c r="AC77" s="31"/>
      <c r="DC77" s="307"/>
    </row>
    <row r="78" spans="2:107" ht="15.6">
      <c r="B78" s="33"/>
      <c r="C78" s="32">
        <v>5</v>
      </c>
      <c r="D78" s="1" t="s">
        <v>6</v>
      </c>
      <c r="E78" s="22">
        <f>COUNTIF('BASIC CAUSE INSIDEN'!$AM35:$AM44,DASHBOARD!$E$73)</f>
        <v>2</v>
      </c>
      <c r="F78" s="22">
        <f>COUNTIF('BASIC CAUSE INSIDEN'!$AM35:$AM44,DASHBOARD!$F$73)</f>
        <v>0</v>
      </c>
      <c r="G78" s="22">
        <f>COUNTIF('BASIC CAUSE INSIDEN'!$AM35:$AM44,DASHBOARD!$G$73)</f>
        <v>8</v>
      </c>
      <c r="H78" s="22">
        <f>COUNTIF('BASIC CAUSE INSIDEN'!$AM35:$AM44,DASHBOARD!$H$73)</f>
        <v>0</v>
      </c>
      <c r="I78" s="50">
        <f t="shared" si="16"/>
        <v>10</v>
      </c>
      <c r="AB78" s="31"/>
      <c r="AC78" s="31"/>
      <c r="DC78" s="307"/>
    </row>
    <row r="79" spans="2:107" ht="15.6">
      <c r="B79" s="33"/>
      <c r="C79" s="32">
        <v>6</v>
      </c>
      <c r="D79" s="1" t="s">
        <v>116</v>
      </c>
      <c r="E79" s="527"/>
      <c r="F79" s="527"/>
      <c r="G79" s="527"/>
      <c r="H79" s="527"/>
      <c r="I79" s="50">
        <f t="shared" si="16"/>
        <v>0</v>
      </c>
      <c r="AB79" s="31"/>
      <c r="AC79" s="31"/>
      <c r="DC79" s="307"/>
    </row>
    <row r="80" spans="2:107" ht="15.6">
      <c r="B80" s="33"/>
      <c r="C80" s="32">
        <v>7</v>
      </c>
      <c r="D80" s="1" t="s">
        <v>8</v>
      </c>
      <c r="E80" s="527"/>
      <c r="F80" s="527"/>
      <c r="G80" s="527"/>
      <c r="H80" s="527"/>
      <c r="I80" s="50">
        <f t="shared" si="16"/>
        <v>0</v>
      </c>
      <c r="AB80" s="31"/>
      <c r="AC80" s="31"/>
      <c r="DC80" s="307"/>
    </row>
    <row r="81" spans="1:107" ht="15.6">
      <c r="B81" s="33"/>
      <c r="C81" s="32">
        <v>8</v>
      </c>
      <c r="D81" s="1" t="s">
        <v>121</v>
      </c>
      <c r="E81" s="22"/>
      <c r="F81" s="22"/>
      <c r="G81" s="22"/>
      <c r="H81" s="22"/>
      <c r="I81" s="50">
        <f t="shared" si="16"/>
        <v>0</v>
      </c>
      <c r="AB81" s="31"/>
      <c r="AC81" s="31"/>
      <c r="DC81" s="307"/>
    </row>
    <row r="82" spans="1:107" ht="15.6">
      <c r="B82" s="33"/>
      <c r="C82" s="32">
        <v>9</v>
      </c>
      <c r="D82" s="1" t="s">
        <v>10</v>
      </c>
      <c r="E82" s="22"/>
      <c r="F82" s="22"/>
      <c r="G82" s="22"/>
      <c r="H82" s="22"/>
      <c r="I82" s="50">
        <f t="shared" si="16"/>
        <v>0</v>
      </c>
      <c r="AB82" s="31"/>
      <c r="AC82" s="31"/>
      <c r="DC82" s="307"/>
    </row>
    <row r="83" spans="1:107" ht="15.6">
      <c r="B83" s="33"/>
      <c r="C83" s="32">
        <v>10</v>
      </c>
      <c r="D83" s="1" t="s">
        <v>122</v>
      </c>
      <c r="E83" s="22"/>
      <c r="F83" s="22"/>
      <c r="G83" s="22"/>
      <c r="H83" s="22"/>
      <c r="I83" s="50">
        <f t="shared" si="16"/>
        <v>0</v>
      </c>
      <c r="AB83" s="31"/>
      <c r="AC83" s="31"/>
      <c r="DC83" s="307"/>
    </row>
    <row r="84" spans="1:107" ht="15.6">
      <c r="B84" s="33"/>
      <c r="C84" s="32">
        <v>11</v>
      </c>
      <c r="D84" s="1" t="s">
        <v>12</v>
      </c>
      <c r="E84" s="22"/>
      <c r="F84" s="22"/>
      <c r="G84" s="22"/>
      <c r="H84" s="22"/>
      <c r="I84" s="50">
        <f t="shared" si="16"/>
        <v>0</v>
      </c>
      <c r="AB84" s="31"/>
      <c r="AC84" s="31"/>
      <c r="DC84" s="307"/>
    </row>
    <row r="85" spans="1:107" ht="15.6">
      <c r="B85" s="33"/>
      <c r="C85" s="32">
        <v>12</v>
      </c>
      <c r="D85" s="1" t="s">
        <v>13</v>
      </c>
      <c r="E85" s="22"/>
      <c r="F85" s="22"/>
      <c r="G85" s="22"/>
      <c r="H85" s="22"/>
      <c r="I85" s="50">
        <f t="shared" si="16"/>
        <v>0</v>
      </c>
      <c r="AB85" s="31"/>
      <c r="AC85" s="31"/>
      <c r="DC85" s="307"/>
    </row>
    <row r="86" spans="1:107" ht="15.6">
      <c r="B86" s="33"/>
      <c r="C86" s="1303" t="s">
        <v>144</v>
      </c>
      <c r="D86" s="1304"/>
      <c r="E86" s="22">
        <f>SUM(E74:E85)</f>
        <v>6</v>
      </c>
      <c r="F86" s="22">
        <f>SUM(F74:F85)</f>
        <v>3</v>
      </c>
      <c r="G86" s="22">
        <f>SUM(G74:G85)</f>
        <v>34</v>
      </c>
      <c r="H86" s="22">
        <f>SUM(H74:H85)</f>
        <v>0</v>
      </c>
      <c r="I86" s="50">
        <f>SUM(I74:I85)</f>
        <v>43</v>
      </c>
      <c r="AB86" s="31"/>
      <c r="AC86" s="31"/>
      <c r="DC86" s="307"/>
    </row>
    <row r="87" spans="1:107" ht="15.6">
      <c r="B87" s="33"/>
      <c r="C87" s="1282" t="s">
        <v>163</v>
      </c>
      <c r="D87" s="1283"/>
      <c r="E87" s="304">
        <f>E86/$I86</f>
        <v>0.13953488372093023</v>
      </c>
      <c r="F87" s="304">
        <f>F86/$I86</f>
        <v>6.9767441860465115E-2</v>
      </c>
      <c r="G87" s="304">
        <f>G86/$I86</f>
        <v>0.79069767441860461</v>
      </c>
      <c r="H87" s="304">
        <f>H86/$I86</f>
        <v>0</v>
      </c>
      <c r="I87" s="304">
        <f>I86/$I86</f>
        <v>1</v>
      </c>
      <c r="AB87" s="31"/>
      <c r="AC87" s="31"/>
      <c r="DC87" s="307"/>
    </row>
    <row r="88" spans="1:107" ht="15.6">
      <c r="B88" s="33"/>
      <c r="C88" s="302"/>
      <c r="D88" s="303"/>
      <c r="E88" s="42"/>
      <c r="F88" s="42"/>
      <c r="G88" s="42"/>
      <c r="H88" s="42"/>
      <c r="I88" s="25"/>
      <c r="AB88" s="31"/>
      <c r="AC88" s="31"/>
      <c r="DC88" s="307"/>
    </row>
    <row r="89" spans="1:107" ht="15" thickBot="1">
      <c r="B89" s="33"/>
      <c r="C89" s="34"/>
      <c r="D89" s="35"/>
      <c r="E89" s="35"/>
      <c r="F89" s="35"/>
      <c r="G89" s="35"/>
      <c r="H89" s="35"/>
      <c r="I89" s="35"/>
      <c r="J89" s="35"/>
      <c r="K89" s="35"/>
      <c r="L89" s="35"/>
      <c r="M89" s="35"/>
      <c r="N89" s="35"/>
      <c r="O89" s="35"/>
      <c r="P89" s="35"/>
      <c r="Q89" s="35"/>
      <c r="R89" s="35"/>
      <c r="S89" s="139"/>
      <c r="T89" s="139"/>
      <c r="U89" s="139"/>
      <c r="V89" s="139"/>
      <c r="W89" s="139"/>
      <c r="X89" s="139"/>
      <c r="Y89" s="139"/>
      <c r="Z89" s="139"/>
      <c r="AA89" s="35"/>
      <c r="AB89" s="36"/>
      <c r="AC89" s="31"/>
      <c r="DC89" s="307"/>
    </row>
    <row r="90" spans="1:107">
      <c r="B90" s="33"/>
      <c r="AC90" s="31"/>
      <c r="DC90" s="307"/>
    </row>
    <row r="91" spans="1:107" ht="15" thickBot="1">
      <c r="B91" s="34"/>
      <c r="C91" s="35"/>
      <c r="D91" s="35"/>
      <c r="E91" s="35"/>
      <c r="F91" s="35"/>
      <c r="G91" s="35"/>
      <c r="H91" s="35"/>
      <c r="I91" s="35"/>
      <c r="J91" s="35"/>
      <c r="K91" s="35"/>
      <c r="L91" s="35"/>
      <c r="M91" s="35"/>
      <c r="N91" s="35"/>
      <c r="O91" s="35"/>
      <c r="P91" s="35"/>
      <c r="Q91" s="35"/>
      <c r="R91" s="35"/>
      <c r="S91" s="139"/>
      <c r="T91" s="139"/>
      <c r="U91" s="139"/>
      <c r="V91" s="139"/>
      <c r="W91" s="139"/>
      <c r="X91" s="139"/>
      <c r="Y91" s="139"/>
      <c r="Z91" s="139"/>
      <c r="AA91" s="35"/>
      <c r="AB91" s="35"/>
      <c r="AC91" s="36"/>
      <c r="DC91" s="307"/>
    </row>
    <row r="92" spans="1:107">
      <c r="DC92" s="307"/>
    </row>
    <row r="93" spans="1:107">
      <c r="DC93" s="307"/>
    </row>
    <row r="94" spans="1:107">
      <c r="DC94" s="307"/>
    </row>
    <row r="95" spans="1:107">
      <c r="A95" s="307"/>
      <c r="B95" s="307"/>
      <c r="C95" s="307"/>
      <c r="D95" s="307"/>
      <c r="E95" s="307"/>
      <c r="F95" s="307"/>
      <c r="G95" s="307"/>
      <c r="H95" s="307"/>
      <c r="I95" s="307"/>
      <c r="J95" s="307"/>
      <c r="K95" s="307"/>
      <c r="L95" s="307"/>
      <c r="M95" s="307"/>
      <c r="N95" s="307"/>
      <c r="O95" s="307"/>
      <c r="P95" s="307"/>
      <c r="Q95" s="307"/>
      <c r="R95" s="307"/>
      <c r="S95" s="435"/>
      <c r="T95" s="435"/>
      <c r="U95" s="435"/>
      <c r="V95" s="435"/>
      <c r="W95" s="435"/>
      <c r="X95" s="435"/>
      <c r="Y95" s="435"/>
      <c r="Z95" s="435"/>
      <c r="AA95" s="307"/>
      <c r="AB95" s="307"/>
      <c r="AC95" s="307"/>
      <c r="AD95" s="307"/>
      <c r="AF95" s="307"/>
      <c r="AG95" s="307"/>
      <c r="AH95" s="307"/>
      <c r="AI95" s="307"/>
      <c r="AJ95" s="307"/>
      <c r="AK95" s="307"/>
      <c r="AL95" s="307"/>
      <c r="AM95" s="307"/>
      <c r="AN95" s="307"/>
      <c r="AO95" s="307"/>
      <c r="AP95" s="307"/>
      <c r="AQ95" s="307"/>
      <c r="AR95" s="307"/>
      <c r="AS95" s="307"/>
      <c r="AT95" s="307"/>
      <c r="AU95" s="307"/>
      <c r="AV95" s="307"/>
      <c r="AW95" s="307"/>
      <c r="AX95" s="307"/>
      <c r="AY95" s="307"/>
      <c r="AZ95" s="307"/>
      <c r="BA95" s="307"/>
      <c r="BB95" s="307"/>
      <c r="BC95" s="307"/>
      <c r="BD95" s="307"/>
      <c r="BE95" s="307"/>
      <c r="BF95" s="307"/>
      <c r="BG95" s="307"/>
      <c r="BH95" s="307"/>
      <c r="BI95" s="307"/>
      <c r="BJ95" s="307"/>
      <c r="BK95" s="307"/>
      <c r="BL95" s="307"/>
      <c r="BM95" s="307"/>
      <c r="BN95" s="307"/>
      <c r="BO95" s="307"/>
      <c r="BP95" s="307"/>
      <c r="BQ95" s="307"/>
      <c r="BR95" s="307"/>
      <c r="BS95" s="307"/>
      <c r="BT95" s="307"/>
      <c r="BU95" s="307"/>
      <c r="BV95" s="307"/>
      <c r="BW95" s="307"/>
      <c r="BX95" s="307"/>
      <c r="BY95" s="307"/>
      <c r="BZ95" s="307"/>
      <c r="CA95" s="307"/>
      <c r="CB95" s="307"/>
      <c r="CC95" s="307"/>
      <c r="CD95" s="307"/>
      <c r="CE95" s="307"/>
      <c r="CF95" s="307"/>
      <c r="CG95" s="307"/>
      <c r="CH95" s="307"/>
      <c r="CI95" s="307"/>
      <c r="CJ95" s="307"/>
      <c r="CK95" s="307"/>
      <c r="CL95" s="307"/>
      <c r="CM95" s="307"/>
      <c r="CN95" s="307"/>
      <c r="CO95" s="307"/>
      <c r="CP95" s="307"/>
      <c r="CQ95" s="307"/>
      <c r="CR95" s="307"/>
      <c r="CS95" s="307"/>
      <c r="CT95" s="307"/>
      <c r="CU95" s="307"/>
      <c r="CV95" s="307"/>
      <c r="CW95" s="307"/>
      <c r="CX95" s="307"/>
      <c r="CY95" s="307"/>
      <c r="CZ95" s="307"/>
      <c r="DA95" s="307"/>
      <c r="DB95" s="307"/>
      <c r="DC95" s="307"/>
    </row>
    <row r="96" spans="1:107">
      <c r="A96" s="307"/>
      <c r="B96" s="307"/>
      <c r="C96" s="307"/>
      <c r="D96" s="307"/>
      <c r="E96" s="307"/>
      <c r="F96" s="307"/>
      <c r="G96" s="307"/>
      <c r="H96" s="307"/>
      <c r="I96" s="307"/>
      <c r="J96" s="307"/>
      <c r="K96" s="307"/>
      <c r="L96" s="307"/>
      <c r="M96" s="307"/>
      <c r="N96" s="307"/>
      <c r="O96" s="307"/>
      <c r="P96" s="307"/>
      <c r="Q96" s="307"/>
      <c r="R96" s="307"/>
      <c r="S96" s="435"/>
      <c r="T96" s="435"/>
      <c r="U96" s="435"/>
      <c r="V96" s="435"/>
      <c r="W96" s="435"/>
      <c r="X96" s="435"/>
      <c r="Y96" s="435"/>
      <c r="Z96" s="435"/>
      <c r="AA96" s="307"/>
      <c r="AB96" s="307"/>
      <c r="AC96" s="307"/>
      <c r="AD96" s="307"/>
      <c r="AF96" s="307"/>
      <c r="AG96" s="307"/>
      <c r="AH96" s="307"/>
      <c r="AI96" s="307"/>
      <c r="AJ96" s="307"/>
      <c r="AK96" s="307"/>
      <c r="AL96" s="307"/>
      <c r="AM96" s="307"/>
      <c r="AN96" s="307"/>
      <c r="AO96" s="307"/>
      <c r="AP96" s="307"/>
      <c r="AQ96" s="307"/>
      <c r="AR96" s="307"/>
      <c r="AS96" s="307"/>
      <c r="AT96" s="307"/>
      <c r="AU96" s="307"/>
      <c r="AV96" s="307"/>
      <c r="AW96" s="307"/>
      <c r="AX96" s="307"/>
      <c r="AY96" s="307"/>
      <c r="AZ96" s="307"/>
      <c r="BA96" s="307"/>
      <c r="BB96" s="307"/>
      <c r="BC96" s="307"/>
      <c r="BD96" s="307"/>
      <c r="BE96" s="307"/>
      <c r="BF96" s="307"/>
      <c r="BG96" s="307"/>
      <c r="BH96" s="307"/>
      <c r="BI96" s="307"/>
      <c r="BJ96" s="307"/>
      <c r="BK96" s="307"/>
      <c r="BL96" s="307"/>
      <c r="BM96" s="307"/>
      <c r="BN96" s="307"/>
      <c r="BO96" s="307"/>
      <c r="BP96" s="307"/>
      <c r="BQ96" s="307"/>
      <c r="BR96" s="307"/>
      <c r="BS96" s="307"/>
      <c r="BT96" s="307"/>
      <c r="BU96" s="307"/>
      <c r="BV96" s="307"/>
      <c r="BW96" s="307"/>
      <c r="BX96" s="307"/>
      <c r="BY96" s="307"/>
      <c r="BZ96" s="307"/>
      <c r="CA96" s="307"/>
      <c r="CB96" s="307"/>
      <c r="CC96" s="307"/>
      <c r="CD96" s="307"/>
      <c r="CE96" s="307"/>
      <c r="CF96" s="307"/>
      <c r="CG96" s="307"/>
      <c r="CH96" s="307"/>
      <c r="CI96" s="307"/>
      <c r="CJ96" s="307"/>
      <c r="CK96" s="307"/>
      <c r="CL96" s="307"/>
      <c r="CM96" s="307"/>
      <c r="CN96" s="307"/>
      <c r="CO96" s="307"/>
      <c r="CP96" s="307"/>
      <c r="CQ96" s="307"/>
      <c r="CR96" s="307"/>
      <c r="CS96" s="307"/>
      <c r="CT96" s="307"/>
      <c r="CU96" s="307"/>
      <c r="CV96" s="307"/>
      <c r="CW96" s="307"/>
      <c r="CX96" s="307"/>
      <c r="CY96" s="307"/>
      <c r="CZ96" s="307"/>
      <c r="DA96" s="307"/>
      <c r="DB96" s="307"/>
      <c r="DC96" s="307"/>
    </row>
    <row r="97" spans="31:31">
      <c r="AE97"/>
    </row>
    <row r="98" spans="31:31">
      <c r="AE98"/>
    </row>
    <row r="99" spans="31:31">
      <c r="AE99"/>
    </row>
    <row r="100" spans="31:31">
      <c r="AE100"/>
    </row>
    <row r="101" spans="31:31">
      <c r="AE101"/>
    </row>
    <row r="102" spans="31:31">
      <c r="AE102"/>
    </row>
    <row r="103" spans="31:31">
      <c r="AE103"/>
    </row>
    <row r="104" spans="31:31">
      <c r="AE104"/>
    </row>
    <row r="105" spans="31:31">
      <c r="AE105"/>
    </row>
    <row r="106" spans="31:31">
      <c r="AE106"/>
    </row>
    <row r="107" spans="31:31">
      <c r="AE107"/>
    </row>
    <row r="108" spans="31:31">
      <c r="AE108"/>
    </row>
    <row r="109" spans="31:31">
      <c r="AE109"/>
    </row>
    <row r="110" spans="31:31">
      <c r="AE110"/>
    </row>
    <row r="111" spans="31:31">
      <c r="AE111"/>
    </row>
    <row r="112" spans="31:31">
      <c r="AE112"/>
    </row>
    <row r="113" spans="31:31">
      <c r="AE113"/>
    </row>
    <row r="114" spans="31:31">
      <c r="AE114"/>
    </row>
    <row r="115" spans="31:31">
      <c r="AE115"/>
    </row>
    <row r="116" spans="31:31">
      <c r="AE116"/>
    </row>
    <row r="117" spans="31:31">
      <c r="AE117"/>
    </row>
    <row r="118" spans="31:31">
      <c r="AE118"/>
    </row>
    <row r="119" spans="31:31">
      <c r="AE119"/>
    </row>
    <row r="120" spans="31:31">
      <c r="AE120"/>
    </row>
    <row r="121" spans="31:31">
      <c r="AE121"/>
    </row>
    <row r="122" spans="31:31">
      <c r="AE122"/>
    </row>
    <row r="123" spans="31:31">
      <c r="AE123"/>
    </row>
    <row r="124" spans="31:31">
      <c r="AE124"/>
    </row>
    <row r="125" spans="31:31">
      <c r="AE125"/>
    </row>
    <row r="126" spans="31:31">
      <c r="AE126"/>
    </row>
    <row r="127" spans="31:31">
      <c r="AE127"/>
    </row>
    <row r="128" spans="31:31">
      <c r="AE128"/>
    </row>
    <row r="129" spans="31:31">
      <c r="AE129"/>
    </row>
    <row r="130" spans="31:31">
      <c r="AE130"/>
    </row>
    <row r="131" spans="31:31">
      <c r="AE131"/>
    </row>
    <row r="132" spans="31:31">
      <c r="AE132"/>
    </row>
    <row r="133" spans="31:31">
      <c r="AE133"/>
    </row>
    <row r="134" spans="31:31">
      <c r="AE134"/>
    </row>
    <row r="135" spans="31:31">
      <c r="AE135"/>
    </row>
    <row r="136" spans="31:31">
      <c r="AE136"/>
    </row>
    <row r="137" spans="31:31">
      <c r="AE137"/>
    </row>
    <row r="138" spans="31:31">
      <c r="AE138"/>
    </row>
    <row r="139" spans="31:31">
      <c r="AE139"/>
    </row>
    <row r="140" spans="31:31">
      <c r="AE140"/>
    </row>
    <row r="141" spans="31:31">
      <c r="AE141"/>
    </row>
    <row r="142" spans="31:31">
      <c r="AE142"/>
    </row>
    <row r="143" spans="31:31">
      <c r="AE143"/>
    </row>
    <row r="144" spans="31:31">
      <c r="AE144"/>
    </row>
    <row r="145" spans="31:31">
      <c r="AE145"/>
    </row>
    <row r="146" spans="31:31">
      <c r="AE146"/>
    </row>
    <row r="147" spans="31:31">
      <c r="AE147"/>
    </row>
    <row r="148" spans="31:31">
      <c r="AE148"/>
    </row>
    <row r="149" spans="31:31">
      <c r="AE149"/>
    </row>
    <row r="150" spans="31:31">
      <c r="AE150"/>
    </row>
    <row r="151" spans="31:31">
      <c r="AE151"/>
    </row>
    <row r="152" spans="31:31">
      <c r="AE152"/>
    </row>
    <row r="153" spans="31:31">
      <c r="AE153"/>
    </row>
    <row r="154" spans="31:31">
      <c r="AE154"/>
    </row>
    <row r="155" spans="31:31">
      <c r="AE155"/>
    </row>
    <row r="156" spans="31:31">
      <c r="AE156"/>
    </row>
    <row r="157" spans="31:31">
      <c r="AE157"/>
    </row>
    <row r="158" spans="31:31">
      <c r="AE158"/>
    </row>
    <row r="159" spans="31:31">
      <c r="AE159"/>
    </row>
    <row r="160" spans="31:31">
      <c r="AE160"/>
    </row>
    <row r="161" spans="31:31">
      <c r="AE161"/>
    </row>
    <row r="162" spans="31:31">
      <c r="AE162"/>
    </row>
    <row r="163" spans="31:31">
      <c r="AE163"/>
    </row>
    <row r="164" spans="31:31">
      <c r="AE164"/>
    </row>
    <row r="165" spans="31:31">
      <c r="AE165"/>
    </row>
    <row r="166" spans="31:31">
      <c r="AE166"/>
    </row>
    <row r="167" spans="31:31">
      <c r="AE167"/>
    </row>
    <row r="168" spans="31:31">
      <c r="AE168"/>
    </row>
    <row r="169" spans="31:31">
      <c r="AE169"/>
    </row>
    <row r="170" spans="31:31">
      <c r="AE170"/>
    </row>
    <row r="171" spans="31:31">
      <c r="AE171"/>
    </row>
    <row r="172" spans="31:31">
      <c r="AE172"/>
    </row>
    <row r="173" spans="31:31">
      <c r="AE173"/>
    </row>
    <row r="174" spans="31:31">
      <c r="AE174"/>
    </row>
    <row r="175" spans="31:31">
      <c r="AE175"/>
    </row>
    <row r="176" spans="31:31">
      <c r="AE176"/>
    </row>
    <row r="177" spans="31:31">
      <c r="AE177"/>
    </row>
    <row r="178" spans="31:31">
      <c r="AE178"/>
    </row>
    <row r="179" spans="31:31">
      <c r="AE179"/>
    </row>
    <row r="180" spans="31:31">
      <c r="AE180"/>
    </row>
    <row r="181" spans="31:31">
      <c r="AE181"/>
    </row>
    <row r="182" spans="31:31">
      <c r="AE182"/>
    </row>
    <row r="183" spans="31:31">
      <c r="AE183"/>
    </row>
    <row r="184" spans="31:31">
      <c r="AE184"/>
    </row>
    <row r="185" spans="31:31">
      <c r="AE185"/>
    </row>
    <row r="186" spans="31:31">
      <c r="AE186"/>
    </row>
    <row r="187" spans="31:31">
      <c r="AE187"/>
    </row>
    <row r="188" spans="31:31">
      <c r="AE188"/>
    </row>
    <row r="189" spans="31:31">
      <c r="AE189"/>
    </row>
    <row r="190" spans="31:31">
      <c r="AE190"/>
    </row>
    <row r="191" spans="31:31">
      <c r="AE191"/>
    </row>
    <row r="192" spans="31:31">
      <c r="AE192"/>
    </row>
    <row r="193" spans="31:31">
      <c r="AE193"/>
    </row>
    <row r="194" spans="31:31">
      <c r="AE194"/>
    </row>
    <row r="195" spans="31:31">
      <c r="AE195"/>
    </row>
    <row r="196" spans="31:31">
      <c r="AE196"/>
    </row>
    <row r="197" spans="31:31">
      <c r="AE197"/>
    </row>
    <row r="198" spans="31:31">
      <c r="AE198"/>
    </row>
    <row r="199" spans="31:31">
      <c r="AE199"/>
    </row>
    <row r="200" spans="31:31">
      <c r="AE200"/>
    </row>
    <row r="201" spans="31:31">
      <c r="AE201"/>
    </row>
    <row r="202" spans="31:31">
      <c r="AE202"/>
    </row>
    <row r="203" spans="31:31">
      <c r="AE203"/>
    </row>
    <row r="204" spans="31:31">
      <c r="AE204"/>
    </row>
    <row r="205" spans="31:31">
      <c r="AE205"/>
    </row>
    <row r="206" spans="31:31">
      <c r="AE206"/>
    </row>
    <row r="207" spans="31:31">
      <c r="AE207"/>
    </row>
    <row r="208" spans="31:31">
      <c r="AE208"/>
    </row>
    <row r="209" spans="31:31">
      <c r="AE209"/>
    </row>
    <row r="210" spans="31:31">
      <c r="AE210"/>
    </row>
    <row r="211" spans="31:31">
      <c r="AE211"/>
    </row>
    <row r="212" spans="31:31">
      <c r="AE212"/>
    </row>
    <row r="213" spans="31:31">
      <c r="AE213"/>
    </row>
    <row r="214" spans="31:31">
      <c r="AE214"/>
    </row>
    <row r="215" spans="31:31">
      <c r="AE215"/>
    </row>
    <row r="216" spans="31:31">
      <c r="AE216"/>
    </row>
    <row r="217" spans="31:31">
      <c r="AE217"/>
    </row>
    <row r="218" spans="31:31">
      <c r="AE218"/>
    </row>
    <row r="219" spans="31:31">
      <c r="AE219"/>
    </row>
    <row r="220" spans="31:31">
      <c r="AE220"/>
    </row>
    <row r="221" spans="31:31">
      <c r="AE221"/>
    </row>
    <row r="222" spans="31:31">
      <c r="AE222"/>
    </row>
    <row r="223" spans="31:31">
      <c r="AE223"/>
    </row>
    <row r="224" spans="31:31">
      <c r="AE224"/>
    </row>
    <row r="225" spans="31:31">
      <c r="AE225"/>
    </row>
    <row r="226" spans="31:31">
      <c r="AE226"/>
    </row>
    <row r="227" spans="31:31">
      <c r="AE227"/>
    </row>
    <row r="228" spans="31:31">
      <c r="AE228"/>
    </row>
    <row r="229" spans="31:31">
      <c r="AE229"/>
    </row>
    <row r="230" spans="31:31">
      <c r="AE230"/>
    </row>
    <row r="231" spans="31:31">
      <c r="AE231"/>
    </row>
    <row r="232" spans="31:31">
      <c r="AE232"/>
    </row>
    <row r="233" spans="31:31">
      <c r="AE233"/>
    </row>
    <row r="234" spans="31:31">
      <c r="AE234"/>
    </row>
    <row r="235" spans="31:31">
      <c r="AE235"/>
    </row>
    <row r="236" spans="31:31">
      <c r="AE236"/>
    </row>
    <row r="237" spans="31:31">
      <c r="AE237"/>
    </row>
    <row r="238" spans="31:31">
      <c r="AE238"/>
    </row>
    <row r="239" spans="31:31">
      <c r="AE239"/>
    </row>
    <row r="240" spans="31:31">
      <c r="AE240"/>
    </row>
    <row r="241" spans="31:31">
      <c r="AE241"/>
    </row>
    <row r="242" spans="31:31">
      <c r="AE242"/>
    </row>
    <row r="243" spans="31:31">
      <c r="AE243"/>
    </row>
    <row r="244" spans="31:31">
      <c r="AE244"/>
    </row>
    <row r="245" spans="31:31">
      <c r="AE245"/>
    </row>
    <row r="246" spans="31:31">
      <c r="AE246"/>
    </row>
    <row r="247" spans="31:31">
      <c r="AE247"/>
    </row>
    <row r="248" spans="31:31">
      <c r="AE248"/>
    </row>
    <row r="249" spans="31:31">
      <c r="AE249"/>
    </row>
    <row r="250" spans="31:31">
      <c r="AE250"/>
    </row>
    <row r="251" spans="31:31">
      <c r="AE251"/>
    </row>
    <row r="252" spans="31:31">
      <c r="AE252"/>
    </row>
    <row r="253" spans="31:31">
      <c r="AE253"/>
    </row>
    <row r="254" spans="31:31">
      <c r="AE254"/>
    </row>
    <row r="255" spans="31:31">
      <c r="AE255"/>
    </row>
    <row r="256" spans="31:31">
      <c r="AE256"/>
    </row>
    <row r="257" spans="31:31">
      <c r="AE257"/>
    </row>
    <row r="258" spans="31:31">
      <c r="AE258"/>
    </row>
    <row r="259" spans="31:31">
      <c r="AE259"/>
    </row>
    <row r="260" spans="31:31">
      <c r="AE260"/>
    </row>
    <row r="261" spans="31:31">
      <c r="AE261"/>
    </row>
    <row r="262" spans="31:31">
      <c r="AE262"/>
    </row>
    <row r="263" spans="31:31">
      <c r="AE263"/>
    </row>
    <row r="264" spans="31:31">
      <c r="AE264"/>
    </row>
    <row r="265" spans="31:31">
      <c r="AE265"/>
    </row>
    <row r="266" spans="31:31">
      <c r="AE266"/>
    </row>
    <row r="267" spans="31:31">
      <c r="AE267"/>
    </row>
    <row r="268" spans="31:31">
      <c r="AE268"/>
    </row>
    <row r="269" spans="31:31">
      <c r="AE269"/>
    </row>
    <row r="270" spans="31:31">
      <c r="AE270"/>
    </row>
    <row r="271" spans="31:31">
      <c r="AE271"/>
    </row>
    <row r="272" spans="31:31">
      <c r="AE272"/>
    </row>
    <row r="273" spans="31:31">
      <c r="AE273"/>
    </row>
    <row r="274" spans="31:31">
      <c r="AE274"/>
    </row>
    <row r="275" spans="31:31">
      <c r="AE275"/>
    </row>
    <row r="276" spans="31:31">
      <c r="AE276"/>
    </row>
    <row r="277" spans="31:31">
      <c r="AE277"/>
    </row>
    <row r="278" spans="31:31">
      <c r="AE278"/>
    </row>
    <row r="279" spans="31:31">
      <c r="AE279"/>
    </row>
    <row r="280" spans="31:31">
      <c r="AE280"/>
    </row>
    <row r="281" spans="31:31">
      <c r="AE281"/>
    </row>
    <row r="282" spans="31:31">
      <c r="AE282"/>
    </row>
    <row r="283" spans="31:31">
      <c r="AE283"/>
    </row>
    <row r="284" spans="31:31">
      <c r="AE284"/>
    </row>
    <row r="285" spans="31:31">
      <c r="AE285"/>
    </row>
    <row r="286" spans="31:31">
      <c r="AE286"/>
    </row>
    <row r="287" spans="31:31">
      <c r="AE287"/>
    </row>
    <row r="288" spans="31:31">
      <c r="AE288"/>
    </row>
    <row r="289" spans="31:31">
      <c r="AE289"/>
    </row>
    <row r="290" spans="31:31">
      <c r="AE290"/>
    </row>
    <row r="291" spans="31:31">
      <c r="AE291"/>
    </row>
    <row r="292" spans="31:31">
      <c r="AE292"/>
    </row>
    <row r="293" spans="31:31">
      <c r="AE293"/>
    </row>
    <row r="294" spans="31:31">
      <c r="AE294"/>
    </row>
    <row r="295" spans="31:31">
      <c r="AE295"/>
    </row>
    <row r="296" spans="31:31">
      <c r="AE296"/>
    </row>
    <row r="297" spans="31:31">
      <c r="AE297"/>
    </row>
    <row r="298" spans="31:31">
      <c r="AE298"/>
    </row>
    <row r="299" spans="31:31">
      <c r="AE299"/>
    </row>
    <row r="300" spans="31:31">
      <c r="AE300"/>
    </row>
    <row r="301" spans="31:31">
      <c r="AE301"/>
    </row>
    <row r="302" spans="31:31">
      <c r="AE302"/>
    </row>
    <row r="303" spans="31:31">
      <c r="AE303"/>
    </row>
    <row r="304" spans="31:31">
      <c r="AE304"/>
    </row>
    <row r="305" spans="31:31">
      <c r="AE305"/>
    </row>
    <row r="306" spans="31:31">
      <c r="AE306"/>
    </row>
    <row r="307" spans="31:31">
      <c r="AE307"/>
    </row>
    <row r="308" spans="31:31">
      <c r="AE308"/>
    </row>
    <row r="309" spans="31:31">
      <c r="AE309"/>
    </row>
    <row r="310" spans="31:31">
      <c r="AE310"/>
    </row>
    <row r="311" spans="31:31">
      <c r="AE311"/>
    </row>
    <row r="312" spans="31:31">
      <c r="AE312"/>
    </row>
    <row r="313" spans="31:31">
      <c r="AE313"/>
    </row>
    <row r="314" spans="31:31">
      <c r="AE314"/>
    </row>
    <row r="315" spans="31:31">
      <c r="AE315"/>
    </row>
    <row r="316" spans="31:31">
      <c r="AE316"/>
    </row>
    <row r="317" spans="31:31">
      <c r="AE317"/>
    </row>
    <row r="318" spans="31:31">
      <c r="AE318"/>
    </row>
    <row r="319" spans="31:31">
      <c r="AE319"/>
    </row>
    <row r="320" spans="31:31">
      <c r="AE320"/>
    </row>
    <row r="321" spans="31:31">
      <c r="AE321"/>
    </row>
    <row r="322" spans="31:31">
      <c r="AE322"/>
    </row>
    <row r="323" spans="31:31">
      <c r="AE323"/>
    </row>
    <row r="324" spans="31:31">
      <c r="AE324"/>
    </row>
    <row r="325" spans="31:31">
      <c r="AE325"/>
    </row>
    <row r="326" spans="31:31">
      <c r="AE326"/>
    </row>
    <row r="327" spans="31:31">
      <c r="AE327"/>
    </row>
    <row r="328" spans="31:31">
      <c r="AE328"/>
    </row>
    <row r="329" spans="31:31">
      <c r="AE329"/>
    </row>
    <row r="330" spans="31:31">
      <c r="AE330"/>
    </row>
    <row r="331" spans="31:31">
      <c r="AE331"/>
    </row>
    <row r="332" spans="31:31">
      <c r="AE332"/>
    </row>
    <row r="333" spans="31:31">
      <c r="AE333"/>
    </row>
    <row r="334" spans="31:31">
      <c r="AE334"/>
    </row>
    <row r="335" spans="31:31">
      <c r="AE335"/>
    </row>
    <row r="336" spans="31:31">
      <c r="AE336"/>
    </row>
    <row r="337" spans="31:31">
      <c r="AE337"/>
    </row>
    <row r="338" spans="31:31">
      <c r="AE338"/>
    </row>
    <row r="339" spans="31:31">
      <c r="AE339"/>
    </row>
    <row r="340" spans="31:31">
      <c r="AE340"/>
    </row>
    <row r="341" spans="31:31">
      <c r="AE341"/>
    </row>
    <row r="342" spans="31:31">
      <c r="AE342"/>
    </row>
    <row r="343" spans="31:31">
      <c r="AE343"/>
    </row>
    <row r="344" spans="31:31">
      <c r="AE344"/>
    </row>
    <row r="345" spans="31:31">
      <c r="AE345"/>
    </row>
    <row r="346" spans="31:31">
      <c r="AE346"/>
    </row>
    <row r="347" spans="31:31">
      <c r="AE347"/>
    </row>
    <row r="348" spans="31:31">
      <c r="AE348"/>
    </row>
    <row r="349" spans="31:31">
      <c r="AE349"/>
    </row>
    <row r="350" spans="31:31">
      <c r="AE350"/>
    </row>
    <row r="351" spans="31:31">
      <c r="AE351"/>
    </row>
    <row r="352" spans="31:31">
      <c r="AE352"/>
    </row>
    <row r="353" spans="31:31">
      <c r="AE353"/>
    </row>
    <row r="354" spans="31:31">
      <c r="AE354"/>
    </row>
    <row r="355" spans="31:31">
      <c r="AE355"/>
    </row>
    <row r="356" spans="31:31">
      <c r="AE356"/>
    </row>
    <row r="357" spans="31:31">
      <c r="AE357"/>
    </row>
    <row r="358" spans="31:31">
      <c r="AE358"/>
    </row>
    <row r="359" spans="31:31">
      <c r="AE359"/>
    </row>
    <row r="360" spans="31:31">
      <c r="AE360"/>
    </row>
    <row r="361" spans="31:31">
      <c r="AE361"/>
    </row>
    <row r="362" spans="31:31">
      <c r="AE362"/>
    </row>
    <row r="363" spans="31:31">
      <c r="AE363"/>
    </row>
    <row r="364" spans="31:31">
      <c r="AE364"/>
    </row>
    <row r="365" spans="31:31">
      <c r="AE365"/>
    </row>
    <row r="366" spans="31:31">
      <c r="AE366"/>
    </row>
    <row r="367" spans="31:31">
      <c r="AE367"/>
    </row>
    <row r="368" spans="31:31">
      <c r="AE368"/>
    </row>
    <row r="369" spans="31:31">
      <c r="AE369"/>
    </row>
    <row r="370" spans="31:31">
      <c r="AE370"/>
    </row>
    <row r="371" spans="31:31">
      <c r="AE371"/>
    </row>
    <row r="372" spans="31:31">
      <c r="AE372"/>
    </row>
    <row r="373" spans="31:31">
      <c r="AE373"/>
    </row>
    <row r="374" spans="31:31">
      <c r="AE374"/>
    </row>
    <row r="375" spans="31:31">
      <c r="AE375"/>
    </row>
    <row r="376" spans="31:31">
      <c r="AE376"/>
    </row>
    <row r="377" spans="31:31">
      <c r="AE377"/>
    </row>
    <row r="378" spans="31:31">
      <c r="AE378"/>
    </row>
    <row r="379" spans="31:31">
      <c r="AE379"/>
    </row>
    <row r="380" spans="31:31">
      <c r="AE380"/>
    </row>
    <row r="381" spans="31:31">
      <c r="AE381"/>
    </row>
    <row r="382" spans="31:31">
      <c r="AE382"/>
    </row>
    <row r="383" spans="31:31">
      <c r="AE383"/>
    </row>
    <row r="384" spans="31:31">
      <c r="AE384"/>
    </row>
    <row r="385" spans="31:31">
      <c r="AE385"/>
    </row>
    <row r="386" spans="31:31">
      <c r="AE386"/>
    </row>
    <row r="387" spans="31:31">
      <c r="AE387"/>
    </row>
    <row r="388" spans="31:31">
      <c r="AE388"/>
    </row>
    <row r="389" spans="31:31">
      <c r="AE389"/>
    </row>
    <row r="390" spans="31:31">
      <c r="AE390"/>
    </row>
    <row r="391" spans="31:31">
      <c r="AE391"/>
    </row>
    <row r="392" spans="31:31">
      <c r="AE392"/>
    </row>
    <row r="393" spans="31:31">
      <c r="AE393"/>
    </row>
    <row r="394" spans="31:31">
      <c r="AE394"/>
    </row>
    <row r="395" spans="31:31">
      <c r="AE395"/>
    </row>
    <row r="396" spans="31:31">
      <c r="AE396"/>
    </row>
    <row r="397" spans="31:31">
      <c r="AE397"/>
    </row>
    <row r="398" spans="31:31">
      <c r="AE398"/>
    </row>
    <row r="399" spans="31:31">
      <c r="AE399"/>
    </row>
    <row r="400" spans="31:31">
      <c r="AE400"/>
    </row>
    <row r="401" spans="31:31">
      <c r="AE401"/>
    </row>
    <row r="402" spans="31:31">
      <c r="AE402"/>
    </row>
    <row r="403" spans="31:31">
      <c r="AE403"/>
    </row>
    <row r="404" spans="31:31">
      <c r="AE404"/>
    </row>
    <row r="405" spans="31:31">
      <c r="AE405"/>
    </row>
    <row r="406" spans="31:31">
      <c r="AE406"/>
    </row>
    <row r="407" spans="31:31">
      <c r="AE407"/>
    </row>
    <row r="408" spans="31:31">
      <c r="AE408"/>
    </row>
    <row r="409" spans="31:31">
      <c r="AE409"/>
    </row>
    <row r="410" spans="31:31">
      <c r="AE410"/>
    </row>
    <row r="411" spans="31:31">
      <c r="AE411"/>
    </row>
    <row r="412" spans="31:31">
      <c r="AE412"/>
    </row>
    <row r="413" spans="31:31">
      <c r="AE413"/>
    </row>
    <row r="414" spans="31:31">
      <c r="AE414"/>
    </row>
    <row r="415" spans="31:31">
      <c r="AE415"/>
    </row>
    <row r="416" spans="31:31">
      <c r="AE416"/>
    </row>
    <row r="417" spans="31:31">
      <c r="AE417"/>
    </row>
    <row r="418" spans="31:31">
      <c r="AE418"/>
    </row>
    <row r="419" spans="31:31">
      <c r="AE419"/>
    </row>
    <row r="420" spans="31:31">
      <c r="AE420"/>
    </row>
    <row r="421" spans="31:31">
      <c r="AE421"/>
    </row>
    <row r="422" spans="31:31">
      <c r="AE422"/>
    </row>
    <row r="423" spans="31:31">
      <c r="AE423"/>
    </row>
    <row r="424" spans="31:31">
      <c r="AE424"/>
    </row>
    <row r="425" spans="31:31">
      <c r="AE425"/>
    </row>
    <row r="426" spans="31:31">
      <c r="AE426"/>
    </row>
    <row r="427" spans="31:31">
      <c r="AE427"/>
    </row>
    <row r="428" spans="31:31">
      <c r="AE428"/>
    </row>
    <row r="429" spans="31:31">
      <c r="AE429"/>
    </row>
    <row r="430" spans="31:31">
      <c r="AE430"/>
    </row>
    <row r="431" spans="31:31">
      <c r="AE431"/>
    </row>
    <row r="432" spans="31:31">
      <c r="AE432"/>
    </row>
    <row r="433" spans="31:31">
      <c r="AE433"/>
    </row>
    <row r="434" spans="31:31">
      <c r="AE434"/>
    </row>
    <row r="435" spans="31:31">
      <c r="AE435"/>
    </row>
    <row r="436" spans="31:31">
      <c r="AE436"/>
    </row>
    <row r="437" spans="31:31">
      <c r="AE437"/>
    </row>
    <row r="438" spans="31:31">
      <c r="AE438"/>
    </row>
    <row r="439" spans="31:31">
      <c r="AE439"/>
    </row>
    <row r="440" spans="31:31">
      <c r="AE440"/>
    </row>
    <row r="441" spans="31:31">
      <c r="AE441"/>
    </row>
    <row r="442" spans="31:31">
      <c r="AE442"/>
    </row>
    <row r="443" spans="31:31">
      <c r="AE443"/>
    </row>
    <row r="444" spans="31:31">
      <c r="AE444"/>
    </row>
    <row r="445" spans="31:31">
      <c r="AE445"/>
    </row>
    <row r="446" spans="31:31">
      <c r="AE446"/>
    </row>
    <row r="447" spans="31:31">
      <c r="AE447"/>
    </row>
    <row r="448" spans="31:31">
      <c r="AE448"/>
    </row>
    <row r="449" spans="31:31">
      <c r="AE449"/>
    </row>
    <row r="450" spans="31:31">
      <c r="AE450"/>
    </row>
    <row r="451" spans="31:31">
      <c r="AE451"/>
    </row>
    <row r="452" spans="31:31">
      <c r="AE452"/>
    </row>
    <row r="453" spans="31:31">
      <c r="AE453"/>
    </row>
    <row r="454" spans="31:31">
      <c r="AE454"/>
    </row>
    <row r="455" spans="31:31">
      <c r="AE455"/>
    </row>
    <row r="456" spans="31:31">
      <c r="AE456"/>
    </row>
    <row r="457" spans="31:31">
      <c r="AE457"/>
    </row>
    <row r="458" spans="31:31">
      <c r="AE458"/>
    </row>
    <row r="459" spans="31:31">
      <c r="AE459"/>
    </row>
    <row r="460" spans="31:31">
      <c r="AE460"/>
    </row>
    <row r="461" spans="31:31">
      <c r="AE461"/>
    </row>
    <row r="462" spans="31:31">
      <c r="AE462"/>
    </row>
    <row r="463" spans="31:31">
      <c r="AE463"/>
    </row>
    <row r="464" spans="31:31">
      <c r="AE464"/>
    </row>
    <row r="465" spans="31:31">
      <c r="AE465"/>
    </row>
    <row r="466" spans="31:31">
      <c r="AE466"/>
    </row>
    <row r="467" spans="31:31">
      <c r="AE467"/>
    </row>
    <row r="468" spans="31:31">
      <c r="AE468"/>
    </row>
    <row r="469" spans="31:31">
      <c r="AE469"/>
    </row>
    <row r="470" spans="31:31">
      <c r="AE470"/>
    </row>
    <row r="471" spans="31:31">
      <c r="AE471"/>
    </row>
    <row r="472" spans="31:31">
      <c r="AE472"/>
    </row>
    <row r="473" spans="31:31">
      <c r="AE473"/>
    </row>
    <row r="474" spans="31:31">
      <c r="AE474"/>
    </row>
    <row r="475" spans="31:31">
      <c r="AE475"/>
    </row>
    <row r="476" spans="31:31">
      <c r="AE476"/>
    </row>
    <row r="477" spans="31:31">
      <c r="AE477"/>
    </row>
    <row r="478" spans="31:31">
      <c r="AE478"/>
    </row>
    <row r="479" spans="31:31">
      <c r="AE479"/>
    </row>
    <row r="480" spans="31:31">
      <c r="AE480"/>
    </row>
    <row r="481" spans="31:31">
      <c r="AE481"/>
    </row>
    <row r="482" spans="31:31">
      <c r="AE482"/>
    </row>
    <row r="483" spans="31:31">
      <c r="AE483"/>
    </row>
    <row r="484" spans="31:31">
      <c r="AE484"/>
    </row>
    <row r="485" spans="31:31">
      <c r="AE485"/>
    </row>
    <row r="486" spans="31:31">
      <c r="AE486"/>
    </row>
    <row r="487" spans="31:31">
      <c r="AE487"/>
    </row>
    <row r="488" spans="31:31">
      <c r="AE488"/>
    </row>
    <row r="489" spans="31:31">
      <c r="AE489"/>
    </row>
    <row r="490" spans="31:31">
      <c r="AE490"/>
    </row>
    <row r="491" spans="31:31">
      <c r="AE491"/>
    </row>
    <row r="492" spans="31:31">
      <c r="AE492"/>
    </row>
    <row r="493" spans="31:31">
      <c r="AE493"/>
    </row>
    <row r="494" spans="31:31">
      <c r="AE494"/>
    </row>
    <row r="495" spans="31:31">
      <c r="AE495"/>
    </row>
    <row r="496" spans="31:31">
      <c r="AE496"/>
    </row>
    <row r="497" spans="31:31">
      <c r="AE497"/>
    </row>
    <row r="498" spans="31:31">
      <c r="AE498"/>
    </row>
    <row r="499" spans="31:31">
      <c r="AE499"/>
    </row>
    <row r="500" spans="31:31">
      <c r="AE500"/>
    </row>
    <row r="501" spans="31:31">
      <c r="AE501"/>
    </row>
    <row r="502" spans="31:31">
      <c r="AE502"/>
    </row>
    <row r="503" spans="31:31">
      <c r="AE503"/>
    </row>
    <row r="504" spans="31:31">
      <c r="AE504"/>
    </row>
    <row r="505" spans="31:31">
      <c r="AE505"/>
    </row>
    <row r="506" spans="31:31">
      <c r="AE506"/>
    </row>
    <row r="507" spans="31:31">
      <c r="AE507"/>
    </row>
    <row r="508" spans="31:31">
      <c r="AE508"/>
    </row>
    <row r="509" spans="31:31">
      <c r="AE509"/>
    </row>
    <row r="510" spans="31:31">
      <c r="AE510"/>
    </row>
    <row r="511" spans="31:31">
      <c r="AE511"/>
    </row>
    <row r="512" spans="31:31">
      <c r="AE512"/>
    </row>
    <row r="513" spans="31:31">
      <c r="AE513"/>
    </row>
    <row r="514" spans="31:31">
      <c r="AE514"/>
    </row>
    <row r="515" spans="31:31">
      <c r="AE515"/>
    </row>
    <row r="516" spans="31:31">
      <c r="AE516"/>
    </row>
    <row r="517" spans="31:31">
      <c r="AE517"/>
    </row>
    <row r="518" spans="31:31">
      <c r="AE518"/>
    </row>
    <row r="519" spans="31:31">
      <c r="AE519"/>
    </row>
    <row r="520" spans="31:31">
      <c r="AE520"/>
    </row>
    <row r="521" spans="31:31">
      <c r="AE521"/>
    </row>
    <row r="522" spans="31:31">
      <c r="AE522"/>
    </row>
    <row r="523" spans="31:31">
      <c r="AE523"/>
    </row>
    <row r="524" spans="31:31">
      <c r="AE524"/>
    </row>
    <row r="525" spans="31:31">
      <c r="AE525"/>
    </row>
    <row r="526" spans="31:31">
      <c r="AE526"/>
    </row>
    <row r="527" spans="31:31">
      <c r="AE527"/>
    </row>
    <row r="528" spans="31:31">
      <c r="AE528"/>
    </row>
    <row r="529" spans="31:31">
      <c r="AE529"/>
    </row>
    <row r="530" spans="31:31">
      <c r="AE530"/>
    </row>
    <row r="531" spans="31:31">
      <c r="AE531"/>
    </row>
    <row r="532" spans="31:31">
      <c r="AE532"/>
    </row>
    <row r="533" spans="31:31">
      <c r="AE533"/>
    </row>
    <row r="534" spans="31:31">
      <c r="AE534"/>
    </row>
    <row r="535" spans="31:31">
      <c r="AE535"/>
    </row>
    <row r="536" spans="31:31">
      <c r="AE536"/>
    </row>
    <row r="537" spans="31:31">
      <c r="AE537"/>
    </row>
    <row r="538" spans="31:31">
      <c r="AE538"/>
    </row>
    <row r="539" spans="31:31">
      <c r="AE539"/>
    </row>
    <row r="540" spans="31:31">
      <c r="AE540"/>
    </row>
    <row r="541" spans="31:31">
      <c r="AE541"/>
    </row>
    <row r="542" spans="31:31">
      <c r="AE542"/>
    </row>
    <row r="543" spans="31:31">
      <c r="AE543"/>
    </row>
    <row r="544" spans="31:31">
      <c r="AE544"/>
    </row>
    <row r="545" spans="31:31">
      <c r="AE545"/>
    </row>
    <row r="546" spans="31:31">
      <c r="AE546"/>
    </row>
    <row r="547" spans="31:31">
      <c r="AE547"/>
    </row>
    <row r="548" spans="31:31">
      <c r="AE548"/>
    </row>
    <row r="549" spans="31:31">
      <c r="AE549"/>
    </row>
    <row r="550" spans="31:31">
      <c r="AE550"/>
    </row>
    <row r="551" spans="31:31">
      <c r="AE551"/>
    </row>
    <row r="552" spans="31:31">
      <c r="AE552"/>
    </row>
    <row r="553" spans="31:31">
      <c r="AE553"/>
    </row>
    <row r="554" spans="31:31">
      <c r="AE554"/>
    </row>
    <row r="555" spans="31:31">
      <c r="AE555"/>
    </row>
    <row r="556" spans="31:31">
      <c r="AE556"/>
    </row>
    <row r="557" spans="31:31">
      <c r="AE557"/>
    </row>
    <row r="558" spans="31:31">
      <c r="AE558"/>
    </row>
    <row r="559" spans="31:31">
      <c r="AE559"/>
    </row>
    <row r="560" spans="31:31">
      <c r="AE560"/>
    </row>
    <row r="561" spans="31:31">
      <c r="AE561"/>
    </row>
    <row r="562" spans="31:31">
      <c r="AE562"/>
    </row>
    <row r="563" spans="31:31">
      <c r="AE563"/>
    </row>
    <row r="564" spans="31:31">
      <c r="AE564"/>
    </row>
    <row r="565" spans="31:31">
      <c r="AE565"/>
    </row>
    <row r="566" spans="31:31">
      <c r="AE566"/>
    </row>
    <row r="567" spans="31:31">
      <c r="AE567"/>
    </row>
    <row r="568" spans="31:31">
      <c r="AE568"/>
    </row>
    <row r="569" spans="31:31">
      <c r="AE569"/>
    </row>
    <row r="570" spans="31:31">
      <c r="AE570"/>
    </row>
    <row r="571" spans="31:31">
      <c r="AE571"/>
    </row>
    <row r="572" spans="31:31">
      <c r="AE572"/>
    </row>
    <row r="573" spans="31:31">
      <c r="AE573"/>
    </row>
    <row r="574" spans="31:31">
      <c r="AE574"/>
    </row>
    <row r="575" spans="31:31">
      <c r="AE575"/>
    </row>
    <row r="576" spans="31:31">
      <c r="AE576"/>
    </row>
    <row r="577" spans="31:31">
      <c r="AE577"/>
    </row>
    <row r="578" spans="31:31">
      <c r="AE578"/>
    </row>
    <row r="579" spans="31:31">
      <c r="AE579"/>
    </row>
    <row r="580" spans="31:31">
      <c r="AE580"/>
    </row>
    <row r="581" spans="31:31">
      <c r="AE581"/>
    </row>
    <row r="582" spans="31:31">
      <c r="AE582"/>
    </row>
    <row r="583" spans="31:31">
      <c r="AE583"/>
    </row>
    <row r="584" spans="31:31">
      <c r="AE584"/>
    </row>
    <row r="585" spans="31:31">
      <c r="AE585"/>
    </row>
    <row r="586" spans="31:31">
      <c r="AE586"/>
    </row>
    <row r="587" spans="31:31">
      <c r="AE587"/>
    </row>
    <row r="588" spans="31:31">
      <c r="AE588"/>
    </row>
    <row r="589" spans="31:31">
      <c r="AE589"/>
    </row>
    <row r="590" spans="31:31">
      <c r="AE590"/>
    </row>
    <row r="591" spans="31:31">
      <c r="AE591"/>
    </row>
    <row r="592" spans="31:31">
      <c r="AE592"/>
    </row>
    <row r="593" spans="31:31">
      <c r="AE593"/>
    </row>
    <row r="594" spans="31:31">
      <c r="AE594"/>
    </row>
    <row r="595" spans="31:31">
      <c r="AE595"/>
    </row>
    <row r="596" spans="31:31">
      <c r="AE596"/>
    </row>
    <row r="597" spans="31:31">
      <c r="AE597"/>
    </row>
    <row r="598" spans="31:31">
      <c r="AE598"/>
    </row>
    <row r="599" spans="31:31">
      <c r="AE599"/>
    </row>
    <row r="600" spans="31:31">
      <c r="AE600"/>
    </row>
    <row r="601" spans="31:31">
      <c r="AE601"/>
    </row>
    <row r="602" spans="31:31">
      <c r="AE602"/>
    </row>
    <row r="603" spans="31:31">
      <c r="AE603"/>
    </row>
    <row r="604" spans="31:31">
      <c r="AE604"/>
    </row>
    <row r="605" spans="31:31">
      <c r="AE605"/>
    </row>
    <row r="606" spans="31:31">
      <c r="AE606"/>
    </row>
    <row r="607" spans="31:31">
      <c r="AE607"/>
    </row>
    <row r="608" spans="31:31">
      <c r="AE608"/>
    </row>
    <row r="609" spans="31:31">
      <c r="AE609"/>
    </row>
    <row r="610" spans="31:31">
      <c r="AE610"/>
    </row>
    <row r="611" spans="31:31">
      <c r="AE611"/>
    </row>
    <row r="612" spans="31:31">
      <c r="AE612"/>
    </row>
    <row r="613" spans="31:31">
      <c r="AE613"/>
    </row>
    <row r="614" spans="31:31">
      <c r="AE614"/>
    </row>
    <row r="615" spans="31:31">
      <c r="AE615"/>
    </row>
    <row r="616" spans="31:31">
      <c r="AE616"/>
    </row>
    <row r="617" spans="31:31">
      <c r="AE617"/>
    </row>
    <row r="618" spans="31:31">
      <c r="AE618"/>
    </row>
    <row r="619" spans="31:31">
      <c r="AE619"/>
    </row>
    <row r="620" spans="31:31">
      <c r="AE620"/>
    </row>
    <row r="621" spans="31:31">
      <c r="AE621"/>
    </row>
    <row r="622" spans="31:31">
      <c r="AE622"/>
    </row>
    <row r="623" spans="31:31">
      <c r="AE623"/>
    </row>
    <row r="624" spans="31:31">
      <c r="AE624"/>
    </row>
    <row r="625" spans="31:31">
      <c r="AE625"/>
    </row>
    <row r="626" spans="31:31">
      <c r="AE626"/>
    </row>
    <row r="627" spans="31:31">
      <c r="AE627"/>
    </row>
    <row r="628" spans="31:31">
      <c r="AE628"/>
    </row>
    <row r="629" spans="31:31">
      <c r="AE629"/>
    </row>
    <row r="630" spans="31:31">
      <c r="AE630"/>
    </row>
    <row r="631" spans="31:31">
      <c r="AE631"/>
    </row>
    <row r="632" spans="31:31">
      <c r="AE632"/>
    </row>
    <row r="633" spans="31:31">
      <c r="AE633"/>
    </row>
    <row r="634" spans="31:31">
      <c r="AE634"/>
    </row>
    <row r="635" spans="31:31">
      <c r="AE635"/>
    </row>
    <row r="636" spans="31:31">
      <c r="AE636"/>
    </row>
    <row r="637" spans="31:31">
      <c r="AE637"/>
    </row>
    <row r="638" spans="31:31">
      <c r="AE638"/>
    </row>
    <row r="639" spans="31:31">
      <c r="AE639"/>
    </row>
    <row r="640" spans="31:31">
      <c r="AE640"/>
    </row>
    <row r="641" spans="31:31">
      <c r="AE641"/>
    </row>
    <row r="642" spans="31:31">
      <c r="AE642"/>
    </row>
    <row r="643" spans="31:31">
      <c r="AE643"/>
    </row>
    <row r="644" spans="31:31">
      <c r="AE644"/>
    </row>
    <row r="645" spans="31:31">
      <c r="AE645"/>
    </row>
    <row r="646" spans="31:31">
      <c r="AE646"/>
    </row>
    <row r="647" spans="31:31">
      <c r="AE647"/>
    </row>
    <row r="648" spans="31:31">
      <c r="AE648"/>
    </row>
    <row r="649" spans="31:31">
      <c r="AE649"/>
    </row>
    <row r="650" spans="31:31">
      <c r="AE650"/>
    </row>
    <row r="651" spans="31:31">
      <c r="AE651"/>
    </row>
    <row r="652" spans="31:31">
      <c r="AE652"/>
    </row>
    <row r="653" spans="31:31">
      <c r="AE653"/>
    </row>
    <row r="654" spans="31:31">
      <c r="AE654"/>
    </row>
    <row r="655" spans="31:31">
      <c r="AE655"/>
    </row>
    <row r="656" spans="31:31">
      <c r="AE656"/>
    </row>
    <row r="657" spans="31:31">
      <c r="AE657"/>
    </row>
    <row r="658" spans="31:31">
      <c r="AE658"/>
    </row>
    <row r="659" spans="31:31">
      <c r="AE659"/>
    </row>
    <row r="660" spans="31:31">
      <c r="AE660"/>
    </row>
    <row r="661" spans="31:31">
      <c r="AE661"/>
    </row>
    <row r="662" spans="31:31">
      <c r="AE662"/>
    </row>
    <row r="663" spans="31:31">
      <c r="AE663"/>
    </row>
    <row r="664" spans="31:31">
      <c r="AE664"/>
    </row>
    <row r="665" spans="31:31">
      <c r="AE665"/>
    </row>
    <row r="666" spans="31:31">
      <c r="AE666"/>
    </row>
    <row r="667" spans="31:31">
      <c r="AE667"/>
    </row>
    <row r="668" spans="31:31">
      <c r="AE668"/>
    </row>
    <row r="669" spans="31:31">
      <c r="AE669"/>
    </row>
    <row r="670" spans="31:31">
      <c r="AE670"/>
    </row>
    <row r="671" spans="31:31">
      <c r="AE671"/>
    </row>
    <row r="672" spans="31:31">
      <c r="AE672"/>
    </row>
    <row r="673" spans="31:31">
      <c r="AE673"/>
    </row>
    <row r="674" spans="31:31">
      <c r="AE674"/>
    </row>
    <row r="675" spans="31:31">
      <c r="AE675"/>
    </row>
    <row r="676" spans="31:31">
      <c r="AE676"/>
    </row>
    <row r="677" spans="31:31">
      <c r="AE677"/>
    </row>
    <row r="678" spans="31:31">
      <c r="AE678"/>
    </row>
    <row r="679" spans="31:31">
      <c r="AE679"/>
    </row>
    <row r="680" spans="31:31">
      <c r="AE680"/>
    </row>
    <row r="681" spans="31:31">
      <c r="AE681"/>
    </row>
    <row r="682" spans="31:31">
      <c r="AE682"/>
    </row>
    <row r="683" spans="31:31">
      <c r="AE683"/>
    </row>
    <row r="684" spans="31:31">
      <c r="AE684"/>
    </row>
    <row r="685" spans="31:31">
      <c r="AE685"/>
    </row>
    <row r="686" spans="31:31">
      <c r="AE686"/>
    </row>
    <row r="687" spans="31:31">
      <c r="AE687"/>
    </row>
    <row r="688" spans="31:31">
      <c r="AE688"/>
    </row>
    <row r="689" spans="31:31">
      <c r="AE689"/>
    </row>
    <row r="690" spans="31:31">
      <c r="AE690"/>
    </row>
    <row r="691" spans="31:31">
      <c r="AE691"/>
    </row>
    <row r="692" spans="31:31">
      <c r="AE692"/>
    </row>
    <row r="693" spans="31:31">
      <c r="AE693"/>
    </row>
    <row r="694" spans="31:31">
      <c r="AE694"/>
    </row>
    <row r="695" spans="31:31">
      <c r="AE695"/>
    </row>
    <row r="696" spans="31:31">
      <c r="AE696"/>
    </row>
    <row r="697" spans="31:31">
      <c r="AE697"/>
    </row>
    <row r="698" spans="31:31">
      <c r="AE698"/>
    </row>
    <row r="699" spans="31:31">
      <c r="AE699"/>
    </row>
    <row r="700" spans="31:31">
      <c r="AE700"/>
    </row>
    <row r="701" spans="31:31">
      <c r="AE701"/>
    </row>
    <row r="702" spans="31:31">
      <c r="AE702"/>
    </row>
    <row r="703" spans="31:31">
      <c r="AE703"/>
    </row>
    <row r="704" spans="31:31">
      <c r="AE704"/>
    </row>
    <row r="705" spans="31:31">
      <c r="AE705"/>
    </row>
    <row r="706" spans="31:31">
      <c r="AE706"/>
    </row>
    <row r="707" spans="31:31">
      <c r="AE707"/>
    </row>
    <row r="708" spans="31:31">
      <c r="AE708"/>
    </row>
    <row r="709" spans="31:31">
      <c r="AE709"/>
    </row>
    <row r="710" spans="31:31">
      <c r="AE710"/>
    </row>
    <row r="711" spans="31:31">
      <c r="AE711"/>
    </row>
    <row r="712" spans="31:31">
      <c r="AE712"/>
    </row>
    <row r="713" spans="31:31">
      <c r="AE713"/>
    </row>
    <row r="714" spans="31:31">
      <c r="AE714"/>
    </row>
    <row r="715" spans="31:31">
      <c r="AE715"/>
    </row>
    <row r="716" spans="31:31">
      <c r="AE716"/>
    </row>
    <row r="717" spans="31:31">
      <c r="AE717"/>
    </row>
    <row r="718" spans="31:31">
      <c r="AE718"/>
    </row>
    <row r="719" spans="31:31">
      <c r="AE719"/>
    </row>
    <row r="720" spans="31:31">
      <c r="AE720"/>
    </row>
    <row r="721" spans="31:31">
      <c r="AE721"/>
    </row>
    <row r="722" spans="31:31">
      <c r="AE722"/>
    </row>
    <row r="723" spans="31:31">
      <c r="AE723"/>
    </row>
    <row r="724" spans="31:31">
      <c r="AE724"/>
    </row>
    <row r="725" spans="31:31">
      <c r="AE725"/>
    </row>
    <row r="726" spans="31:31">
      <c r="AE726"/>
    </row>
    <row r="727" spans="31:31">
      <c r="AE727"/>
    </row>
    <row r="728" spans="31:31">
      <c r="AE728"/>
    </row>
    <row r="729" spans="31:31">
      <c r="AE729"/>
    </row>
    <row r="730" spans="31:31">
      <c r="AE730"/>
    </row>
    <row r="731" spans="31:31">
      <c r="AE731"/>
    </row>
    <row r="732" spans="31:31">
      <c r="AE732"/>
    </row>
    <row r="733" spans="31:31">
      <c r="AE733"/>
    </row>
    <row r="734" spans="31:31">
      <c r="AE734"/>
    </row>
    <row r="735" spans="31:31">
      <c r="AE735"/>
    </row>
    <row r="736" spans="31:31">
      <c r="AE736"/>
    </row>
    <row r="737" spans="31:31">
      <c r="AE737"/>
    </row>
    <row r="738" spans="31:31">
      <c r="AE738"/>
    </row>
    <row r="739" spans="31:31">
      <c r="AE739"/>
    </row>
    <row r="740" spans="31:31">
      <c r="AE740"/>
    </row>
    <row r="741" spans="31:31">
      <c r="AE741"/>
    </row>
    <row r="742" spans="31:31">
      <c r="AE742"/>
    </row>
    <row r="743" spans="31:31">
      <c r="AE743"/>
    </row>
    <row r="744" spans="31:31">
      <c r="AE744"/>
    </row>
    <row r="745" spans="31:31">
      <c r="AE745"/>
    </row>
    <row r="746" spans="31:31">
      <c r="AE746"/>
    </row>
    <row r="747" spans="31:31">
      <c r="AE747"/>
    </row>
    <row r="748" spans="31:31">
      <c r="AE748"/>
    </row>
    <row r="749" spans="31:31">
      <c r="AE749"/>
    </row>
    <row r="750" spans="31:31">
      <c r="AE750"/>
    </row>
    <row r="751" spans="31:31">
      <c r="AE751"/>
    </row>
    <row r="752" spans="31:31">
      <c r="AE752"/>
    </row>
    <row r="753" spans="31:31">
      <c r="AE753"/>
    </row>
    <row r="754" spans="31:31">
      <c r="AE754"/>
    </row>
    <row r="755" spans="31:31">
      <c r="AE755"/>
    </row>
    <row r="756" spans="31:31">
      <c r="AE756"/>
    </row>
    <row r="757" spans="31:31">
      <c r="AE757"/>
    </row>
    <row r="758" spans="31:31">
      <c r="AE758"/>
    </row>
    <row r="759" spans="31:31">
      <c r="AE759"/>
    </row>
    <row r="760" spans="31:31">
      <c r="AE760"/>
    </row>
    <row r="761" spans="31:31">
      <c r="AE761"/>
    </row>
    <row r="762" spans="31:31">
      <c r="AE762"/>
    </row>
    <row r="763" spans="31:31">
      <c r="AE763"/>
    </row>
    <row r="764" spans="31:31">
      <c r="AE764"/>
    </row>
    <row r="765" spans="31:31">
      <c r="AE765"/>
    </row>
    <row r="766" spans="31:31">
      <c r="AE766"/>
    </row>
    <row r="767" spans="31:31">
      <c r="AE767"/>
    </row>
    <row r="768" spans="31:31">
      <c r="AE768"/>
    </row>
    <row r="769" spans="31:31">
      <c r="AE769"/>
    </row>
    <row r="770" spans="31:31">
      <c r="AE770"/>
    </row>
    <row r="771" spans="31:31">
      <c r="AE771"/>
    </row>
    <row r="772" spans="31:31">
      <c r="AE772"/>
    </row>
    <row r="773" spans="31:31">
      <c r="AE773"/>
    </row>
    <row r="774" spans="31:31">
      <c r="AE774"/>
    </row>
    <row r="775" spans="31:31">
      <c r="AE775"/>
    </row>
    <row r="776" spans="31:31">
      <c r="AE776"/>
    </row>
    <row r="777" spans="31:31">
      <c r="AE777"/>
    </row>
    <row r="778" spans="31:31">
      <c r="AE778"/>
    </row>
    <row r="779" spans="31:31">
      <c r="AE779"/>
    </row>
    <row r="780" spans="31:31">
      <c r="AE780"/>
    </row>
    <row r="781" spans="31:31">
      <c r="AE781"/>
    </row>
    <row r="782" spans="31:31">
      <c r="AE782"/>
    </row>
    <row r="783" spans="31:31">
      <c r="AE783"/>
    </row>
    <row r="784" spans="31:31">
      <c r="AE784"/>
    </row>
    <row r="785" spans="31:31">
      <c r="AE785"/>
    </row>
    <row r="786" spans="31:31">
      <c r="AE786"/>
    </row>
    <row r="787" spans="31:31">
      <c r="AE787"/>
    </row>
    <row r="788" spans="31:31">
      <c r="AE788"/>
    </row>
    <row r="789" spans="31:31">
      <c r="AE789"/>
    </row>
    <row r="790" spans="31:31">
      <c r="AE790"/>
    </row>
    <row r="791" spans="31:31">
      <c r="AE791"/>
    </row>
    <row r="792" spans="31:31">
      <c r="AE792"/>
    </row>
    <row r="793" spans="31:31">
      <c r="AE793"/>
    </row>
    <row r="794" spans="31:31">
      <c r="AE794"/>
    </row>
    <row r="795" spans="31:31">
      <c r="AE795"/>
    </row>
    <row r="796" spans="31:31">
      <c r="AE796"/>
    </row>
    <row r="797" spans="31:31">
      <c r="AE797"/>
    </row>
    <row r="798" spans="31:31">
      <c r="AE798"/>
    </row>
    <row r="799" spans="31:31">
      <c r="AE799"/>
    </row>
    <row r="800" spans="31:31">
      <c r="AE800"/>
    </row>
    <row r="801" spans="31:31">
      <c r="AE801"/>
    </row>
    <row r="802" spans="31:31">
      <c r="AE802"/>
    </row>
    <row r="803" spans="31:31">
      <c r="AE803"/>
    </row>
    <row r="804" spans="31:31">
      <c r="AE804"/>
    </row>
    <row r="805" spans="31:31">
      <c r="AE805"/>
    </row>
    <row r="806" spans="31:31">
      <c r="AE806"/>
    </row>
    <row r="807" spans="31:31">
      <c r="AE807"/>
    </row>
    <row r="808" spans="31:31">
      <c r="AE808"/>
    </row>
    <row r="809" spans="31:31">
      <c r="AE809"/>
    </row>
    <row r="810" spans="31:31">
      <c r="AE810"/>
    </row>
    <row r="811" spans="31:31">
      <c r="AE811"/>
    </row>
    <row r="812" spans="31:31">
      <c r="AE812"/>
    </row>
    <row r="813" spans="31:31">
      <c r="AE813"/>
    </row>
    <row r="814" spans="31:31">
      <c r="AE814"/>
    </row>
    <row r="815" spans="31:31">
      <c r="AE815"/>
    </row>
    <row r="816" spans="31:31">
      <c r="AE816"/>
    </row>
    <row r="817" spans="31:31">
      <c r="AE817"/>
    </row>
    <row r="818" spans="31:31">
      <c r="AE818"/>
    </row>
    <row r="819" spans="31:31">
      <c r="AE819"/>
    </row>
    <row r="820" spans="31:31">
      <c r="AE820"/>
    </row>
    <row r="821" spans="31:31">
      <c r="AE821"/>
    </row>
    <row r="822" spans="31:31">
      <c r="AE822"/>
    </row>
    <row r="823" spans="31:31">
      <c r="AE823"/>
    </row>
    <row r="824" spans="31:31">
      <c r="AE824"/>
    </row>
    <row r="825" spans="31:31">
      <c r="AE825"/>
    </row>
    <row r="826" spans="31:31">
      <c r="AE826"/>
    </row>
    <row r="827" spans="31:31">
      <c r="AE827"/>
    </row>
    <row r="828" spans="31:31">
      <c r="AE828"/>
    </row>
    <row r="829" spans="31:31">
      <c r="AE829"/>
    </row>
    <row r="830" spans="31:31">
      <c r="AE830"/>
    </row>
    <row r="831" spans="31:31">
      <c r="AE831"/>
    </row>
    <row r="832" spans="31:31">
      <c r="AE832"/>
    </row>
    <row r="833" spans="31:31">
      <c r="AE833"/>
    </row>
    <row r="834" spans="31:31">
      <c r="AE834"/>
    </row>
    <row r="835" spans="31:31">
      <c r="AE835"/>
    </row>
    <row r="836" spans="31:31">
      <c r="AE836"/>
    </row>
    <row r="837" spans="31:31">
      <c r="AE837"/>
    </row>
    <row r="838" spans="31:31">
      <c r="AE838"/>
    </row>
    <row r="839" spans="31:31">
      <c r="AE839"/>
    </row>
    <row r="840" spans="31:31">
      <c r="AE840"/>
    </row>
    <row r="841" spans="31:31">
      <c r="AE841"/>
    </row>
    <row r="842" spans="31:31">
      <c r="AE842"/>
    </row>
    <row r="843" spans="31:31">
      <c r="AE843"/>
    </row>
    <row r="844" spans="31:31">
      <c r="AE844"/>
    </row>
    <row r="845" spans="31:31">
      <c r="AE845"/>
    </row>
    <row r="846" spans="31:31">
      <c r="AE846"/>
    </row>
    <row r="847" spans="31:31">
      <c r="AE847"/>
    </row>
    <row r="848" spans="31:31">
      <c r="AE848"/>
    </row>
    <row r="849" spans="31:31">
      <c r="AE849"/>
    </row>
    <row r="850" spans="31:31">
      <c r="AE850"/>
    </row>
    <row r="851" spans="31:31">
      <c r="AE851"/>
    </row>
    <row r="852" spans="31:31">
      <c r="AE852"/>
    </row>
    <row r="853" spans="31:31">
      <c r="AE853"/>
    </row>
    <row r="854" spans="31:31">
      <c r="AE854"/>
    </row>
    <row r="855" spans="31:31">
      <c r="AE855"/>
    </row>
    <row r="856" spans="31:31">
      <c r="AE856"/>
    </row>
    <row r="857" spans="31:31">
      <c r="AE857"/>
    </row>
    <row r="858" spans="31:31">
      <c r="AE858"/>
    </row>
    <row r="859" spans="31:31">
      <c r="AE859"/>
    </row>
    <row r="860" spans="31:31">
      <c r="AE860"/>
    </row>
    <row r="861" spans="31:31">
      <c r="AE861"/>
    </row>
    <row r="862" spans="31:31">
      <c r="AE862"/>
    </row>
    <row r="863" spans="31:31">
      <c r="AE863"/>
    </row>
    <row r="864" spans="31:31">
      <c r="AE864"/>
    </row>
    <row r="865" spans="31:31">
      <c r="AE865"/>
    </row>
    <row r="866" spans="31:31">
      <c r="AE866"/>
    </row>
    <row r="867" spans="31:31">
      <c r="AE867"/>
    </row>
    <row r="868" spans="31:31">
      <c r="AE868"/>
    </row>
    <row r="869" spans="31:31">
      <c r="AE869"/>
    </row>
    <row r="870" spans="31:31">
      <c r="AE870"/>
    </row>
    <row r="871" spans="31:31">
      <c r="AE871"/>
    </row>
    <row r="872" spans="31:31">
      <c r="AE872"/>
    </row>
    <row r="873" spans="31:31">
      <c r="AE873"/>
    </row>
    <row r="874" spans="31:31">
      <c r="AE874"/>
    </row>
    <row r="875" spans="31:31">
      <c r="AE875"/>
    </row>
    <row r="876" spans="31:31">
      <c r="AE876"/>
    </row>
    <row r="877" spans="31:31">
      <c r="AE877"/>
    </row>
    <row r="878" spans="31:31">
      <c r="AE878"/>
    </row>
    <row r="879" spans="31:31">
      <c r="AE879"/>
    </row>
    <row r="880" spans="31:31">
      <c r="AE880"/>
    </row>
    <row r="881" spans="31:31">
      <c r="AE881"/>
    </row>
    <row r="882" spans="31:31">
      <c r="AE882"/>
    </row>
    <row r="883" spans="31:31">
      <c r="AE883"/>
    </row>
    <row r="884" spans="31:31">
      <c r="AE884"/>
    </row>
    <row r="885" spans="31:31">
      <c r="AE885"/>
    </row>
    <row r="886" spans="31:31">
      <c r="AE886"/>
    </row>
    <row r="887" spans="31:31">
      <c r="AE887"/>
    </row>
    <row r="888" spans="31:31">
      <c r="AE888"/>
    </row>
    <row r="889" spans="31:31">
      <c r="AE889"/>
    </row>
    <row r="890" spans="31:31">
      <c r="AE890"/>
    </row>
    <row r="891" spans="31:31">
      <c r="AE891"/>
    </row>
    <row r="892" spans="31:31">
      <c r="AE892"/>
    </row>
    <row r="893" spans="31:31">
      <c r="AE893"/>
    </row>
    <row r="894" spans="31:31">
      <c r="AE894"/>
    </row>
    <row r="895" spans="31:31">
      <c r="AE895"/>
    </row>
    <row r="896" spans="31:31">
      <c r="AE896"/>
    </row>
    <row r="897" spans="31:31">
      <c r="AE897"/>
    </row>
    <row r="898" spans="31:31">
      <c r="AE898"/>
    </row>
    <row r="899" spans="31:31">
      <c r="AE899"/>
    </row>
    <row r="900" spans="31:31">
      <c r="AE900"/>
    </row>
    <row r="901" spans="31:31">
      <c r="AE901"/>
    </row>
    <row r="902" spans="31:31">
      <c r="AE902"/>
    </row>
    <row r="903" spans="31:31">
      <c r="AE903"/>
    </row>
    <row r="904" spans="31:31">
      <c r="AE904"/>
    </row>
    <row r="905" spans="31:31">
      <c r="AE905"/>
    </row>
    <row r="906" spans="31:31">
      <c r="AE906"/>
    </row>
    <row r="907" spans="31:31">
      <c r="AE907"/>
    </row>
    <row r="908" spans="31:31">
      <c r="AE908"/>
    </row>
    <row r="909" spans="31:31">
      <c r="AE909"/>
    </row>
    <row r="910" spans="31:31">
      <c r="AE910"/>
    </row>
    <row r="911" spans="31:31">
      <c r="AE911"/>
    </row>
    <row r="912" spans="31:31">
      <c r="AE912"/>
    </row>
    <row r="913" spans="31:31">
      <c r="AE913"/>
    </row>
    <row r="914" spans="31:31">
      <c r="AE914"/>
    </row>
    <row r="915" spans="31:31">
      <c r="AE915"/>
    </row>
    <row r="916" spans="31:31">
      <c r="AE916"/>
    </row>
    <row r="917" spans="31:31">
      <c r="AE917"/>
    </row>
    <row r="918" spans="31:31">
      <c r="AE918"/>
    </row>
    <row r="919" spans="31:31">
      <c r="AE919"/>
    </row>
    <row r="920" spans="31:31">
      <c r="AE920"/>
    </row>
    <row r="921" spans="31:31">
      <c r="AE921"/>
    </row>
    <row r="922" spans="31:31">
      <c r="AE922"/>
    </row>
    <row r="923" spans="31:31">
      <c r="AE923"/>
    </row>
    <row r="924" spans="31:31">
      <c r="AE924"/>
    </row>
    <row r="925" spans="31:31">
      <c r="AE925"/>
    </row>
    <row r="926" spans="31:31">
      <c r="AE926"/>
    </row>
    <row r="927" spans="31:31">
      <c r="AE927"/>
    </row>
    <row r="928" spans="31:31">
      <c r="AE928"/>
    </row>
    <row r="929" spans="31:31">
      <c r="AE929"/>
    </row>
    <row r="930" spans="31:31">
      <c r="AE930"/>
    </row>
    <row r="931" spans="31:31">
      <c r="AE931"/>
    </row>
    <row r="932" spans="31:31">
      <c r="AE932"/>
    </row>
    <row r="933" spans="31:31">
      <c r="AE933"/>
    </row>
    <row r="934" spans="31:31">
      <c r="AE934"/>
    </row>
    <row r="935" spans="31:31">
      <c r="AE935"/>
    </row>
    <row r="936" spans="31:31">
      <c r="AE936"/>
    </row>
    <row r="937" spans="31:31">
      <c r="AE937"/>
    </row>
    <row r="938" spans="31:31">
      <c r="AE938"/>
    </row>
    <row r="939" spans="31:31">
      <c r="AE939"/>
    </row>
    <row r="940" spans="31:31">
      <c r="AE940"/>
    </row>
    <row r="941" spans="31:31">
      <c r="AE941"/>
    </row>
    <row r="942" spans="31:31">
      <c r="AE942"/>
    </row>
    <row r="943" spans="31:31">
      <c r="AE943"/>
    </row>
    <row r="944" spans="31:31">
      <c r="AE944"/>
    </row>
    <row r="945" spans="31:31">
      <c r="AE945"/>
    </row>
    <row r="946" spans="31:31">
      <c r="AE946"/>
    </row>
    <row r="947" spans="31:31">
      <c r="AE947"/>
    </row>
    <row r="948" spans="31:31">
      <c r="AE948"/>
    </row>
    <row r="949" spans="31:31">
      <c r="AE949"/>
    </row>
    <row r="950" spans="31:31">
      <c r="AE950"/>
    </row>
    <row r="951" spans="31:31">
      <c r="AE951"/>
    </row>
    <row r="952" spans="31:31">
      <c r="AE952"/>
    </row>
    <row r="953" spans="31:31">
      <c r="AE953"/>
    </row>
    <row r="954" spans="31:31">
      <c r="AE954"/>
    </row>
    <row r="955" spans="31:31">
      <c r="AE955"/>
    </row>
    <row r="956" spans="31:31">
      <c r="AE956"/>
    </row>
    <row r="957" spans="31:31">
      <c r="AE957"/>
    </row>
    <row r="958" spans="31:31">
      <c r="AE958"/>
    </row>
    <row r="959" spans="31:31">
      <c r="AE959"/>
    </row>
    <row r="960" spans="31:31">
      <c r="AE960"/>
    </row>
    <row r="961" spans="31:31">
      <c r="AE961"/>
    </row>
    <row r="962" spans="31:31">
      <c r="AE962"/>
    </row>
    <row r="963" spans="31:31">
      <c r="AE963"/>
    </row>
    <row r="964" spans="31:31">
      <c r="AE964"/>
    </row>
    <row r="965" spans="31:31">
      <c r="AE965"/>
    </row>
    <row r="966" spans="31:31">
      <c r="AE966"/>
    </row>
    <row r="967" spans="31:31">
      <c r="AE967"/>
    </row>
    <row r="968" spans="31:31">
      <c r="AE968"/>
    </row>
    <row r="969" spans="31:31">
      <c r="AE969"/>
    </row>
    <row r="970" spans="31:31">
      <c r="AE970"/>
    </row>
    <row r="971" spans="31:31">
      <c r="AE971"/>
    </row>
    <row r="972" spans="31:31">
      <c r="AE972"/>
    </row>
    <row r="973" spans="31:31">
      <c r="AE973"/>
    </row>
    <row r="974" spans="31:31">
      <c r="AE974"/>
    </row>
    <row r="975" spans="31:31">
      <c r="AE975"/>
    </row>
    <row r="976" spans="31:31">
      <c r="AE976"/>
    </row>
    <row r="977" spans="31:31">
      <c r="AE977"/>
    </row>
    <row r="978" spans="31:31">
      <c r="AE978"/>
    </row>
    <row r="979" spans="31:31">
      <c r="AE979"/>
    </row>
    <row r="980" spans="31:31">
      <c r="AE980"/>
    </row>
    <row r="981" spans="31:31">
      <c r="AE981"/>
    </row>
    <row r="982" spans="31:31">
      <c r="AE982"/>
    </row>
    <row r="983" spans="31:31">
      <c r="AE983"/>
    </row>
    <row r="984" spans="31:31">
      <c r="AE984"/>
    </row>
    <row r="985" spans="31:31">
      <c r="AE985"/>
    </row>
    <row r="986" spans="31:31">
      <c r="AE986"/>
    </row>
    <row r="987" spans="31:31">
      <c r="AE987"/>
    </row>
    <row r="988" spans="31:31">
      <c r="AE988"/>
    </row>
    <row r="989" spans="31:31">
      <c r="AE989"/>
    </row>
    <row r="990" spans="31:31">
      <c r="AE990"/>
    </row>
    <row r="991" spans="31:31">
      <c r="AE991"/>
    </row>
    <row r="992" spans="31:31">
      <c r="AE992"/>
    </row>
    <row r="993" spans="31:31">
      <c r="AE993"/>
    </row>
    <row r="994" spans="31:31">
      <c r="AE994"/>
    </row>
    <row r="995" spans="31:31">
      <c r="AE995"/>
    </row>
    <row r="996" spans="31:31">
      <c r="AE996"/>
    </row>
    <row r="997" spans="31:31">
      <c r="AE997"/>
    </row>
    <row r="998" spans="31:31">
      <c r="AE998"/>
    </row>
    <row r="999" spans="31:31">
      <c r="AE999"/>
    </row>
    <row r="1000" spans="31:31">
      <c r="AE1000"/>
    </row>
    <row r="1001" spans="31:31">
      <c r="AE1001"/>
    </row>
    <row r="1002" spans="31:31">
      <c r="AE1002"/>
    </row>
    <row r="1003" spans="31:31">
      <c r="AE1003"/>
    </row>
    <row r="1004" spans="31:31">
      <c r="AE1004"/>
    </row>
    <row r="1005" spans="31:31">
      <c r="AE1005"/>
    </row>
    <row r="1006" spans="31:31">
      <c r="AE1006"/>
    </row>
    <row r="1007" spans="31:31">
      <c r="AE1007"/>
    </row>
    <row r="1008" spans="31:31">
      <c r="AE1008"/>
    </row>
    <row r="1009" spans="31:31">
      <c r="AE1009"/>
    </row>
    <row r="1010" spans="31:31">
      <c r="AE1010"/>
    </row>
    <row r="1011" spans="31:31">
      <c r="AE1011"/>
    </row>
    <row r="1012" spans="31:31">
      <c r="AE1012"/>
    </row>
    <row r="1013" spans="31:31">
      <c r="AE1013"/>
    </row>
    <row r="1014" spans="31:31">
      <c r="AE1014"/>
    </row>
    <row r="1015" spans="31:31">
      <c r="AE1015"/>
    </row>
    <row r="1016" spans="31:31">
      <c r="AE1016"/>
    </row>
    <row r="1017" spans="31:31">
      <c r="AE1017"/>
    </row>
    <row r="1018" spans="31:31">
      <c r="AE1018"/>
    </row>
    <row r="1019" spans="31:31">
      <c r="AE1019"/>
    </row>
    <row r="1020" spans="31:31">
      <c r="AE1020"/>
    </row>
    <row r="1021" spans="31:31">
      <c r="AE1021"/>
    </row>
    <row r="1022" spans="31:31">
      <c r="AE1022"/>
    </row>
    <row r="1023" spans="31:31">
      <c r="AE1023"/>
    </row>
    <row r="1024" spans="31:31">
      <c r="AE1024"/>
    </row>
    <row r="1025" spans="31:31">
      <c r="AE1025"/>
    </row>
    <row r="1026" spans="31:31">
      <c r="AE1026"/>
    </row>
    <row r="1027" spans="31:31">
      <c r="AE1027"/>
    </row>
    <row r="1028" spans="31:31">
      <c r="AE1028"/>
    </row>
    <row r="1029" spans="31:31">
      <c r="AE1029"/>
    </row>
    <row r="1030" spans="31:31">
      <c r="AE1030"/>
    </row>
    <row r="1031" spans="31:31">
      <c r="AE1031"/>
    </row>
    <row r="1032" spans="31:31">
      <c r="AE1032"/>
    </row>
    <row r="1033" spans="31:31">
      <c r="AE1033"/>
    </row>
    <row r="1034" spans="31:31">
      <c r="AE1034"/>
    </row>
    <row r="1035" spans="31:31">
      <c r="AE1035"/>
    </row>
    <row r="1036" spans="31:31">
      <c r="AE1036"/>
    </row>
    <row r="1037" spans="31:31">
      <c r="AE1037"/>
    </row>
    <row r="1038" spans="31:31">
      <c r="AE1038"/>
    </row>
    <row r="1039" spans="31:31">
      <c r="AE1039"/>
    </row>
    <row r="1040" spans="31:31">
      <c r="AE1040"/>
    </row>
    <row r="1041" spans="31:31">
      <c r="AE1041"/>
    </row>
    <row r="1042" spans="31:31">
      <c r="AE1042"/>
    </row>
    <row r="1043" spans="31:31">
      <c r="AE1043"/>
    </row>
    <row r="1044" spans="31:31">
      <c r="AE1044"/>
    </row>
    <row r="1045" spans="31:31">
      <c r="AE1045"/>
    </row>
    <row r="1046" spans="31:31">
      <c r="AE1046"/>
    </row>
    <row r="1047" spans="31:31">
      <c r="AE1047"/>
    </row>
    <row r="1048" spans="31:31">
      <c r="AE1048"/>
    </row>
    <row r="1049" spans="31:31">
      <c r="AE1049"/>
    </row>
    <row r="1050" spans="31:31">
      <c r="AE1050"/>
    </row>
    <row r="1051" spans="31:31">
      <c r="AE1051"/>
    </row>
    <row r="1052" spans="31:31">
      <c r="AE1052"/>
    </row>
    <row r="1053" spans="31:31">
      <c r="AE1053"/>
    </row>
    <row r="1054" spans="31:31">
      <c r="AE1054"/>
    </row>
    <row r="1055" spans="31:31">
      <c r="AE1055"/>
    </row>
    <row r="1056" spans="31:31">
      <c r="AE1056"/>
    </row>
    <row r="1057" spans="31:31">
      <c r="AE1057"/>
    </row>
    <row r="1058" spans="31:31">
      <c r="AE1058"/>
    </row>
    <row r="1059" spans="31:31">
      <c r="AE1059"/>
    </row>
    <row r="1060" spans="31:31">
      <c r="AE1060"/>
    </row>
    <row r="1061" spans="31:31">
      <c r="AE1061"/>
    </row>
    <row r="1062" spans="31:31">
      <c r="AE1062"/>
    </row>
    <row r="1063" spans="31:31">
      <c r="AE1063"/>
    </row>
    <row r="1064" spans="31:31">
      <c r="AE1064"/>
    </row>
    <row r="1065" spans="31:31">
      <c r="AE1065"/>
    </row>
    <row r="1066" spans="31:31">
      <c r="AE1066"/>
    </row>
    <row r="1067" spans="31:31">
      <c r="AE1067"/>
    </row>
    <row r="1068" spans="31:31">
      <c r="AE1068"/>
    </row>
    <row r="1069" spans="31:31">
      <c r="AE1069"/>
    </row>
    <row r="1070" spans="31:31">
      <c r="AE1070"/>
    </row>
    <row r="1071" spans="31:31">
      <c r="AE1071"/>
    </row>
    <row r="1072" spans="31:31">
      <c r="AE1072"/>
    </row>
    <row r="1073" spans="31:31">
      <c r="AE1073"/>
    </row>
    <row r="1074" spans="31:31">
      <c r="AE1074"/>
    </row>
    <row r="1075" spans="31:31">
      <c r="AE1075"/>
    </row>
    <row r="1076" spans="31:31">
      <c r="AE1076"/>
    </row>
    <row r="1077" spans="31:31">
      <c r="AE1077"/>
    </row>
    <row r="1078" spans="31:31">
      <c r="AE1078"/>
    </row>
    <row r="1079" spans="31:31">
      <c r="AE1079"/>
    </row>
    <row r="1080" spans="31:31">
      <c r="AE1080"/>
    </row>
    <row r="1081" spans="31:31">
      <c r="AE1081"/>
    </row>
    <row r="1082" spans="31:31">
      <c r="AE1082"/>
    </row>
    <row r="1083" spans="31:31">
      <c r="AE1083"/>
    </row>
    <row r="1084" spans="31:31">
      <c r="AE1084"/>
    </row>
    <row r="1085" spans="31:31">
      <c r="AE1085"/>
    </row>
    <row r="1086" spans="31:31">
      <c r="AE1086"/>
    </row>
    <row r="1087" spans="31:31">
      <c r="AE1087"/>
    </row>
    <row r="1088" spans="31:31">
      <c r="AE1088"/>
    </row>
    <row r="1089" spans="31:31">
      <c r="AE1089"/>
    </row>
    <row r="1090" spans="31:31">
      <c r="AE1090"/>
    </row>
    <row r="1091" spans="31:31">
      <c r="AE1091"/>
    </row>
    <row r="1092" spans="31:31">
      <c r="AE1092"/>
    </row>
    <row r="1093" spans="31:31">
      <c r="AE1093"/>
    </row>
    <row r="1094" spans="31:31">
      <c r="AE1094"/>
    </row>
    <row r="1095" spans="31:31">
      <c r="AE1095"/>
    </row>
    <row r="1096" spans="31:31">
      <c r="AE1096"/>
    </row>
    <row r="1097" spans="31:31">
      <c r="AE1097"/>
    </row>
    <row r="1098" spans="31:31">
      <c r="AE1098"/>
    </row>
    <row r="1099" spans="31:31">
      <c r="AE1099"/>
    </row>
    <row r="1100" spans="31:31">
      <c r="AE1100"/>
    </row>
    <row r="1101" spans="31:31">
      <c r="AE1101"/>
    </row>
    <row r="1102" spans="31:31">
      <c r="AE1102"/>
    </row>
    <row r="1103" spans="31:31">
      <c r="AE1103"/>
    </row>
    <row r="1104" spans="31:31">
      <c r="AE1104"/>
    </row>
    <row r="1105" spans="31:31">
      <c r="AE1105"/>
    </row>
    <row r="1106" spans="31:31">
      <c r="AE1106"/>
    </row>
    <row r="1107" spans="31:31">
      <c r="AE1107"/>
    </row>
    <row r="1108" spans="31:31">
      <c r="AE1108"/>
    </row>
    <row r="1109" spans="31:31">
      <c r="AE1109"/>
    </row>
    <row r="1110" spans="31:31">
      <c r="AE1110"/>
    </row>
    <row r="1111" spans="31:31">
      <c r="AE1111"/>
    </row>
    <row r="1112" spans="31:31">
      <c r="AE1112"/>
    </row>
    <row r="1113" spans="31:31">
      <c r="AE1113"/>
    </row>
    <row r="1114" spans="31:31">
      <c r="AE1114"/>
    </row>
    <row r="1115" spans="31:31">
      <c r="AE1115"/>
    </row>
    <row r="1116" spans="31:31">
      <c r="AE1116"/>
    </row>
    <row r="1117" spans="31:31">
      <c r="AE1117"/>
    </row>
    <row r="1118" spans="31:31">
      <c r="AE1118"/>
    </row>
    <row r="1119" spans="31:31">
      <c r="AE1119"/>
    </row>
    <row r="1120" spans="31:31">
      <c r="AE1120"/>
    </row>
    <row r="1121" spans="31:31">
      <c r="AE1121"/>
    </row>
    <row r="1122" spans="31:31">
      <c r="AE1122"/>
    </row>
    <row r="1123" spans="31:31">
      <c r="AE1123"/>
    </row>
    <row r="1124" spans="31:31">
      <c r="AE1124"/>
    </row>
    <row r="1125" spans="31:31">
      <c r="AE1125"/>
    </row>
    <row r="1126" spans="31:31">
      <c r="AE1126"/>
    </row>
    <row r="1127" spans="31:31">
      <c r="AE1127"/>
    </row>
    <row r="1128" spans="31:31">
      <c r="AE1128"/>
    </row>
    <row r="1129" spans="31:31">
      <c r="AE1129"/>
    </row>
    <row r="1130" spans="31:31">
      <c r="AE1130"/>
    </row>
    <row r="1131" spans="31:31">
      <c r="AE1131"/>
    </row>
    <row r="1132" spans="31:31">
      <c r="AE1132"/>
    </row>
    <row r="1133" spans="31:31">
      <c r="AE1133"/>
    </row>
    <row r="1134" spans="31:31">
      <c r="AE1134"/>
    </row>
    <row r="1135" spans="31:31">
      <c r="AE1135"/>
    </row>
    <row r="1136" spans="31:31">
      <c r="AE1136"/>
    </row>
    <row r="1137" spans="31:31">
      <c r="AE1137"/>
    </row>
    <row r="1138" spans="31:31">
      <c r="AE1138"/>
    </row>
    <row r="1139" spans="31:31">
      <c r="AE1139"/>
    </row>
    <row r="1140" spans="31:31">
      <c r="AE1140"/>
    </row>
    <row r="1141" spans="31:31">
      <c r="AE1141"/>
    </row>
    <row r="1142" spans="31:31">
      <c r="AE1142"/>
    </row>
    <row r="1143" spans="31:31">
      <c r="AE1143"/>
    </row>
    <row r="1144" spans="31:31">
      <c r="AE1144"/>
    </row>
    <row r="1145" spans="31:31">
      <c r="AE1145"/>
    </row>
    <row r="1146" spans="31:31">
      <c r="AE1146"/>
    </row>
    <row r="1147" spans="31:31">
      <c r="AE1147"/>
    </row>
    <row r="1148" spans="31:31">
      <c r="AE1148"/>
    </row>
    <row r="1149" spans="31:31">
      <c r="AE1149"/>
    </row>
    <row r="1150" spans="31:31">
      <c r="AE1150"/>
    </row>
    <row r="1151" spans="31:31">
      <c r="AE1151"/>
    </row>
    <row r="1152" spans="31:31">
      <c r="AE1152"/>
    </row>
    <row r="1153" spans="31:31">
      <c r="AE1153"/>
    </row>
    <row r="1154" spans="31:31">
      <c r="AE1154"/>
    </row>
    <row r="1155" spans="31:31">
      <c r="AE1155"/>
    </row>
    <row r="1156" spans="31:31">
      <c r="AE1156"/>
    </row>
    <row r="1157" spans="31:31">
      <c r="AE1157"/>
    </row>
    <row r="1158" spans="31:31">
      <c r="AE1158"/>
    </row>
    <row r="1159" spans="31:31">
      <c r="AE1159"/>
    </row>
    <row r="1160" spans="31:31">
      <c r="AE1160"/>
    </row>
    <row r="1161" spans="31:31">
      <c r="AE1161"/>
    </row>
    <row r="1162" spans="31:31">
      <c r="AE1162"/>
    </row>
    <row r="1163" spans="31:31">
      <c r="AE1163"/>
    </row>
    <row r="1164" spans="31:31">
      <c r="AE1164"/>
    </row>
    <row r="1165" spans="31:31">
      <c r="AE1165"/>
    </row>
    <row r="1166" spans="31:31">
      <c r="AE1166"/>
    </row>
    <row r="1167" spans="31:31">
      <c r="AE1167"/>
    </row>
    <row r="1168" spans="31:31">
      <c r="AE1168"/>
    </row>
    <row r="1169" spans="31:31">
      <c r="AE1169"/>
    </row>
    <row r="1170" spans="31:31">
      <c r="AE1170"/>
    </row>
    <row r="1171" spans="31:31">
      <c r="AE1171"/>
    </row>
    <row r="1172" spans="31:31">
      <c r="AE1172"/>
    </row>
    <row r="1173" spans="31:31">
      <c r="AE1173"/>
    </row>
    <row r="1174" spans="31:31">
      <c r="AE1174"/>
    </row>
    <row r="1175" spans="31:31">
      <c r="AE1175"/>
    </row>
    <row r="1176" spans="31:31">
      <c r="AE1176"/>
    </row>
    <row r="1177" spans="31:31">
      <c r="AE1177"/>
    </row>
    <row r="1178" spans="31:31">
      <c r="AE1178"/>
    </row>
    <row r="1179" spans="31:31">
      <c r="AE1179"/>
    </row>
    <row r="1180" spans="31:31">
      <c r="AE1180"/>
    </row>
    <row r="1181" spans="31:31">
      <c r="AE1181"/>
    </row>
    <row r="1182" spans="31:31">
      <c r="AE1182"/>
    </row>
    <row r="1183" spans="31:31">
      <c r="AE1183"/>
    </row>
    <row r="1184" spans="31:31">
      <c r="AE1184"/>
    </row>
    <row r="1185" spans="31:31">
      <c r="AE1185"/>
    </row>
    <row r="1186" spans="31:31">
      <c r="AE1186"/>
    </row>
    <row r="1187" spans="31:31">
      <c r="AE1187"/>
    </row>
    <row r="1188" spans="31:31">
      <c r="AE1188"/>
    </row>
    <row r="1189" spans="31:31">
      <c r="AE1189"/>
    </row>
    <row r="1190" spans="31:31">
      <c r="AE1190"/>
    </row>
    <row r="1191" spans="31:31">
      <c r="AE1191"/>
    </row>
    <row r="1192" spans="31:31">
      <c r="AE1192"/>
    </row>
    <row r="1193" spans="31:31">
      <c r="AE1193"/>
    </row>
    <row r="1194" spans="31:31">
      <c r="AE1194"/>
    </row>
    <row r="1195" spans="31:31">
      <c r="AE1195"/>
    </row>
    <row r="1196" spans="31:31">
      <c r="AE1196"/>
    </row>
    <row r="1197" spans="31:31">
      <c r="AE1197"/>
    </row>
    <row r="1198" spans="31:31">
      <c r="AE1198"/>
    </row>
    <row r="1199" spans="31:31">
      <c r="AE1199"/>
    </row>
    <row r="1200" spans="31:31">
      <c r="AE1200"/>
    </row>
    <row r="1201" spans="31:31">
      <c r="AE1201"/>
    </row>
    <row r="1202" spans="31:31">
      <c r="AE1202"/>
    </row>
    <row r="1203" spans="31:31">
      <c r="AE1203"/>
    </row>
    <row r="1204" spans="31:31">
      <c r="AE1204"/>
    </row>
    <row r="1205" spans="31:31">
      <c r="AE1205"/>
    </row>
    <row r="1206" spans="31:31">
      <c r="AE1206"/>
    </row>
    <row r="1207" spans="31:31">
      <c r="AE1207"/>
    </row>
    <row r="1208" spans="31:31">
      <c r="AE1208"/>
    </row>
    <row r="1209" spans="31:31">
      <c r="AE1209"/>
    </row>
    <row r="1210" spans="31:31">
      <c r="AE1210"/>
    </row>
    <row r="1211" spans="31:31">
      <c r="AE1211"/>
    </row>
    <row r="1212" spans="31:31">
      <c r="AE1212"/>
    </row>
    <row r="1213" spans="31:31">
      <c r="AE1213"/>
    </row>
    <row r="1214" spans="31:31">
      <c r="AE1214"/>
    </row>
    <row r="1215" spans="31:31">
      <c r="AE1215"/>
    </row>
    <row r="1216" spans="31:31">
      <c r="AE1216"/>
    </row>
    <row r="1217" spans="31:31">
      <c r="AE1217"/>
    </row>
    <row r="1218" spans="31:31">
      <c r="AE1218"/>
    </row>
    <row r="1219" spans="31:31">
      <c r="AE1219"/>
    </row>
    <row r="1220" spans="31:31">
      <c r="AE1220"/>
    </row>
    <row r="1221" spans="31:31">
      <c r="AE1221"/>
    </row>
    <row r="1222" spans="31:31">
      <c r="AE1222"/>
    </row>
    <row r="1223" spans="31:31">
      <c r="AE1223"/>
    </row>
    <row r="1224" spans="31:31">
      <c r="AE1224"/>
    </row>
    <row r="1225" spans="31:31">
      <c r="AE1225"/>
    </row>
    <row r="1226" spans="31:31">
      <c r="AE1226"/>
    </row>
    <row r="1227" spans="31:31">
      <c r="AE1227"/>
    </row>
    <row r="1228" spans="31:31">
      <c r="AE1228"/>
    </row>
    <row r="1229" spans="31:31">
      <c r="AE1229"/>
    </row>
    <row r="1230" spans="31:31">
      <c r="AE1230"/>
    </row>
    <row r="1231" spans="31:31">
      <c r="AE1231"/>
    </row>
    <row r="1232" spans="31:31">
      <c r="AE1232"/>
    </row>
    <row r="1233" spans="31:31">
      <c r="AE1233"/>
    </row>
    <row r="1234" spans="31:31">
      <c r="AE1234"/>
    </row>
    <row r="1235" spans="31:31">
      <c r="AE1235"/>
    </row>
    <row r="1236" spans="31:31">
      <c r="AE1236"/>
    </row>
    <row r="1237" spans="31:31">
      <c r="AE1237"/>
    </row>
    <row r="1238" spans="31:31">
      <c r="AE1238"/>
    </row>
    <row r="1239" spans="31:31">
      <c r="AE1239"/>
    </row>
    <row r="1240" spans="31:31">
      <c r="AE1240"/>
    </row>
    <row r="1241" spans="31:31">
      <c r="AE1241"/>
    </row>
    <row r="1242" spans="31:31">
      <c r="AE1242"/>
    </row>
    <row r="1243" spans="31:31">
      <c r="AE1243"/>
    </row>
    <row r="1244" spans="31:31">
      <c r="AE1244"/>
    </row>
    <row r="1245" spans="31:31">
      <c r="AE1245"/>
    </row>
    <row r="1246" spans="31:31">
      <c r="AE1246"/>
    </row>
    <row r="1247" spans="31:31">
      <c r="AE1247"/>
    </row>
    <row r="1248" spans="31:31">
      <c r="AE1248"/>
    </row>
    <row r="1249" spans="31:31">
      <c r="AE1249"/>
    </row>
    <row r="1250" spans="31:31">
      <c r="AE1250"/>
    </row>
    <row r="1251" spans="31:31">
      <c r="AE1251"/>
    </row>
    <row r="1252" spans="31:31">
      <c r="AE1252"/>
    </row>
    <row r="1253" spans="31:31">
      <c r="AE1253"/>
    </row>
    <row r="1254" spans="31:31">
      <c r="AE1254"/>
    </row>
    <row r="1255" spans="31:31">
      <c r="AE1255"/>
    </row>
    <row r="1256" spans="31:31">
      <c r="AE1256"/>
    </row>
    <row r="1257" spans="31:31">
      <c r="AE1257"/>
    </row>
    <row r="1258" spans="31:31">
      <c r="AE1258"/>
    </row>
    <row r="1259" spans="31:31">
      <c r="AE1259"/>
    </row>
    <row r="1260" spans="31:31">
      <c r="AE1260"/>
    </row>
    <row r="1261" spans="31:31">
      <c r="AE1261"/>
    </row>
    <row r="1262" spans="31:31">
      <c r="AE1262"/>
    </row>
    <row r="1263" spans="31:31">
      <c r="AE1263"/>
    </row>
    <row r="1264" spans="31:31">
      <c r="AE1264"/>
    </row>
    <row r="1265" spans="31:31">
      <c r="AE1265"/>
    </row>
    <row r="1266" spans="31:31">
      <c r="AE1266"/>
    </row>
    <row r="1267" spans="31:31">
      <c r="AE1267"/>
    </row>
    <row r="1268" spans="31:31">
      <c r="AE1268"/>
    </row>
    <row r="1269" spans="31:31">
      <c r="AE1269"/>
    </row>
    <row r="1270" spans="31:31">
      <c r="AE1270"/>
    </row>
    <row r="1271" spans="31:31">
      <c r="AE1271"/>
    </row>
    <row r="1272" spans="31:31">
      <c r="AE1272"/>
    </row>
    <row r="1273" spans="31:31">
      <c r="AE1273"/>
    </row>
    <row r="1274" spans="31:31">
      <c r="AE1274"/>
    </row>
    <row r="1275" spans="31:31">
      <c r="AE1275"/>
    </row>
    <row r="1276" spans="31:31">
      <c r="AE1276"/>
    </row>
    <row r="1277" spans="31:31">
      <c r="AE1277"/>
    </row>
    <row r="1278" spans="31:31">
      <c r="AE1278"/>
    </row>
    <row r="1279" spans="31:31">
      <c r="AE1279"/>
    </row>
    <row r="1280" spans="31:31">
      <c r="AE1280"/>
    </row>
    <row r="1281" spans="31:31">
      <c r="AE1281"/>
    </row>
    <row r="1282" spans="31:31">
      <c r="AE1282"/>
    </row>
    <row r="1283" spans="31:31">
      <c r="AE1283"/>
    </row>
    <row r="1284" spans="31:31">
      <c r="AE1284"/>
    </row>
    <row r="1285" spans="31:31">
      <c r="AE1285"/>
    </row>
    <row r="1286" spans="31:31">
      <c r="AE1286"/>
    </row>
    <row r="1287" spans="31:31">
      <c r="AE1287"/>
    </row>
    <row r="1288" spans="31:31">
      <c r="AE1288"/>
    </row>
    <row r="1289" spans="31:31">
      <c r="AE1289"/>
    </row>
    <row r="1290" spans="31:31">
      <c r="AE1290"/>
    </row>
    <row r="1291" spans="31:31">
      <c r="AE1291"/>
    </row>
    <row r="1292" spans="31:31">
      <c r="AE1292"/>
    </row>
    <row r="1293" spans="31:31">
      <c r="AE1293"/>
    </row>
    <row r="1294" spans="31:31">
      <c r="AE1294"/>
    </row>
    <row r="1295" spans="31:31">
      <c r="AE1295"/>
    </row>
    <row r="1296" spans="31:31">
      <c r="AE1296"/>
    </row>
    <row r="1297" spans="31:31">
      <c r="AE1297"/>
    </row>
    <row r="1298" spans="31:31">
      <c r="AE1298"/>
    </row>
    <row r="1299" spans="31:31">
      <c r="AE1299"/>
    </row>
    <row r="1300" spans="31:31">
      <c r="AE1300"/>
    </row>
    <row r="1301" spans="31:31">
      <c r="AE1301"/>
    </row>
    <row r="1302" spans="31:31">
      <c r="AE1302"/>
    </row>
    <row r="1303" spans="31:31">
      <c r="AE1303"/>
    </row>
    <row r="1304" spans="31:31">
      <c r="AE1304"/>
    </row>
    <row r="1305" spans="31:31">
      <c r="AE1305"/>
    </row>
    <row r="1306" spans="31:31">
      <c r="AE1306"/>
    </row>
    <row r="1307" spans="31:31">
      <c r="AE1307"/>
    </row>
    <row r="1308" spans="31:31">
      <c r="AE1308"/>
    </row>
    <row r="1309" spans="31:31">
      <c r="AE1309"/>
    </row>
    <row r="1310" spans="31:31">
      <c r="AE1310"/>
    </row>
    <row r="1311" spans="31:31">
      <c r="AE1311"/>
    </row>
    <row r="1312" spans="31:31">
      <c r="AE1312"/>
    </row>
    <row r="1313" spans="31:31">
      <c r="AE1313"/>
    </row>
    <row r="1314" spans="31:31">
      <c r="AE1314"/>
    </row>
    <row r="1315" spans="31:31">
      <c r="AE1315"/>
    </row>
    <row r="1316" spans="31:31">
      <c r="AE1316"/>
    </row>
    <row r="1317" spans="31:31">
      <c r="AE1317"/>
    </row>
    <row r="1318" spans="31:31">
      <c r="AE1318"/>
    </row>
    <row r="1319" spans="31:31">
      <c r="AE1319"/>
    </row>
    <row r="1320" spans="31:31">
      <c r="AE1320"/>
    </row>
    <row r="1321" spans="31:31">
      <c r="AE1321"/>
    </row>
    <row r="1322" spans="31:31">
      <c r="AE1322"/>
    </row>
    <row r="1323" spans="31:31">
      <c r="AE1323"/>
    </row>
    <row r="1324" spans="31:31">
      <c r="AE1324"/>
    </row>
    <row r="1325" spans="31:31">
      <c r="AE1325"/>
    </row>
    <row r="1326" spans="31:31">
      <c r="AE1326"/>
    </row>
    <row r="1327" spans="31:31">
      <c r="AE1327"/>
    </row>
    <row r="1328" spans="31:31">
      <c r="AE1328"/>
    </row>
    <row r="1329" spans="31:31">
      <c r="AE1329"/>
    </row>
    <row r="1330" spans="31:31">
      <c r="AE1330"/>
    </row>
    <row r="1331" spans="31:31">
      <c r="AE1331"/>
    </row>
    <row r="1332" spans="31:31">
      <c r="AE1332"/>
    </row>
    <row r="1333" spans="31:31">
      <c r="AE1333"/>
    </row>
    <row r="1334" spans="31:31">
      <c r="AE1334"/>
    </row>
    <row r="1335" spans="31:31">
      <c r="AE1335"/>
    </row>
    <row r="1336" spans="31:31">
      <c r="AE1336"/>
    </row>
    <row r="1337" spans="31:31">
      <c r="AE1337"/>
    </row>
    <row r="1338" spans="31:31">
      <c r="AE1338"/>
    </row>
    <row r="1339" spans="31:31">
      <c r="AE1339"/>
    </row>
    <row r="1340" spans="31:31">
      <c r="AE1340"/>
    </row>
    <row r="1341" spans="31:31">
      <c r="AE1341"/>
    </row>
    <row r="1342" spans="31:31">
      <c r="AE1342"/>
    </row>
    <row r="1343" spans="31:31">
      <c r="AE1343"/>
    </row>
    <row r="1344" spans="31:31">
      <c r="AE1344"/>
    </row>
    <row r="1345" spans="31:31">
      <c r="AE1345"/>
    </row>
    <row r="1346" spans="31:31">
      <c r="AE1346"/>
    </row>
    <row r="1347" spans="31:31">
      <c r="AE1347"/>
    </row>
    <row r="1348" spans="31:31">
      <c r="AE1348"/>
    </row>
    <row r="1349" spans="31:31">
      <c r="AE1349"/>
    </row>
    <row r="1350" spans="31:31">
      <c r="AE1350"/>
    </row>
    <row r="1351" spans="31:31">
      <c r="AE1351"/>
    </row>
    <row r="1352" spans="31:31">
      <c r="AE1352"/>
    </row>
    <row r="1353" spans="31:31">
      <c r="AE1353"/>
    </row>
    <row r="1354" spans="31:31">
      <c r="AE1354"/>
    </row>
    <row r="1355" spans="31:31">
      <c r="AE1355"/>
    </row>
    <row r="1356" spans="31:31">
      <c r="AE1356"/>
    </row>
    <row r="1357" spans="31:31">
      <c r="AE1357"/>
    </row>
    <row r="1358" spans="31:31">
      <c r="AE1358"/>
    </row>
    <row r="1359" spans="31:31">
      <c r="AE1359"/>
    </row>
    <row r="1360" spans="31:31">
      <c r="AE1360"/>
    </row>
    <row r="1361" spans="31:31">
      <c r="AE1361"/>
    </row>
    <row r="1362" spans="31:31">
      <c r="AE1362"/>
    </row>
    <row r="1363" spans="31:31">
      <c r="AE1363"/>
    </row>
    <row r="1364" spans="31:31">
      <c r="AE1364"/>
    </row>
    <row r="1365" spans="31:31">
      <c r="AE1365"/>
    </row>
    <row r="1366" spans="31:31">
      <c r="AE1366"/>
    </row>
    <row r="1367" spans="31:31">
      <c r="AE1367"/>
    </row>
    <row r="1368" spans="31:31">
      <c r="AE1368"/>
    </row>
    <row r="1369" spans="31:31">
      <c r="AE1369"/>
    </row>
    <row r="1370" spans="31:31">
      <c r="AE1370"/>
    </row>
    <row r="1371" spans="31:31">
      <c r="AE1371"/>
    </row>
    <row r="1372" spans="31:31">
      <c r="AE1372"/>
    </row>
    <row r="1373" spans="31:31">
      <c r="AE1373"/>
    </row>
    <row r="1374" spans="31:31">
      <c r="AE1374"/>
    </row>
    <row r="1375" spans="31:31">
      <c r="AE1375"/>
    </row>
    <row r="1376" spans="31:31">
      <c r="AE1376"/>
    </row>
    <row r="1377" spans="31:31">
      <c r="AE1377"/>
    </row>
    <row r="1378" spans="31:31">
      <c r="AE1378"/>
    </row>
    <row r="1379" spans="31:31">
      <c r="AE1379"/>
    </row>
    <row r="1380" spans="31:31">
      <c r="AE1380"/>
    </row>
    <row r="1381" spans="31:31">
      <c r="AE1381"/>
    </row>
    <row r="1382" spans="31:31">
      <c r="AE1382"/>
    </row>
    <row r="1383" spans="31:31">
      <c r="AE1383"/>
    </row>
    <row r="1384" spans="31:31">
      <c r="AE1384"/>
    </row>
    <row r="1385" spans="31:31">
      <c r="AE1385"/>
    </row>
    <row r="1386" spans="31:31">
      <c r="AE1386"/>
    </row>
    <row r="1387" spans="31:31">
      <c r="AE1387"/>
    </row>
    <row r="1388" spans="31:31">
      <c r="AE1388"/>
    </row>
    <row r="1389" spans="31:31">
      <c r="AE1389"/>
    </row>
  </sheetData>
  <sheetProtection algorithmName="SHA-512" hashValue="hiiSuUHApdEX0qmlE7Itb4/piktVSjUtHhtkjJtlNy4hpXrsTWeYcFDzJoaAj7HOJBY7pERQTqVa28HqZxSpCg==" saltValue="ez+dWRGQ7imhi8m35ZBUmQ==" spinCount="100000" sheet="1" objects="1" scenarios="1"/>
  <mergeCells count="34">
    <mergeCell ref="C11:C12"/>
    <mergeCell ref="U11:U12"/>
    <mergeCell ref="C31:C32"/>
    <mergeCell ref="C28:AB29"/>
    <mergeCell ref="D11:D12"/>
    <mergeCell ref="E31:G31"/>
    <mergeCell ref="S11:S12"/>
    <mergeCell ref="T11:T12"/>
    <mergeCell ref="J11:Q11"/>
    <mergeCell ref="G11:G12"/>
    <mergeCell ref="V31:X31"/>
    <mergeCell ref="H31:U31"/>
    <mergeCell ref="C5:AB9"/>
    <mergeCell ref="AF3:DB6"/>
    <mergeCell ref="C86:D86"/>
    <mergeCell ref="C52:C53"/>
    <mergeCell ref="E52:T52"/>
    <mergeCell ref="W11:W12"/>
    <mergeCell ref="X11:X12"/>
    <mergeCell ref="Y11:Y12"/>
    <mergeCell ref="Z11:Z12"/>
    <mergeCell ref="C45:D45"/>
    <mergeCell ref="H11:H12"/>
    <mergeCell ref="F11:F12"/>
    <mergeCell ref="C48:AB49"/>
    <mergeCell ref="E11:E12"/>
    <mergeCell ref="V11:V12"/>
    <mergeCell ref="C25:D25"/>
    <mergeCell ref="C87:D87"/>
    <mergeCell ref="C66:D66"/>
    <mergeCell ref="C72:C73"/>
    <mergeCell ref="D72:D73"/>
    <mergeCell ref="E72:I72"/>
    <mergeCell ref="C68:AB69"/>
  </mergeCells>
  <pageMargins left="0.7" right="0.7" top="0.75" bottom="0.75" header="0.3" footer="0.3"/>
  <pageSetup paperSize="257"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theme="9" tint="0.79998168889431442"/>
  </sheetPr>
  <dimension ref="B1:Z51"/>
  <sheetViews>
    <sheetView showGridLines="0" tabSelected="1" zoomScale="40" zoomScaleNormal="40" workbookViewId="0">
      <selection activeCell="G7" sqref="G7"/>
    </sheetView>
  </sheetViews>
  <sheetFormatPr defaultRowHeight="14.45"/>
  <cols>
    <col min="2" max="2" width="30.140625" bestFit="1" customWidth="1"/>
    <col min="3" max="3" width="28.7109375" style="25" customWidth="1"/>
    <col min="4" max="4" width="29.140625" style="25" customWidth="1"/>
    <col min="5" max="5" width="38.42578125" style="25" customWidth="1"/>
    <col min="6" max="17" width="17.5703125" customWidth="1"/>
    <col min="18" max="18" width="16.28515625" customWidth="1"/>
    <col min="19" max="19" width="39.140625" customWidth="1"/>
    <col min="20" max="20" width="35.5703125" customWidth="1"/>
    <col min="21" max="21" width="23.7109375" customWidth="1"/>
    <col min="22" max="22" width="27.7109375" bestFit="1" customWidth="1"/>
    <col min="23" max="23" width="18" bestFit="1" customWidth="1"/>
    <col min="24" max="24" width="27.7109375" bestFit="1" customWidth="1"/>
    <col min="25" max="25" width="18" bestFit="1" customWidth="1"/>
    <col min="26" max="26" width="26.5703125" bestFit="1" customWidth="1"/>
  </cols>
  <sheetData>
    <row r="1" spans="2:26" ht="47.25" customHeight="1" thickBot="1">
      <c r="B1" s="1319">
        <v>2020</v>
      </c>
      <c r="C1" s="1319"/>
      <c r="D1" s="331"/>
      <c r="E1" s="331"/>
      <c r="F1" s="331"/>
      <c r="G1" s="331"/>
      <c r="H1" s="331"/>
      <c r="I1" s="331"/>
      <c r="J1" s="331"/>
      <c r="K1" s="331"/>
      <c r="L1" s="331"/>
      <c r="M1" s="331"/>
      <c r="N1" s="332"/>
      <c r="O1" s="331"/>
      <c r="P1" s="332"/>
      <c r="Q1" s="332"/>
      <c r="R1" s="332"/>
      <c r="S1" s="331"/>
      <c r="T1" s="331"/>
      <c r="U1" s="333"/>
      <c r="V1" s="332"/>
      <c r="W1" s="333"/>
      <c r="X1" s="331"/>
      <c r="Y1" s="334"/>
      <c r="Z1" s="334"/>
    </row>
    <row r="2" spans="2:26" ht="22.5" customHeight="1">
      <c r="B2" s="1320" t="s">
        <v>164</v>
      </c>
      <c r="C2" s="1322" t="s">
        <v>95</v>
      </c>
      <c r="D2" s="1317" t="s">
        <v>165</v>
      </c>
      <c r="E2" s="1322" t="s">
        <v>97</v>
      </c>
      <c r="F2" s="1317" t="s">
        <v>98</v>
      </c>
      <c r="G2" s="1317" t="s">
        <v>108</v>
      </c>
      <c r="H2" s="1317" t="s">
        <v>67</v>
      </c>
      <c r="I2" s="1324" t="s">
        <v>66</v>
      </c>
      <c r="J2" s="1317" t="s">
        <v>64</v>
      </c>
      <c r="K2" s="1317" t="s">
        <v>65</v>
      </c>
      <c r="L2" s="1317" t="s">
        <v>59</v>
      </c>
      <c r="M2" s="1317" t="s">
        <v>166</v>
      </c>
      <c r="N2" s="1317" t="s">
        <v>34</v>
      </c>
      <c r="O2" s="1317" t="s">
        <v>109</v>
      </c>
      <c r="P2" s="1322" t="s">
        <v>30</v>
      </c>
      <c r="Q2" s="1322" t="s">
        <v>110</v>
      </c>
      <c r="R2" s="1322" t="s">
        <v>144</v>
      </c>
      <c r="S2" s="1322" t="s">
        <v>100</v>
      </c>
      <c r="T2" s="1322" t="s">
        <v>101</v>
      </c>
      <c r="U2" s="1322" t="s">
        <v>167</v>
      </c>
      <c r="V2" s="1317" t="s">
        <v>103</v>
      </c>
      <c r="W2" s="1317" t="s">
        <v>104</v>
      </c>
      <c r="X2" s="1317" t="s">
        <v>105</v>
      </c>
      <c r="Y2" s="1317" t="s">
        <v>106</v>
      </c>
      <c r="Z2" s="1326" t="s">
        <v>107</v>
      </c>
    </row>
    <row r="3" spans="2:26" ht="28.5" customHeight="1" thickBot="1">
      <c r="B3" s="1321"/>
      <c r="C3" s="1323"/>
      <c r="D3" s="1318"/>
      <c r="E3" s="1323"/>
      <c r="F3" s="1318"/>
      <c r="G3" s="1318"/>
      <c r="H3" s="1318"/>
      <c r="I3" s="1325"/>
      <c r="J3" s="1318"/>
      <c r="K3" s="1318"/>
      <c r="L3" s="1318"/>
      <c r="M3" s="1318"/>
      <c r="N3" s="1318"/>
      <c r="O3" s="1318"/>
      <c r="P3" s="1323"/>
      <c r="Q3" s="1323"/>
      <c r="R3" s="1323"/>
      <c r="S3" s="1323"/>
      <c r="T3" s="1323"/>
      <c r="U3" s="1323"/>
      <c r="V3" s="1318"/>
      <c r="W3" s="1318"/>
      <c r="X3" s="1318"/>
      <c r="Y3" s="1318"/>
      <c r="Z3" s="1327"/>
    </row>
    <row r="4" spans="2:26" ht="22.5">
      <c r="B4" s="1183" t="s">
        <v>168</v>
      </c>
      <c r="C4" s="1184">
        <v>355</v>
      </c>
      <c r="D4" s="1184">
        <v>75944.5</v>
      </c>
      <c r="E4" s="1184">
        <f>D4/31*24</f>
        <v>58795.741935483878</v>
      </c>
      <c r="F4" s="1178">
        <v>0</v>
      </c>
      <c r="G4" s="1178">
        <v>0</v>
      </c>
      <c r="H4" s="1184">
        <v>0</v>
      </c>
      <c r="I4" s="1185"/>
      <c r="J4" s="1184">
        <v>0</v>
      </c>
      <c r="K4" s="1185">
        <v>0</v>
      </c>
      <c r="L4" s="1185">
        <v>0</v>
      </c>
      <c r="M4" s="1185">
        <v>0</v>
      </c>
      <c r="N4" s="1185">
        <v>0</v>
      </c>
      <c r="O4" s="1185">
        <v>0</v>
      </c>
      <c r="P4" s="1185">
        <v>0</v>
      </c>
      <c r="Q4" s="1185">
        <v>0</v>
      </c>
      <c r="R4" s="1184">
        <f>SUM(H4:Q4)</f>
        <v>0</v>
      </c>
      <c r="S4" s="335"/>
      <c r="T4" s="1185">
        <v>0</v>
      </c>
      <c r="U4" s="1160">
        <f t="shared" ref="U4:U15" si="0">((P4)*1000000)/D4</f>
        <v>0</v>
      </c>
      <c r="V4" s="1161">
        <f>((J4+K4+L4+N4+M4+O4+P4+Q4)*1000000)/D4</f>
        <v>0</v>
      </c>
      <c r="W4" s="1161">
        <f t="shared" ref="W4:W15" si="1">$J4*1000000/$D4</f>
        <v>0</v>
      </c>
      <c r="X4" s="1162">
        <f>(SUM(S4)*1000000)/D4</f>
        <v>0</v>
      </c>
      <c r="Y4" s="1163">
        <f t="shared" ref="Y4:Y15" si="2">(SUM(J4:Q4)*1000000)/D4</f>
        <v>0</v>
      </c>
      <c r="Z4" s="1164">
        <f t="shared" ref="Z4:Z15" si="3">T4/D4</f>
        <v>0</v>
      </c>
    </row>
    <row r="5" spans="2:26" ht="22.5">
      <c r="B5" s="1174" t="s">
        <v>169</v>
      </c>
      <c r="C5" s="1177">
        <v>377</v>
      </c>
      <c r="D5" s="1177">
        <v>84564</v>
      </c>
      <c r="E5" s="1177">
        <f>D5/31*24</f>
        <v>65468.903225806454</v>
      </c>
      <c r="F5" s="1178">
        <v>0</v>
      </c>
      <c r="G5" s="1178">
        <v>0</v>
      </c>
      <c r="H5" s="1177">
        <v>0</v>
      </c>
      <c r="I5" s="1177"/>
      <c r="J5" s="1177">
        <v>0</v>
      </c>
      <c r="K5" s="1177">
        <v>0</v>
      </c>
      <c r="L5" s="1177">
        <v>0</v>
      </c>
      <c r="M5" s="1179">
        <v>0</v>
      </c>
      <c r="N5" s="1179">
        <v>0</v>
      </c>
      <c r="O5" s="1179">
        <v>0</v>
      </c>
      <c r="P5" s="1179">
        <v>1</v>
      </c>
      <c r="Q5" s="1179">
        <v>0</v>
      </c>
      <c r="R5" s="1177">
        <f t="shared" ref="R5:R15" si="4">SUM(H5:Q5)</f>
        <v>1</v>
      </c>
      <c r="S5" s="337"/>
      <c r="T5" s="1179">
        <v>3214612901.6999998</v>
      </c>
      <c r="U5" s="1160">
        <f t="shared" si="0"/>
        <v>11.825363038645287</v>
      </c>
      <c r="V5" s="1161">
        <f t="shared" ref="V5:V15" si="5">((J5+K5+L5+N5+M5+O5+P5+Q5)*1000000)/D5</f>
        <v>11.825363038645287</v>
      </c>
      <c r="W5" s="1161">
        <f t="shared" si="1"/>
        <v>0</v>
      </c>
      <c r="X5" s="1162">
        <f t="shared" ref="X5:X15" si="6">(SUM(S5)*1000000)/D5</f>
        <v>0</v>
      </c>
      <c r="Y5" s="1163">
        <f t="shared" si="2"/>
        <v>11.825363038645287</v>
      </c>
      <c r="Z5" s="1164">
        <f t="shared" si="3"/>
        <v>38013.964591315453</v>
      </c>
    </row>
    <row r="6" spans="2:26" ht="22.5">
      <c r="B6" s="1174" t="s">
        <v>170</v>
      </c>
      <c r="C6" s="1177">
        <v>485</v>
      </c>
      <c r="D6" s="1177">
        <v>94393</v>
      </c>
      <c r="E6" s="1177">
        <f>D6/31*24</f>
        <v>73078.451612903227</v>
      </c>
      <c r="F6" s="1178">
        <v>0</v>
      </c>
      <c r="G6" s="1178">
        <v>0</v>
      </c>
      <c r="H6" s="1177">
        <v>0</v>
      </c>
      <c r="I6" s="1177"/>
      <c r="J6" s="1177">
        <v>1</v>
      </c>
      <c r="K6" s="1177">
        <v>0</v>
      </c>
      <c r="L6" s="1177">
        <v>0</v>
      </c>
      <c r="M6" s="1179">
        <v>0</v>
      </c>
      <c r="N6" s="1179">
        <v>0</v>
      </c>
      <c r="O6" s="1179">
        <v>0</v>
      </c>
      <c r="P6" s="1179">
        <v>0</v>
      </c>
      <c r="Q6" s="1179">
        <v>0</v>
      </c>
      <c r="R6" s="1177">
        <f t="shared" si="4"/>
        <v>1</v>
      </c>
      <c r="S6" s="337"/>
      <c r="T6" s="1179">
        <v>0</v>
      </c>
      <c r="U6" s="1160">
        <f t="shared" si="0"/>
        <v>0</v>
      </c>
      <c r="V6" s="1161">
        <f t="shared" si="5"/>
        <v>10.594005911455298</v>
      </c>
      <c r="W6" s="1161">
        <f t="shared" si="1"/>
        <v>10.594005911455298</v>
      </c>
      <c r="X6" s="1162">
        <f t="shared" si="6"/>
        <v>0</v>
      </c>
      <c r="Y6" s="1163">
        <f t="shared" si="2"/>
        <v>10.594005911455298</v>
      </c>
      <c r="Z6" s="1164">
        <f t="shared" si="3"/>
        <v>0</v>
      </c>
    </row>
    <row r="7" spans="2:26" ht="22.5">
      <c r="B7" s="1174" t="s">
        <v>171</v>
      </c>
      <c r="C7" s="1177">
        <v>520</v>
      </c>
      <c r="D7" s="1177">
        <v>117037.3</v>
      </c>
      <c r="E7" s="1177">
        <f t="shared" ref="E7:E15" si="7">D7/31*24</f>
        <v>90609.522580645164</v>
      </c>
      <c r="F7" s="1178">
        <v>0</v>
      </c>
      <c r="G7" s="1178">
        <v>0</v>
      </c>
      <c r="H7" s="1177">
        <v>0</v>
      </c>
      <c r="I7" s="1177"/>
      <c r="J7" s="1177">
        <v>0</v>
      </c>
      <c r="K7" s="1177">
        <v>0</v>
      </c>
      <c r="L7" s="1177">
        <v>2</v>
      </c>
      <c r="M7" s="1179">
        <v>0</v>
      </c>
      <c r="N7" s="1179">
        <v>0</v>
      </c>
      <c r="O7" s="1179">
        <v>0</v>
      </c>
      <c r="P7" s="1179">
        <v>0</v>
      </c>
      <c r="Q7" s="1179">
        <v>0</v>
      </c>
      <c r="R7" s="1177">
        <f t="shared" si="4"/>
        <v>2</v>
      </c>
      <c r="S7" s="337"/>
      <c r="T7" s="1179">
        <v>822247984</v>
      </c>
      <c r="U7" s="1160">
        <f t="shared" si="0"/>
        <v>0</v>
      </c>
      <c r="V7" s="1161">
        <f t="shared" si="5"/>
        <v>17.088569199733758</v>
      </c>
      <c r="W7" s="1161">
        <f t="shared" si="1"/>
        <v>0</v>
      </c>
      <c r="X7" s="1162">
        <f t="shared" si="6"/>
        <v>0</v>
      </c>
      <c r="Y7" s="1163">
        <f t="shared" si="2"/>
        <v>17.088569199733758</v>
      </c>
      <c r="Z7" s="1164">
        <f t="shared" si="3"/>
        <v>7025.5207869627884</v>
      </c>
    </row>
    <row r="8" spans="2:26" ht="22.5">
      <c r="B8" s="1174" t="s">
        <v>6</v>
      </c>
      <c r="C8" s="1177">
        <v>515</v>
      </c>
      <c r="D8" s="1177">
        <v>120739.8</v>
      </c>
      <c r="E8" s="1177">
        <f t="shared" si="7"/>
        <v>93475.974193548391</v>
      </c>
      <c r="F8" s="1178">
        <v>0</v>
      </c>
      <c r="G8" s="1178">
        <v>0</v>
      </c>
      <c r="H8" s="1177">
        <v>0</v>
      </c>
      <c r="I8" s="1177"/>
      <c r="J8" s="1177">
        <v>3</v>
      </c>
      <c r="K8" s="1177">
        <v>0</v>
      </c>
      <c r="L8" s="1177">
        <v>0</v>
      </c>
      <c r="M8" s="1179">
        <v>0</v>
      </c>
      <c r="N8" s="1179">
        <v>0</v>
      </c>
      <c r="O8" s="1179">
        <v>0</v>
      </c>
      <c r="P8" s="1179">
        <v>0</v>
      </c>
      <c r="Q8" s="1179">
        <v>0</v>
      </c>
      <c r="R8" s="1177">
        <f t="shared" si="4"/>
        <v>3</v>
      </c>
      <c r="S8" s="337"/>
      <c r="T8" s="1179">
        <v>2815708108</v>
      </c>
      <c r="U8" s="1160">
        <f t="shared" si="0"/>
        <v>0</v>
      </c>
      <c r="V8" s="1161">
        <f t="shared" si="5"/>
        <v>24.846819358653899</v>
      </c>
      <c r="W8" s="1161">
        <f t="shared" si="1"/>
        <v>24.846819358653899</v>
      </c>
      <c r="X8" s="1162">
        <f t="shared" si="6"/>
        <v>0</v>
      </c>
      <c r="Y8" s="1163">
        <f t="shared" si="2"/>
        <v>24.846819358653899</v>
      </c>
      <c r="Z8" s="1164">
        <f t="shared" si="3"/>
        <v>23320.463575391048</v>
      </c>
    </row>
    <row r="9" spans="2:26" ht="22.5">
      <c r="B9" s="1174" t="s">
        <v>172</v>
      </c>
      <c r="C9" s="1177">
        <v>508</v>
      </c>
      <c r="D9" s="1177">
        <v>112769</v>
      </c>
      <c r="E9" s="1177">
        <f t="shared" si="7"/>
        <v>87305.032258064515</v>
      </c>
      <c r="F9" s="1178">
        <v>0</v>
      </c>
      <c r="G9" s="1178">
        <v>0</v>
      </c>
      <c r="H9" s="1177">
        <v>0</v>
      </c>
      <c r="I9" s="1177"/>
      <c r="J9" s="1177">
        <v>1</v>
      </c>
      <c r="K9" s="1177">
        <v>0</v>
      </c>
      <c r="L9" s="1177">
        <v>3</v>
      </c>
      <c r="M9" s="1179">
        <v>0</v>
      </c>
      <c r="N9" s="1179">
        <v>0</v>
      </c>
      <c r="O9" s="1179">
        <v>0</v>
      </c>
      <c r="P9" s="1179">
        <v>0</v>
      </c>
      <c r="Q9" s="1179">
        <v>0</v>
      </c>
      <c r="R9" s="1177">
        <f t="shared" si="4"/>
        <v>4</v>
      </c>
      <c r="S9" s="337"/>
      <c r="T9" s="1179">
        <v>1006163400</v>
      </c>
      <c r="U9" s="1160">
        <f t="shared" si="0"/>
        <v>0</v>
      </c>
      <c r="V9" s="1161">
        <f t="shared" si="5"/>
        <v>35.470741072457855</v>
      </c>
      <c r="W9" s="1161">
        <f t="shared" si="1"/>
        <v>8.8676852681144638</v>
      </c>
      <c r="X9" s="1162">
        <f t="shared" si="6"/>
        <v>0</v>
      </c>
      <c r="Y9" s="1163">
        <f t="shared" si="2"/>
        <v>35.470741072457855</v>
      </c>
      <c r="Z9" s="1164">
        <f t="shared" si="3"/>
        <v>8922.34035949596</v>
      </c>
    </row>
    <row r="10" spans="2:26" ht="22.5">
      <c r="B10" s="1174" t="s">
        <v>8</v>
      </c>
      <c r="C10" s="1177">
        <v>532</v>
      </c>
      <c r="D10" s="1177">
        <v>127791.5</v>
      </c>
      <c r="E10" s="1177">
        <f t="shared" si="7"/>
        <v>98935.354838709682</v>
      </c>
      <c r="F10" s="1178">
        <v>0</v>
      </c>
      <c r="G10" s="1178">
        <v>0</v>
      </c>
      <c r="H10" s="1177">
        <v>0</v>
      </c>
      <c r="I10" s="1177"/>
      <c r="J10" s="1177">
        <v>1</v>
      </c>
      <c r="K10" s="1177">
        <v>0</v>
      </c>
      <c r="L10" s="1177">
        <v>0</v>
      </c>
      <c r="M10" s="1179">
        <v>0</v>
      </c>
      <c r="N10" s="1179">
        <v>0</v>
      </c>
      <c r="O10" s="1179">
        <v>0</v>
      </c>
      <c r="P10" s="1179">
        <v>0</v>
      </c>
      <c r="Q10" s="1179">
        <v>0</v>
      </c>
      <c r="R10" s="1177">
        <f t="shared" si="4"/>
        <v>1</v>
      </c>
      <c r="S10" s="337"/>
      <c r="T10" s="1179">
        <v>0</v>
      </c>
      <c r="U10" s="1160">
        <f t="shared" si="0"/>
        <v>0</v>
      </c>
      <c r="V10" s="1161">
        <f t="shared" si="5"/>
        <v>7.8252465930832642</v>
      </c>
      <c r="W10" s="1161">
        <f t="shared" si="1"/>
        <v>7.8252465930832642</v>
      </c>
      <c r="X10" s="1162">
        <f t="shared" si="6"/>
        <v>0</v>
      </c>
      <c r="Y10" s="1163">
        <f t="shared" si="2"/>
        <v>7.8252465930832642</v>
      </c>
      <c r="Z10" s="1164">
        <f t="shared" si="3"/>
        <v>0</v>
      </c>
    </row>
    <row r="11" spans="2:26" ht="22.5">
      <c r="B11" s="1174" t="s">
        <v>173</v>
      </c>
      <c r="C11" s="1177">
        <v>526</v>
      </c>
      <c r="D11" s="1177">
        <v>109451</v>
      </c>
      <c r="E11" s="1177">
        <f t="shared" si="7"/>
        <v>84736.258064516122</v>
      </c>
      <c r="F11" s="1178">
        <v>0</v>
      </c>
      <c r="G11" s="1178">
        <v>0</v>
      </c>
      <c r="H11" s="1177">
        <v>0</v>
      </c>
      <c r="I11" s="1177"/>
      <c r="J11" s="1177">
        <v>3</v>
      </c>
      <c r="K11" s="1177">
        <v>0</v>
      </c>
      <c r="L11" s="1177">
        <v>1</v>
      </c>
      <c r="M11" s="1179">
        <v>0</v>
      </c>
      <c r="N11" s="1179">
        <v>0</v>
      </c>
      <c r="O11" s="1179">
        <v>0</v>
      </c>
      <c r="P11" s="1179">
        <v>0</v>
      </c>
      <c r="Q11" s="1179">
        <v>0</v>
      </c>
      <c r="R11" s="1177">
        <f t="shared" si="4"/>
        <v>4</v>
      </c>
      <c r="S11" s="337"/>
      <c r="T11" s="1179">
        <v>1036647747.0999999</v>
      </c>
      <c r="U11" s="1160">
        <f t="shared" si="0"/>
        <v>0</v>
      </c>
      <c r="V11" s="1161">
        <f t="shared" si="5"/>
        <v>36.546034298453186</v>
      </c>
      <c r="W11" s="1161">
        <f t="shared" si="1"/>
        <v>27.409525723839891</v>
      </c>
      <c r="X11" s="1162">
        <f t="shared" si="6"/>
        <v>0</v>
      </c>
      <c r="Y11" s="1163">
        <f t="shared" si="2"/>
        <v>36.546034298453186</v>
      </c>
      <c r="Z11" s="1164">
        <f t="shared" si="3"/>
        <v>9471.3410302327065</v>
      </c>
    </row>
    <row r="12" spans="2:26" ht="22.5">
      <c r="B12" s="1174" t="s">
        <v>174</v>
      </c>
      <c r="C12" s="1177">
        <v>533</v>
      </c>
      <c r="D12" s="1177">
        <v>103964</v>
      </c>
      <c r="E12" s="1177">
        <f t="shared" si="7"/>
        <v>80488.258064516122</v>
      </c>
      <c r="F12" s="1178">
        <v>0</v>
      </c>
      <c r="G12" s="1178">
        <v>0</v>
      </c>
      <c r="H12" s="1177">
        <v>1</v>
      </c>
      <c r="I12" s="1177"/>
      <c r="J12" s="1177">
        <v>1</v>
      </c>
      <c r="K12" s="1177">
        <v>0</v>
      </c>
      <c r="L12" s="1177">
        <v>2</v>
      </c>
      <c r="M12" s="1179">
        <v>0</v>
      </c>
      <c r="N12" s="1179">
        <v>0</v>
      </c>
      <c r="O12" s="1179">
        <v>0</v>
      </c>
      <c r="P12" s="1179">
        <v>0</v>
      </c>
      <c r="Q12" s="1179">
        <v>0</v>
      </c>
      <c r="R12" s="1177">
        <f t="shared" si="4"/>
        <v>4</v>
      </c>
      <c r="S12" s="337"/>
      <c r="T12" s="1179">
        <v>518323873.56999999</v>
      </c>
      <c r="U12" s="1160">
        <f t="shared" si="0"/>
        <v>0</v>
      </c>
      <c r="V12" s="1161">
        <f t="shared" si="5"/>
        <v>28.856142510869148</v>
      </c>
      <c r="W12" s="1161">
        <f t="shared" si="1"/>
        <v>9.6187141702897154</v>
      </c>
      <c r="X12" s="1162">
        <f t="shared" si="6"/>
        <v>0</v>
      </c>
      <c r="Y12" s="1163">
        <f t="shared" si="2"/>
        <v>28.856142510869148</v>
      </c>
      <c r="Z12" s="1164">
        <f t="shared" si="3"/>
        <v>4985.6091875072143</v>
      </c>
    </row>
    <row r="13" spans="2:26" ht="22.5">
      <c r="B13" s="1174" t="s">
        <v>175</v>
      </c>
      <c r="C13" s="1177">
        <v>573</v>
      </c>
      <c r="D13" s="1177">
        <v>136099</v>
      </c>
      <c r="E13" s="1177">
        <f t="shared" si="7"/>
        <v>105366.96774193548</v>
      </c>
      <c r="F13" s="1178">
        <v>0</v>
      </c>
      <c r="G13" s="1178">
        <v>0</v>
      </c>
      <c r="H13" s="1177">
        <v>1</v>
      </c>
      <c r="I13" s="1177"/>
      <c r="J13" s="1177">
        <v>2</v>
      </c>
      <c r="K13" s="1177">
        <v>0</v>
      </c>
      <c r="L13" s="1177">
        <v>0</v>
      </c>
      <c r="M13" s="1179">
        <v>0</v>
      </c>
      <c r="N13" s="1179">
        <v>0</v>
      </c>
      <c r="O13" s="1179">
        <v>0</v>
      </c>
      <c r="P13" s="1179">
        <v>0</v>
      </c>
      <c r="Q13" s="1179">
        <v>0</v>
      </c>
      <c r="R13" s="1177">
        <f t="shared" si="4"/>
        <v>3</v>
      </c>
      <c r="S13" s="337"/>
      <c r="T13" s="1179">
        <v>385000000</v>
      </c>
      <c r="U13" s="1160">
        <f t="shared" si="0"/>
        <v>0</v>
      </c>
      <c r="V13" s="1161">
        <f t="shared" si="5"/>
        <v>14.695185122594582</v>
      </c>
      <c r="W13" s="1161">
        <f t="shared" si="1"/>
        <v>14.695185122594582</v>
      </c>
      <c r="X13" s="1162">
        <f t="shared" si="6"/>
        <v>0</v>
      </c>
      <c r="Y13" s="1163">
        <f t="shared" si="2"/>
        <v>14.695185122594582</v>
      </c>
      <c r="Z13" s="1164">
        <f t="shared" si="3"/>
        <v>2828.8231360994569</v>
      </c>
    </row>
    <row r="14" spans="2:26" ht="22.5">
      <c r="B14" s="1174" t="s">
        <v>176</v>
      </c>
      <c r="C14" s="1177">
        <v>601</v>
      </c>
      <c r="D14" s="1177">
        <v>136311.5</v>
      </c>
      <c r="E14" s="1177">
        <f t="shared" si="7"/>
        <v>105531.48387096776</v>
      </c>
      <c r="F14" s="1178">
        <v>0</v>
      </c>
      <c r="G14" s="1178">
        <v>0</v>
      </c>
      <c r="H14" s="1177">
        <v>0</v>
      </c>
      <c r="I14" s="1177"/>
      <c r="J14" s="1177">
        <v>2</v>
      </c>
      <c r="K14" s="1177">
        <v>0</v>
      </c>
      <c r="L14" s="1177">
        <v>0</v>
      </c>
      <c r="M14" s="1179">
        <v>0</v>
      </c>
      <c r="N14" s="1179">
        <v>0</v>
      </c>
      <c r="O14" s="1179">
        <v>0</v>
      </c>
      <c r="P14" s="1179">
        <v>0</v>
      </c>
      <c r="Q14" s="1179">
        <v>0</v>
      </c>
      <c r="R14" s="1177">
        <f t="shared" si="4"/>
        <v>2</v>
      </c>
      <c r="S14" s="337"/>
      <c r="T14" s="1179">
        <v>150975858.56999999</v>
      </c>
      <c r="U14" s="1160">
        <f t="shared" si="0"/>
        <v>0</v>
      </c>
      <c r="V14" s="1161">
        <f t="shared" si="5"/>
        <v>14.672276366997648</v>
      </c>
      <c r="W14" s="1161">
        <f t="shared" si="1"/>
        <v>14.672276366997648</v>
      </c>
      <c r="X14" s="1162">
        <f t="shared" si="6"/>
        <v>0</v>
      </c>
      <c r="Y14" s="1163">
        <f t="shared" si="2"/>
        <v>14.672276366997648</v>
      </c>
      <c r="Z14" s="1164">
        <f t="shared" si="3"/>
        <v>1107.5797608418952</v>
      </c>
    </row>
    <row r="15" spans="2:26" ht="23.1" thickBot="1">
      <c r="B15" s="1174" t="s">
        <v>177</v>
      </c>
      <c r="C15" s="1177">
        <v>618</v>
      </c>
      <c r="D15" s="1177">
        <v>150349</v>
      </c>
      <c r="E15" s="1177">
        <f t="shared" si="7"/>
        <v>116399.22580645161</v>
      </c>
      <c r="F15" s="1178">
        <v>0</v>
      </c>
      <c r="G15" s="1178">
        <v>0</v>
      </c>
      <c r="H15" s="1177">
        <v>1</v>
      </c>
      <c r="I15" s="1177"/>
      <c r="J15" s="1177">
        <v>1</v>
      </c>
      <c r="K15" s="1177">
        <v>0</v>
      </c>
      <c r="L15" s="1177">
        <v>1</v>
      </c>
      <c r="M15" s="1179">
        <v>0</v>
      </c>
      <c r="N15" s="1179">
        <v>0</v>
      </c>
      <c r="O15" s="1179">
        <v>0</v>
      </c>
      <c r="P15" s="1179">
        <v>0</v>
      </c>
      <c r="Q15" s="1179">
        <v>0</v>
      </c>
      <c r="R15" s="1177">
        <f t="shared" si="4"/>
        <v>3</v>
      </c>
      <c r="S15" s="337"/>
      <c r="T15" s="1179">
        <v>518323873.56999999</v>
      </c>
      <c r="U15" s="1160">
        <f t="shared" si="0"/>
        <v>0</v>
      </c>
      <c r="V15" s="1161">
        <f t="shared" si="5"/>
        <v>13.302383121936295</v>
      </c>
      <c r="W15" s="1161">
        <f t="shared" si="1"/>
        <v>6.6511915609681473</v>
      </c>
      <c r="X15" s="1162">
        <f t="shared" si="6"/>
        <v>0</v>
      </c>
      <c r="Y15" s="1163">
        <f t="shared" si="2"/>
        <v>13.302383121936295</v>
      </c>
      <c r="Z15" s="1164">
        <f t="shared" si="3"/>
        <v>3447.4713737371048</v>
      </c>
    </row>
    <row r="16" spans="2:26" s="343" customFormat="1" ht="36.75" customHeight="1" thickBot="1">
      <c r="B16" s="338" t="s">
        <v>123</v>
      </c>
      <c r="C16" s="339">
        <f>SUM(C4:C15)</f>
        <v>6143</v>
      </c>
      <c r="D16" s="339">
        <f t="shared" ref="D16:R16" si="8">SUM(D4:D15)</f>
        <v>1369413.6</v>
      </c>
      <c r="E16" s="339">
        <f t="shared" si="8"/>
        <v>1060191.1741935485</v>
      </c>
      <c r="F16" s="339">
        <f t="shared" si="8"/>
        <v>0</v>
      </c>
      <c r="G16" s="339">
        <f t="shared" si="8"/>
        <v>0</v>
      </c>
      <c r="H16" s="339">
        <f t="shared" si="8"/>
        <v>3</v>
      </c>
      <c r="I16" s="339"/>
      <c r="J16" s="339">
        <f t="shared" si="8"/>
        <v>15</v>
      </c>
      <c r="K16" s="339">
        <f t="shared" si="8"/>
        <v>0</v>
      </c>
      <c r="L16" s="339">
        <f t="shared" si="8"/>
        <v>9</v>
      </c>
      <c r="M16" s="339">
        <f t="shared" si="8"/>
        <v>0</v>
      </c>
      <c r="N16" s="339">
        <f t="shared" si="8"/>
        <v>0</v>
      </c>
      <c r="O16" s="339">
        <f t="shared" si="8"/>
        <v>0</v>
      </c>
      <c r="P16" s="339">
        <f t="shared" si="8"/>
        <v>1</v>
      </c>
      <c r="Q16" s="339">
        <f t="shared" si="8"/>
        <v>0</v>
      </c>
      <c r="R16" s="339">
        <f t="shared" si="8"/>
        <v>28</v>
      </c>
      <c r="S16" s="339">
        <f>SUM(T4:T15)</f>
        <v>10468003746.509998</v>
      </c>
      <c r="T16" s="340">
        <f>((P16)*1000000)/D16</f>
        <v>0.73023957115658844</v>
      </c>
      <c r="U16" s="340">
        <f>((J16+K16+L16+N16+M16+O16+P16+Q16)*1000000)/D16</f>
        <v>18.255989278914711</v>
      </c>
      <c r="V16" s="341">
        <f>(SUM(R16)*1000000)/D16</f>
        <v>20.446707992384475</v>
      </c>
      <c r="W16" s="340">
        <f>(SUM(J16:Q16)*1000000)/D16</f>
        <v>18.255989278914711</v>
      </c>
      <c r="X16" s="339">
        <f>SUM(X4:X15)</f>
        <v>0</v>
      </c>
      <c r="Y16" s="340">
        <f>(SUM(J16:Q16)*1000000)/D16</f>
        <v>18.255989278914711</v>
      </c>
      <c r="Z16" s="342">
        <f>T16/D16</f>
        <v>5.3324983128295819E-7</v>
      </c>
    </row>
    <row r="18" spans="2:26" ht="40.5" customHeight="1" thickBot="1">
      <c r="B18" s="1328">
        <v>2021</v>
      </c>
      <c r="C18" s="1328"/>
      <c r="D18" s="331"/>
      <c r="E18" s="331"/>
      <c r="F18" s="331"/>
      <c r="G18" s="331"/>
      <c r="H18" s="331"/>
      <c r="I18" s="331"/>
      <c r="J18" s="331"/>
      <c r="K18" s="331"/>
      <c r="L18" s="331"/>
      <c r="M18" s="331"/>
      <c r="N18" s="332"/>
      <c r="O18" s="331"/>
      <c r="P18" s="332"/>
      <c r="Q18" s="332"/>
      <c r="R18" s="332"/>
      <c r="S18" s="332"/>
      <c r="T18" s="331"/>
      <c r="U18" s="331"/>
      <c r="V18" s="333"/>
      <c r="W18" s="333"/>
      <c r="X18" s="332"/>
      <c r="Y18" s="333"/>
      <c r="Z18" s="331"/>
    </row>
    <row r="19" spans="2:26" ht="24" customHeight="1">
      <c r="B19" s="1320" t="s">
        <v>164</v>
      </c>
      <c r="C19" s="1322" t="s">
        <v>95</v>
      </c>
      <c r="D19" s="1317" t="s">
        <v>165</v>
      </c>
      <c r="E19" s="1322" t="s">
        <v>97</v>
      </c>
      <c r="F19" s="1324" t="s">
        <v>98</v>
      </c>
      <c r="G19" s="1324" t="s">
        <v>108</v>
      </c>
      <c r="H19" s="1324" t="s">
        <v>67</v>
      </c>
      <c r="I19" s="1324" t="s">
        <v>66</v>
      </c>
      <c r="J19" s="1324" t="s">
        <v>64</v>
      </c>
      <c r="K19" s="1317" t="s">
        <v>65</v>
      </c>
      <c r="L19" s="1317" t="s">
        <v>59</v>
      </c>
      <c r="M19" s="1324" t="s">
        <v>166</v>
      </c>
      <c r="N19" s="1324" t="s">
        <v>34</v>
      </c>
      <c r="O19" s="1324" t="s">
        <v>109</v>
      </c>
      <c r="P19" s="1322" t="s">
        <v>30</v>
      </c>
      <c r="Q19" s="1322" t="s">
        <v>110</v>
      </c>
      <c r="R19" s="1329" t="s">
        <v>144</v>
      </c>
      <c r="S19" s="1322" t="s">
        <v>100</v>
      </c>
      <c r="T19" s="1322" t="s">
        <v>101</v>
      </c>
      <c r="U19" s="1329" t="s">
        <v>167</v>
      </c>
      <c r="V19" s="1317" t="s">
        <v>103</v>
      </c>
      <c r="W19" s="1324" t="s">
        <v>104</v>
      </c>
      <c r="X19" s="1317" t="s">
        <v>105</v>
      </c>
      <c r="Y19" s="1317" t="s">
        <v>106</v>
      </c>
      <c r="Z19" s="1326" t="s">
        <v>107</v>
      </c>
    </row>
    <row r="20" spans="2:26" ht="24" customHeight="1" thickBot="1">
      <c r="B20" s="1321"/>
      <c r="C20" s="1323"/>
      <c r="D20" s="1318"/>
      <c r="E20" s="1323"/>
      <c r="F20" s="1325"/>
      <c r="G20" s="1325"/>
      <c r="H20" s="1325"/>
      <c r="I20" s="1325"/>
      <c r="J20" s="1325"/>
      <c r="K20" s="1318"/>
      <c r="L20" s="1318"/>
      <c r="M20" s="1325"/>
      <c r="N20" s="1325"/>
      <c r="O20" s="1325"/>
      <c r="P20" s="1323"/>
      <c r="Q20" s="1323"/>
      <c r="R20" s="1330"/>
      <c r="S20" s="1323"/>
      <c r="T20" s="1323"/>
      <c r="U20" s="1330"/>
      <c r="V20" s="1318"/>
      <c r="W20" s="1325"/>
      <c r="X20" s="1318"/>
      <c r="Y20" s="1318"/>
      <c r="Z20" s="1327"/>
    </row>
    <row r="21" spans="2:26" ht="22.5">
      <c r="B21" s="1174" t="s">
        <v>168</v>
      </c>
      <c r="C21" s="1175">
        <v>657</v>
      </c>
      <c r="D21" s="1176">
        <v>155571</v>
      </c>
      <c r="E21" s="1177">
        <f>D21/31*31</f>
        <v>155571</v>
      </c>
      <c r="F21" s="1178">
        <v>0</v>
      </c>
      <c r="G21" s="1178">
        <v>0</v>
      </c>
      <c r="H21" s="1177">
        <v>0</v>
      </c>
      <c r="I21" s="1179">
        <v>0</v>
      </c>
      <c r="J21" s="1177">
        <v>1</v>
      </c>
      <c r="K21" s="1177">
        <v>0</v>
      </c>
      <c r="L21" s="1177">
        <v>2</v>
      </c>
      <c r="M21" s="1179">
        <v>0</v>
      </c>
      <c r="N21" s="1179">
        <v>0</v>
      </c>
      <c r="O21" s="1179">
        <v>0</v>
      </c>
      <c r="P21" s="1179">
        <v>0</v>
      </c>
      <c r="Q21" s="1179">
        <v>0</v>
      </c>
      <c r="R21" s="1177">
        <f>SUM(H21:Q21)</f>
        <v>3</v>
      </c>
      <c r="S21" s="1179">
        <v>0</v>
      </c>
      <c r="T21" s="1177">
        <v>648345729</v>
      </c>
      <c r="U21" s="1160">
        <f t="shared" ref="U21:U32" si="9">((P21)*1000000)/D21</f>
        <v>0</v>
      </c>
      <c r="V21" s="1161">
        <f>((J21+K21+L21+N21+M21+O21+P21+Q21)*1000000)/D21</f>
        <v>19.283799679888926</v>
      </c>
      <c r="W21" s="1161">
        <f t="shared" ref="W21:W32" si="10">$J21*1000000/$D21</f>
        <v>6.4279332266296416</v>
      </c>
      <c r="X21" s="1162">
        <f>(SUM(S21)*1000000)/D21</f>
        <v>0</v>
      </c>
      <c r="Y21" s="1163">
        <f t="shared" ref="Y21:Y32" si="11">(SUM(J21:Q21)*1000000)/D21</f>
        <v>19.283799679888926</v>
      </c>
      <c r="Z21" s="1164">
        <f t="shared" ref="Z21:Z32" si="12">T21/D21</f>
        <v>4167.5230537825173</v>
      </c>
    </row>
    <row r="22" spans="2:26" ht="22.5">
      <c r="B22" s="1174" t="s">
        <v>169</v>
      </c>
      <c r="C22" s="1180">
        <v>713</v>
      </c>
      <c r="D22" s="1176">
        <v>156767</v>
      </c>
      <c r="E22" s="1177">
        <f>D22/31*31</f>
        <v>156767</v>
      </c>
      <c r="F22" s="1178">
        <v>0</v>
      </c>
      <c r="G22" s="1178">
        <v>0</v>
      </c>
      <c r="H22" s="1177">
        <v>0</v>
      </c>
      <c r="I22" s="1179">
        <v>0</v>
      </c>
      <c r="J22" s="1177">
        <v>1</v>
      </c>
      <c r="K22" s="1177">
        <v>0</v>
      </c>
      <c r="L22" s="1177">
        <v>0</v>
      </c>
      <c r="M22" s="1179">
        <v>0</v>
      </c>
      <c r="N22" s="1179">
        <v>0</v>
      </c>
      <c r="O22" s="1179">
        <v>0</v>
      </c>
      <c r="P22" s="1179">
        <v>0</v>
      </c>
      <c r="Q22" s="1179">
        <v>0</v>
      </c>
      <c r="R22" s="1177">
        <f t="shared" ref="R22:R32" si="13">SUM(H22:Q22)</f>
        <v>1</v>
      </c>
      <c r="S22" s="1179">
        <v>0</v>
      </c>
      <c r="T22" s="1177">
        <v>0</v>
      </c>
      <c r="U22" s="1160">
        <f t="shared" si="9"/>
        <v>0</v>
      </c>
      <c r="V22" s="1161">
        <f t="shared" ref="V22:V32" si="14">((J22+K22+L22+N22+M22+O22+P22+Q22)*1000000)/D22</f>
        <v>6.3788935171305186</v>
      </c>
      <c r="W22" s="1161">
        <f t="shared" si="10"/>
        <v>6.3788935171305186</v>
      </c>
      <c r="X22" s="1162">
        <f t="shared" ref="X22:X32" si="15">(SUM(S22)*1000000)/D22</f>
        <v>0</v>
      </c>
      <c r="Y22" s="1163">
        <f t="shared" si="11"/>
        <v>6.3788935171305186</v>
      </c>
      <c r="Z22" s="1164">
        <f t="shared" si="12"/>
        <v>0</v>
      </c>
    </row>
    <row r="23" spans="2:26" ht="22.5">
      <c r="B23" s="1174" t="s">
        <v>170</v>
      </c>
      <c r="C23" s="1180">
        <v>789</v>
      </c>
      <c r="D23" s="1176">
        <v>196951.5</v>
      </c>
      <c r="E23" s="1177">
        <f>D23/31*31</f>
        <v>196951.5</v>
      </c>
      <c r="F23" s="1178">
        <v>0</v>
      </c>
      <c r="G23" s="1178">
        <v>0</v>
      </c>
      <c r="H23" s="1177">
        <v>1</v>
      </c>
      <c r="I23" s="1179">
        <v>0</v>
      </c>
      <c r="J23" s="1177">
        <v>2</v>
      </c>
      <c r="K23" s="1177">
        <v>0</v>
      </c>
      <c r="L23" s="1177">
        <v>0</v>
      </c>
      <c r="M23" s="1179">
        <v>0</v>
      </c>
      <c r="N23" s="1179">
        <v>0</v>
      </c>
      <c r="O23" s="1179">
        <v>0</v>
      </c>
      <c r="P23" s="1179">
        <v>0</v>
      </c>
      <c r="Q23" s="1179">
        <v>0</v>
      </c>
      <c r="R23" s="1177">
        <f t="shared" si="13"/>
        <v>3</v>
      </c>
      <c r="S23" s="1179">
        <v>0</v>
      </c>
      <c r="T23" s="1177">
        <v>384978154</v>
      </c>
      <c r="U23" s="1160">
        <f t="shared" si="9"/>
        <v>0</v>
      </c>
      <c r="V23" s="1161">
        <f t="shared" si="14"/>
        <v>10.154784299687995</v>
      </c>
      <c r="W23" s="1161">
        <f t="shared" si="10"/>
        <v>10.154784299687995</v>
      </c>
      <c r="X23" s="1162">
        <f t="shared" si="15"/>
        <v>0</v>
      </c>
      <c r="Y23" s="1163">
        <f t="shared" si="11"/>
        <v>10.154784299687995</v>
      </c>
      <c r="Z23" s="1164">
        <f t="shared" si="12"/>
        <v>1954.6850569810333</v>
      </c>
    </row>
    <row r="24" spans="2:26" ht="22.5">
      <c r="B24" s="1174" t="s">
        <v>171</v>
      </c>
      <c r="C24" s="1181">
        <v>849</v>
      </c>
      <c r="D24" s="1181">
        <v>211266</v>
      </c>
      <c r="E24" s="1177">
        <f>D24/31*31</f>
        <v>211266</v>
      </c>
      <c r="F24" s="1178">
        <v>0</v>
      </c>
      <c r="G24" s="1178">
        <v>0</v>
      </c>
      <c r="H24" s="1177">
        <v>0</v>
      </c>
      <c r="I24" s="1179">
        <v>0</v>
      </c>
      <c r="J24" s="1177">
        <v>5</v>
      </c>
      <c r="K24" s="1177">
        <v>0</v>
      </c>
      <c r="L24" s="1177">
        <v>3</v>
      </c>
      <c r="M24" s="1179">
        <v>0</v>
      </c>
      <c r="N24" s="1179">
        <v>0</v>
      </c>
      <c r="O24" s="1179">
        <v>0</v>
      </c>
      <c r="P24" s="1179">
        <v>0</v>
      </c>
      <c r="Q24" s="1179">
        <v>0</v>
      </c>
      <c r="R24" s="1177">
        <f t="shared" si="13"/>
        <v>8</v>
      </c>
      <c r="S24" s="1179">
        <v>0</v>
      </c>
      <c r="T24" s="1177">
        <v>6294672729.6499996</v>
      </c>
      <c r="U24" s="1160">
        <f t="shared" si="9"/>
        <v>0</v>
      </c>
      <c r="V24" s="1161">
        <f t="shared" si="14"/>
        <v>37.866954455520528</v>
      </c>
      <c r="W24" s="1161">
        <f t="shared" si="10"/>
        <v>23.66684653470033</v>
      </c>
      <c r="X24" s="1162">
        <f t="shared" si="15"/>
        <v>0</v>
      </c>
      <c r="Y24" s="1163">
        <f t="shared" si="11"/>
        <v>37.866954455520528</v>
      </c>
      <c r="Z24" s="1164">
        <f t="shared" si="12"/>
        <v>29795.010695757952</v>
      </c>
    </row>
    <row r="25" spans="2:26" ht="22.5">
      <c r="B25" s="1174" t="s">
        <v>6</v>
      </c>
      <c r="C25" s="1181">
        <v>985</v>
      </c>
      <c r="D25" s="1181">
        <v>208986</v>
      </c>
      <c r="E25" s="1177">
        <f>D25/31*31</f>
        <v>208986</v>
      </c>
      <c r="F25" s="1178">
        <v>0</v>
      </c>
      <c r="G25" s="1178">
        <v>0</v>
      </c>
      <c r="H25" s="1177">
        <v>4</v>
      </c>
      <c r="I25" s="1179">
        <v>0</v>
      </c>
      <c r="J25" s="1177">
        <v>3</v>
      </c>
      <c r="K25" s="1177">
        <v>0</v>
      </c>
      <c r="L25" s="1177">
        <v>0</v>
      </c>
      <c r="M25" s="1177">
        <v>0</v>
      </c>
      <c r="N25" s="1177">
        <v>0</v>
      </c>
      <c r="O25" s="1177">
        <v>0</v>
      </c>
      <c r="P25" s="1177">
        <v>0</v>
      </c>
      <c r="Q25" s="1177">
        <v>0</v>
      </c>
      <c r="R25" s="1177">
        <f t="shared" si="13"/>
        <v>7</v>
      </c>
      <c r="S25" s="1177">
        <v>0</v>
      </c>
      <c r="T25" s="1177">
        <v>467922400</v>
      </c>
      <c r="U25" s="1160">
        <f t="shared" si="9"/>
        <v>0</v>
      </c>
      <c r="V25" s="1161">
        <f t="shared" si="14"/>
        <v>14.355028566506848</v>
      </c>
      <c r="W25" s="1161">
        <f t="shared" si="10"/>
        <v>14.355028566506848</v>
      </c>
      <c r="X25" s="1162">
        <f t="shared" si="15"/>
        <v>0</v>
      </c>
      <c r="Y25" s="1163">
        <f t="shared" si="11"/>
        <v>14.355028566506848</v>
      </c>
      <c r="Z25" s="1164">
        <f t="shared" si="12"/>
        <v>2239.013139636148</v>
      </c>
    </row>
    <row r="26" spans="2:26" ht="22.5">
      <c r="B26" s="1182" t="s">
        <v>172</v>
      </c>
      <c r="C26" s="1181">
        <v>970</v>
      </c>
      <c r="D26" s="1181">
        <v>253971</v>
      </c>
      <c r="E26" s="1177">
        <v>0</v>
      </c>
      <c r="F26" s="1178">
        <v>0</v>
      </c>
      <c r="G26" s="1178">
        <v>0</v>
      </c>
      <c r="H26" s="1177">
        <v>3</v>
      </c>
      <c r="I26" s="1179">
        <v>2</v>
      </c>
      <c r="J26" s="1177"/>
      <c r="K26" s="1177">
        <v>0</v>
      </c>
      <c r="L26" s="1177">
        <v>0</v>
      </c>
      <c r="M26" s="1179">
        <v>0</v>
      </c>
      <c r="N26" s="1179">
        <v>0</v>
      </c>
      <c r="O26" s="1179">
        <v>0</v>
      </c>
      <c r="P26" s="1179">
        <v>0</v>
      </c>
      <c r="Q26" s="1179">
        <v>1</v>
      </c>
      <c r="R26" s="1177">
        <f t="shared" si="13"/>
        <v>6</v>
      </c>
      <c r="S26" s="1179">
        <v>6000</v>
      </c>
      <c r="T26" s="1177">
        <v>1751009640</v>
      </c>
      <c r="U26" s="1160">
        <f t="shared" si="9"/>
        <v>0</v>
      </c>
      <c r="V26" s="1161">
        <f t="shared" si="14"/>
        <v>3.9374574262415787</v>
      </c>
      <c r="W26" s="1161">
        <f t="shared" si="10"/>
        <v>0</v>
      </c>
      <c r="X26" s="1162">
        <f t="shared" si="15"/>
        <v>23624.744557449474</v>
      </c>
      <c r="Y26" s="1163">
        <f t="shared" si="11"/>
        <v>3.9374574262415787</v>
      </c>
      <c r="Z26" s="1164">
        <f t="shared" si="12"/>
        <v>6894.5259104385932</v>
      </c>
    </row>
    <row r="27" spans="2:26" ht="22.5">
      <c r="B27" s="1182" t="s">
        <v>8</v>
      </c>
      <c r="C27" s="1181">
        <v>970</v>
      </c>
      <c r="D27" s="1181">
        <v>253971</v>
      </c>
      <c r="E27" s="1177">
        <f>D27/31*31</f>
        <v>253971</v>
      </c>
      <c r="F27" s="1178">
        <v>0</v>
      </c>
      <c r="G27" s="1178">
        <v>0</v>
      </c>
      <c r="H27" s="1177">
        <v>2</v>
      </c>
      <c r="I27" s="1179">
        <v>0</v>
      </c>
      <c r="J27" s="1177">
        <v>2</v>
      </c>
      <c r="K27" s="1177">
        <v>0</v>
      </c>
      <c r="L27" s="1177">
        <v>0</v>
      </c>
      <c r="M27" s="1179">
        <v>0</v>
      </c>
      <c r="N27" s="1179">
        <v>0</v>
      </c>
      <c r="O27" s="1179">
        <v>0</v>
      </c>
      <c r="P27" s="1179">
        <v>0</v>
      </c>
      <c r="Q27" s="1179">
        <v>0</v>
      </c>
      <c r="R27" s="1177">
        <f t="shared" si="13"/>
        <v>4</v>
      </c>
      <c r="S27" s="1179">
        <v>0</v>
      </c>
      <c r="T27" s="1177">
        <v>236732535</v>
      </c>
      <c r="U27" s="1160">
        <f t="shared" si="9"/>
        <v>0</v>
      </c>
      <c r="V27" s="1161">
        <f t="shared" si="14"/>
        <v>7.8749148524831574</v>
      </c>
      <c r="W27" s="1161">
        <f t="shared" si="10"/>
        <v>7.8749148524831574</v>
      </c>
      <c r="X27" s="1162">
        <f t="shared" si="15"/>
        <v>0</v>
      </c>
      <c r="Y27" s="1163">
        <f t="shared" si="11"/>
        <v>7.8749148524831574</v>
      </c>
      <c r="Z27" s="1164">
        <f t="shared" si="12"/>
        <v>932.12427796874442</v>
      </c>
    </row>
    <row r="28" spans="2:26" ht="22.5">
      <c r="B28" s="1182" t="s">
        <v>173</v>
      </c>
      <c r="C28" s="1181">
        <v>970</v>
      </c>
      <c r="D28" s="1181">
        <v>253971</v>
      </c>
      <c r="E28" s="1177">
        <f>D28/31*31</f>
        <v>253971</v>
      </c>
      <c r="F28" s="1178">
        <v>0</v>
      </c>
      <c r="G28" s="1178">
        <v>0</v>
      </c>
      <c r="H28" s="1177">
        <v>0</v>
      </c>
      <c r="I28" s="1179">
        <v>0</v>
      </c>
      <c r="J28" s="1177">
        <v>2</v>
      </c>
      <c r="K28" s="1177">
        <v>0</v>
      </c>
      <c r="L28" s="1177">
        <v>0</v>
      </c>
      <c r="M28" s="1179">
        <v>0</v>
      </c>
      <c r="N28" s="1179">
        <v>0</v>
      </c>
      <c r="O28" s="1179">
        <v>0</v>
      </c>
      <c r="P28" s="1179">
        <v>0</v>
      </c>
      <c r="Q28" s="1179">
        <v>0</v>
      </c>
      <c r="R28" s="1177">
        <f t="shared" si="13"/>
        <v>2</v>
      </c>
      <c r="S28" s="1179">
        <v>0</v>
      </c>
      <c r="T28" s="1177">
        <v>173578800</v>
      </c>
      <c r="U28" s="1160">
        <f t="shared" si="9"/>
        <v>0</v>
      </c>
      <c r="V28" s="1161">
        <f t="shared" si="14"/>
        <v>7.8749148524831574</v>
      </c>
      <c r="W28" s="1161">
        <f t="shared" si="10"/>
        <v>7.8749148524831574</v>
      </c>
      <c r="X28" s="1162">
        <f t="shared" si="15"/>
        <v>0</v>
      </c>
      <c r="Y28" s="1163">
        <f t="shared" si="11"/>
        <v>7.8749148524831574</v>
      </c>
      <c r="Z28" s="1164">
        <f t="shared" si="12"/>
        <v>683.4591350981018</v>
      </c>
    </row>
    <row r="29" spans="2:26" ht="22.5">
      <c r="B29" s="1182" t="s">
        <v>174</v>
      </c>
      <c r="C29" s="1181">
        <v>970</v>
      </c>
      <c r="D29" s="1181">
        <v>253971</v>
      </c>
      <c r="E29" s="1177">
        <f>D29/31*31</f>
        <v>253971</v>
      </c>
      <c r="F29" s="1178">
        <v>0</v>
      </c>
      <c r="G29" s="1178">
        <v>0</v>
      </c>
      <c r="H29" s="1177">
        <v>1</v>
      </c>
      <c r="I29" s="1179">
        <v>0</v>
      </c>
      <c r="J29" s="1177">
        <v>4</v>
      </c>
      <c r="K29" s="1177">
        <v>0</v>
      </c>
      <c r="L29" s="1177">
        <v>0</v>
      </c>
      <c r="M29" s="1179">
        <v>0</v>
      </c>
      <c r="N29" s="1179">
        <v>0</v>
      </c>
      <c r="O29" s="1179">
        <v>0</v>
      </c>
      <c r="P29" s="1179">
        <v>0</v>
      </c>
      <c r="Q29" s="1179">
        <v>0</v>
      </c>
      <c r="R29" s="1177">
        <f t="shared" si="13"/>
        <v>5</v>
      </c>
      <c r="S29" s="1179">
        <v>0</v>
      </c>
      <c r="T29" s="1177">
        <v>151384150</v>
      </c>
      <c r="U29" s="1160">
        <f t="shared" si="9"/>
        <v>0</v>
      </c>
      <c r="V29" s="1161">
        <f t="shared" si="14"/>
        <v>15.749829704966315</v>
      </c>
      <c r="W29" s="1161">
        <f t="shared" si="10"/>
        <v>15.749829704966315</v>
      </c>
      <c r="X29" s="1162">
        <f t="shared" si="15"/>
        <v>0</v>
      </c>
      <c r="Y29" s="1163">
        <f t="shared" si="11"/>
        <v>15.749829704966315</v>
      </c>
      <c r="Z29" s="1164">
        <f t="shared" si="12"/>
        <v>596.06864563276906</v>
      </c>
    </row>
    <row r="30" spans="2:26" ht="22.5">
      <c r="B30" s="1182" t="s">
        <v>175</v>
      </c>
      <c r="C30" s="1181">
        <v>931</v>
      </c>
      <c r="D30" s="1181">
        <v>243882</v>
      </c>
      <c r="E30" s="1177">
        <f>D30/31*31</f>
        <v>243882</v>
      </c>
      <c r="F30" s="1178">
        <v>0</v>
      </c>
      <c r="G30" s="1178">
        <v>0</v>
      </c>
      <c r="H30" s="1177">
        <v>1</v>
      </c>
      <c r="I30" s="1179">
        <v>0</v>
      </c>
      <c r="J30" s="1177">
        <v>1</v>
      </c>
      <c r="K30" s="1177">
        <v>0</v>
      </c>
      <c r="L30" s="1177">
        <v>0</v>
      </c>
      <c r="M30" s="1179">
        <v>0</v>
      </c>
      <c r="N30" s="1179">
        <v>0</v>
      </c>
      <c r="O30" s="1179">
        <v>0</v>
      </c>
      <c r="P30" s="1179">
        <v>0</v>
      </c>
      <c r="Q30" s="1179">
        <v>0</v>
      </c>
      <c r="R30" s="1177">
        <f t="shared" si="13"/>
        <v>2</v>
      </c>
      <c r="S30" s="1179">
        <v>0</v>
      </c>
      <c r="T30" s="1177">
        <v>200000</v>
      </c>
      <c r="U30" s="1160">
        <f t="shared" si="9"/>
        <v>0</v>
      </c>
      <c r="V30" s="1161">
        <f t="shared" si="14"/>
        <v>4.1003436087944172</v>
      </c>
      <c r="W30" s="1161">
        <f t="shared" si="10"/>
        <v>4.1003436087944172</v>
      </c>
      <c r="X30" s="1162">
        <f t="shared" si="15"/>
        <v>0</v>
      </c>
      <c r="Y30" s="1163">
        <f t="shared" si="11"/>
        <v>4.1003436087944172</v>
      </c>
      <c r="Z30" s="1164">
        <f t="shared" si="12"/>
        <v>0.82006872175888335</v>
      </c>
    </row>
    <row r="31" spans="2:26" ht="22.5">
      <c r="B31" s="1182" t="s">
        <v>176</v>
      </c>
      <c r="C31" s="1181">
        <v>931</v>
      </c>
      <c r="D31" s="1181">
        <v>243882</v>
      </c>
      <c r="E31" s="1177">
        <f>D31/31*31</f>
        <v>243882</v>
      </c>
      <c r="F31" s="1178">
        <v>0</v>
      </c>
      <c r="G31" s="1178">
        <v>0</v>
      </c>
      <c r="H31" s="1177">
        <v>1</v>
      </c>
      <c r="I31" s="1179">
        <v>0</v>
      </c>
      <c r="J31" s="1177">
        <v>3</v>
      </c>
      <c r="K31" s="1177">
        <v>0</v>
      </c>
      <c r="L31" s="1177">
        <v>0</v>
      </c>
      <c r="M31" s="1179">
        <v>0</v>
      </c>
      <c r="N31" s="1179">
        <v>0</v>
      </c>
      <c r="O31" s="1179">
        <v>0</v>
      </c>
      <c r="P31" s="1179">
        <v>0</v>
      </c>
      <c r="Q31" s="1179">
        <v>0</v>
      </c>
      <c r="R31" s="1177">
        <f t="shared" si="13"/>
        <v>4</v>
      </c>
      <c r="S31" s="1179">
        <v>0</v>
      </c>
      <c r="T31" s="1177">
        <v>758494631</v>
      </c>
      <c r="U31" s="1160">
        <f t="shared" si="9"/>
        <v>0</v>
      </c>
      <c r="V31" s="1161">
        <f t="shared" si="14"/>
        <v>12.301030826383251</v>
      </c>
      <c r="W31" s="1161">
        <f t="shared" si="10"/>
        <v>12.301030826383251</v>
      </c>
      <c r="X31" s="1162">
        <f t="shared" si="15"/>
        <v>0</v>
      </c>
      <c r="Y31" s="1163">
        <f t="shared" si="11"/>
        <v>12.301030826383251</v>
      </c>
      <c r="Z31" s="1164">
        <f t="shared" si="12"/>
        <v>3110.0886125257298</v>
      </c>
    </row>
    <row r="32" spans="2:26" ht="23.1" thickBot="1">
      <c r="B32" s="1182" t="s">
        <v>177</v>
      </c>
      <c r="C32" s="1181">
        <v>931</v>
      </c>
      <c r="D32" s="1181">
        <v>243882</v>
      </c>
      <c r="E32" s="1177">
        <f>D32/31*30</f>
        <v>236014.83870967742</v>
      </c>
      <c r="F32" s="1178">
        <v>0</v>
      </c>
      <c r="G32" s="1178">
        <v>0</v>
      </c>
      <c r="H32" s="1177">
        <v>1</v>
      </c>
      <c r="I32" s="1179">
        <v>0</v>
      </c>
      <c r="J32" s="1177">
        <v>1</v>
      </c>
      <c r="K32" s="1177">
        <v>0</v>
      </c>
      <c r="L32" s="1177">
        <v>0</v>
      </c>
      <c r="M32" s="1179">
        <v>0</v>
      </c>
      <c r="N32" s="1179">
        <v>0</v>
      </c>
      <c r="O32" s="1179">
        <v>0</v>
      </c>
      <c r="P32" s="1179">
        <v>1</v>
      </c>
      <c r="Q32" s="1179">
        <v>0</v>
      </c>
      <c r="R32" s="1177">
        <f t="shared" si="13"/>
        <v>3</v>
      </c>
      <c r="S32" s="1179">
        <v>25</v>
      </c>
      <c r="T32" s="1177"/>
      <c r="U32" s="1160">
        <f t="shared" si="9"/>
        <v>4.1003436087944172</v>
      </c>
      <c r="V32" s="1161">
        <f t="shared" si="14"/>
        <v>8.2006872175888343</v>
      </c>
      <c r="W32" s="1161">
        <f t="shared" si="10"/>
        <v>4.1003436087944172</v>
      </c>
      <c r="X32" s="1162">
        <f t="shared" si="15"/>
        <v>102.50859021986042</v>
      </c>
      <c r="Y32" s="1163">
        <f t="shared" si="11"/>
        <v>8.2006872175888343</v>
      </c>
      <c r="Z32" s="1164">
        <f t="shared" si="12"/>
        <v>0</v>
      </c>
    </row>
    <row r="33" spans="2:26" s="344" customFormat="1" ht="34.5" customHeight="1" thickBot="1">
      <c r="B33" s="338" t="s">
        <v>123</v>
      </c>
      <c r="C33" s="339">
        <f>SUM(C21:C32)</f>
        <v>10666</v>
      </c>
      <c r="D33" s="339">
        <f t="shared" ref="D33:G33" si="16">SUM(D21:D32)</f>
        <v>2677071.5</v>
      </c>
      <c r="E33" s="339">
        <f t="shared" si="16"/>
        <v>2415233.3387096776</v>
      </c>
      <c r="F33" s="339">
        <f>SUM(F21:F32)</f>
        <v>0</v>
      </c>
      <c r="G33" s="339">
        <f t="shared" si="16"/>
        <v>0</v>
      </c>
      <c r="H33" s="339">
        <f>SUM(H21:H32)</f>
        <v>14</v>
      </c>
      <c r="I33" s="339">
        <f t="shared" ref="I33:R33" si="17">SUM(I21:I32)</f>
        <v>2</v>
      </c>
      <c r="J33" s="339">
        <f t="shared" si="17"/>
        <v>25</v>
      </c>
      <c r="K33" s="339">
        <f t="shared" si="17"/>
        <v>0</v>
      </c>
      <c r="L33" s="339">
        <f t="shared" si="17"/>
        <v>5</v>
      </c>
      <c r="M33" s="339">
        <f t="shared" si="17"/>
        <v>0</v>
      </c>
      <c r="N33" s="339">
        <f t="shared" si="17"/>
        <v>0</v>
      </c>
      <c r="O33" s="339">
        <f t="shared" si="17"/>
        <v>0</v>
      </c>
      <c r="P33" s="339">
        <f t="shared" si="17"/>
        <v>1</v>
      </c>
      <c r="Q33" s="339">
        <f t="shared" si="17"/>
        <v>1</v>
      </c>
      <c r="R33" s="339">
        <f t="shared" si="17"/>
        <v>48</v>
      </c>
      <c r="S33" s="339">
        <f>SUM(S21:S32)</f>
        <v>6025</v>
      </c>
      <c r="T33" s="339">
        <f>SUM(T21:T32)</f>
        <v>10867318768.65</v>
      </c>
      <c r="U33" s="340">
        <f>((P33)*1000000)/D33</f>
        <v>0.37354250717621851</v>
      </c>
      <c r="V33" s="340">
        <f>((J33+K33+L33+N33+M33+O33+P33+Q33)*1000000)/D33</f>
        <v>11.953360229638992</v>
      </c>
      <c r="W33" s="340">
        <f>$J33*1000000/$E33</f>
        <v>10.350966757255879</v>
      </c>
      <c r="X33" s="341">
        <f>(SUM(S33)*1000000)/D33</f>
        <v>2250.5936057367162</v>
      </c>
      <c r="Y33" s="340">
        <f>(SUM(J33:Q33)*1000000)/D33</f>
        <v>11.953360229638992</v>
      </c>
      <c r="Z33" s="342">
        <f>T33/D33</f>
        <v>4059.4054991246962</v>
      </c>
    </row>
    <row r="35" spans="2:26" ht="49.5" customHeight="1" thickBot="1">
      <c r="B35" s="1328">
        <v>2022</v>
      </c>
      <c r="C35" s="1328"/>
      <c r="D35" s="345"/>
      <c r="E35" s="345"/>
      <c r="F35" s="345"/>
      <c r="G35" s="345"/>
      <c r="H35" s="345"/>
      <c r="I35" s="345"/>
      <c r="J35" s="345"/>
      <c r="K35" s="345"/>
      <c r="L35" s="345"/>
      <c r="M35" s="345"/>
      <c r="N35" s="346"/>
      <c r="O35" s="345"/>
      <c r="P35" s="346"/>
      <c r="Q35" s="346"/>
      <c r="R35" s="346"/>
      <c r="S35" s="346"/>
      <c r="T35" s="345"/>
      <c r="U35" s="345"/>
      <c r="V35" s="336"/>
      <c r="W35" s="336"/>
      <c r="X35" s="346"/>
      <c r="Y35" s="336"/>
      <c r="Z35" s="345"/>
    </row>
    <row r="36" spans="2:26" ht="21" customHeight="1">
      <c r="B36" s="1320" t="s">
        <v>164</v>
      </c>
      <c r="C36" s="1322" t="s">
        <v>95</v>
      </c>
      <c r="D36" s="1317" t="s">
        <v>165</v>
      </c>
      <c r="E36" s="1322" t="s">
        <v>97</v>
      </c>
      <c r="F36" s="1331" t="s">
        <v>98</v>
      </c>
      <c r="G36" s="1331" t="s">
        <v>108</v>
      </c>
      <c r="H36" s="1331" t="s">
        <v>67</v>
      </c>
      <c r="I36" s="1324" t="s">
        <v>66</v>
      </c>
      <c r="J36" s="1331" t="s">
        <v>64</v>
      </c>
      <c r="K36" s="1335" t="s">
        <v>65</v>
      </c>
      <c r="L36" s="1335" t="s">
        <v>59</v>
      </c>
      <c r="M36" s="1331" t="s">
        <v>166</v>
      </c>
      <c r="N36" s="1331" t="s">
        <v>34</v>
      </c>
      <c r="O36" s="1331" t="s">
        <v>109</v>
      </c>
      <c r="P36" s="1337" t="s">
        <v>30</v>
      </c>
      <c r="Q36" s="1337" t="s">
        <v>110</v>
      </c>
      <c r="R36" s="1333" t="s">
        <v>144</v>
      </c>
      <c r="S36" s="1337" t="s">
        <v>100</v>
      </c>
      <c r="T36" s="1337" t="s">
        <v>101</v>
      </c>
      <c r="U36" s="1333" t="s">
        <v>167</v>
      </c>
      <c r="V36" s="1335" t="s">
        <v>103</v>
      </c>
      <c r="W36" s="1331" t="s">
        <v>104</v>
      </c>
      <c r="X36" s="1335" t="s">
        <v>105</v>
      </c>
      <c r="Y36" s="1335" t="s">
        <v>106</v>
      </c>
      <c r="Z36" s="1339" t="s">
        <v>107</v>
      </c>
    </row>
    <row r="37" spans="2:26" ht="21" customHeight="1" thickBot="1">
      <c r="B37" s="1321"/>
      <c r="C37" s="1323"/>
      <c r="D37" s="1318"/>
      <c r="E37" s="1323"/>
      <c r="F37" s="1332"/>
      <c r="G37" s="1332"/>
      <c r="H37" s="1332"/>
      <c r="I37" s="1325"/>
      <c r="J37" s="1332"/>
      <c r="K37" s="1336"/>
      <c r="L37" s="1336"/>
      <c r="M37" s="1332"/>
      <c r="N37" s="1332"/>
      <c r="O37" s="1332"/>
      <c r="P37" s="1338"/>
      <c r="Q37" s="1338"/>
      <c r="R37" s="1334"/>
      <c r="S37" s="1338"/>
      <c r="T37" s="1338"/>
      <c r="U37" s="1341"/>
      <c r="V37" s="1336"/>
      <c r="W37" s="1332"/>
      <c r="X37" s="1336"/>
      <c r="Y37" s="1336"/>
      <c r="Z37" s="1340"/>
    </row>
    <row r="38" spans="2:26" ht="22.5">
      <c r="B38" s="1156" t="s">
        <v>168</v>
      </c>
      <c r="C38" s="1157">
        <v>1100</v>
      </c>
      <c r="D38" s="1158">
        <v>300342</v>
      </c>
      <c r="E38" s="1155">
        <f>D38/31*31</f>
        <v>300342</v>
      </c>
      <c r="F38" s="1159">
        <v>0</v>
      </c>
      <c r="G38" s="1159">
        <v>0</v>
      </c>
      <c r="H38" s="1155">
        <v>5</v>
      </c>
      <c r="I38" s="1155">
        <v>1</v>
      </c>
      <c r="J38" s="1155">
        <v>6</v>
      </c>
      <c r="K38" s="1155">
        <v>0</v>
      </c>
      <c r="L38" s="1155">
        <v>0</v>
      </c>
      <c r="M38" s="1155">
        <v>0</v>
      </c>
      <c r="N38" s="1155">
        <v>0</v>
      </c>
      <c r="O38" s="1155">
        <v>0</v>
      </c>
      <c r="P38" s="1155">
        <v>0</v>
      </c>
      <c r="Q38" s="1155">
        <v>0</v>
      </c>
      <c r="R38" s="1155">
        <f t="shared" ref="R38:R47" si="18">-SUM(H38:Q38)</f>
        <v>-12</v>
      </c>
      <c r="S38" s="1155">
        <v>31</v>
      </c>
      <c r="T38" s="1155">
        <v>568989631.47056007</v>
      </c>
      <c r="U38" s="1160">
        <f>((P38)*1000000)/D38</f>
        <v>0</v>
      </c>
      <c r="V38" s="1161">
        <f>((J38+K38+L38+N38+M38+O38+P38+Q38)*1000000)/D38</f>
        <v>19.977225962402862</v>
      </c>
      <c r="W38" s="1161">
        <f t="shared" ref="W38:W49" si="19">$J38*1000000/$D38</f>
        <v>19.977225962402862</v>
      </c>
      <c r="X38" s="1162">
        <f>(SUM(S38)*1000000)/D38</f>
        <v>103.21566747241478</v>
      </c>
      <c r="Y38" s="1163">
        <f t="shared" ref="Y38:Y49" si="20">(SUM(J38:Q38)*1000000)/D38</f>
        <v>19.977225962402862</v>
      </c>
      <c r="Z38" s="1164">
        <f t="shared" ref="Z38:Z49" si="21">T38/D38</f>
        <v>1894.4724063586182</v>
      </c>
    </row>
    <row r="39" spans="2:26" ht="22.5">
      <c r="B39" s="1156" t="s">
        <v>169</v>
      </c>
      <c r="C39" s="1165">
        <v>1117</v>
      </c>
      <c r="D39" s="1158">
        <v>260112</v>
      </c>
      <c r="E39" s="1155">
        <f>D39/28*28</f>
        <v>260112</v>
      </c>
      <c r="F39" s="1159">
        <v>0</v>
      </c>
      <c r="G39" s="1159">
        <v>0</v>
      </c>
      <c r="H39" s="1155">
        <v>2</v>
      </c>
      <c r="I39" s="1155">
        <v>0</v>
      </c>
      <c r="J39" s="1155">
        <v>2</v>
      </c>
      <c r="K39" s="1155">
        <v>0</v>
      </c>
      <c r="L39" s="1155">
        <v>0</v>
      </c>
      <c r="M39" s="1155">
        <v>0</v>
      </c>
      <c r="N39" s="1155">
        <v>1</v>
      </c>
      <c r="O39" s="1155">
        <v>0</v>
      </c>
      <c r="P39" s="1155">
        <v>0</v>
      </c>
      <c r="Q39" s="1155">
        <v>0</v>
      </c>
      <c r="R39" s="1155">
        <f t="shared" si="18"/>
        <v>-5</v>
      </c>
      <c r="S39" s="1166">
        <v>28</v>
      </c>
      <c r="T39" s="1155">
        <v>981787068.51139998</v>
      </c>
      <c r="U39" s="1160">
        <f t="shared" ref="U39:U49" si="22">((P39)*1000000)/D39</f>
        <v>0</v>
      </c>
      <c r="V39" s="1161">
        <f t="shared" ref="V39:V49" si="23">((J39+K39+L39+N39+M39+O39+P39+Q39)*1000000)/D39</f>
        <v>11.533493264439933</v>
      </c>
      <c r="W39" s="1161">
        <f t="shared" si="19"/>
        <v>7.688995509626622</v>
      </c>
      <c r="X39" s="1162">
        <f>(SUM(S39)*1000000)/D39</f>
        <v>107.64593713477271</v>
      </c>
      <c r="Y39" s="1163">
        <f t="shared" si="20"/>
        <v>11.533493264439933</v>
      </c>
      <c r="Z39" s="1164">
        <f t="shared" si="21"/>
        <v>3774.4781805968196</v>
      </c>
    </row>
    <row r="40" spans="2:26" ht="22.5">
      <c r="B40" s="1156" t="s">
        <v>170</v>
      </c>
      <c r="C40" s="1165">
        <v>1513</v>
      </c>
      <c r="D40" s="1158">
        <v>247068</v>
      </c>
      <c r="E40" s="1155">
        <f>D40/31*31</f>
        <v>247068</v>
      </c>
      <c r="F40" s="1159">
        <v>0</v>
      </c>
      <c r="G40" s="1159">
        <v>0</v>
      </c>
      <c r="H40" s="1155">
        <v>2</v>
      </c>
      <c r="I40" s="1155">
        <v>0</v>
      </c>
      <c r="J40" s="1155">
        <v>5</v>
      </c>
      <c r="K40" s="1155">
        <v>0</v>
      </c>
      <c r="L40" s="1155">
        <v>0</v>
      </c>
      <c r="M40" s="1155">
        <v>0</v>
      </c>
      <c r="N40" s="1155">
        <v>0</v>
      </c>
      <c r="O40" s="1155">
        <v>0</v>
      </c>
      <c r="P40" s="1155">
        <v>0</v>
      </c>
      <c r="Q40" s="1155">
        <v>0</v>
      </c>
      <c r="R40" s="1155">
        <f t="shared" si="18"/>
        <v>-7</v>
      </c>
      <c r="S40" s="1166">
        <v>31</v>
      </c>
      <c r="T40" s="1155">
        <v>2353611297.9264531</v>
      </c>
      <c r="U40" s="1160">
        <f t="shared" si="22"/>
        <v>0</v>
      </c>
      <c r="V40" s="1161">
        <f t="shared" si="23"/>
        <v>20.237343565334239</v>
      </c>
      <c r="W40" s="1161">
        <f t="shared" si="19"/>
        <v>20.237343565334239</v>
      </c>
      <c r="X40" s="1162">
        <f>(SUM(S40)*1000000)/D40</f>
        <v>125.47153010507229</v>
      </c>
      <c r="Y40" s="1163">
        <f t="shared" si="20"/>
        <v>20.237343565334239</v>
      </c>
      <c r="Z40" s="1164">
        <f t="shared" si="21"/>
        <v>9526.1680910779742</v>
      </c>
    </row>
    <row r="41" spans="2:26" ht="22.5">
      <c r="B41" s="1156" t="s">
        <v>171</v>
      </c>
      <c r="C41" s="1165">
        <v>1270</v>
      </c>
      <c r="D41" s="1158">
        <v>256839</v>
      </c>
      <c r="E41" s="1155">
        <f>D41/30*30</f>
        <v>256838.99999999997</v>
      </c>
      <c r="F41" s="1159">
        <v>0</v>
      </c>
      <c r="G41" s="1159">
        <v>0</v>
      </c>
      <c r="H41" s="1155">
        <v>2</v>
      </c>
      <c r="I41" s="1155">
        <v>1</v>
      </c>
      <c r="J41" s="1155">
        <v>6</v>
      </c>
      <c r="K41" s="1155">
        <v>0</v>
      </c>
      <c r="L41" s="1155">
        <v>0</v>
      </c>
      <c r="M41" s="1155">
        <v>0</v>
      </c>
      <c r="N41" s="1155">
        <v>0</v>
      </c>
      <c r="O41" s="1155">
        <v>0</v>
      </c>
      <c r="P41" s="1155">
        <v>0</v>
      </c>
      <c r="Q41" s="1155">
        <v>0</v>
      </c>
      <c r="R41" s="1155">
        <f t="shared" si="18"/>
        <v>-9</v>
      </c>
      <c r="S41" s="1166">
        <v>0</v>
      </c>
      <c r="T41" s="1155">
        <v>2403861868.8175521</v>
      </c>
      <c r="U41" s="1160">
        <f t="shared" si="22"/>
        <v>0</v>
      </c>
      <c r="V41" s="1161">
        <f t="shared" si="23"/>
        <v>23.36093817527712</v>
      </c>
      <c r="W41" s="1161">
        <f t="shared" si="19"/>
        <v>23.36093817527712</v>
      </c>
      <c r="X41" s="1162">
        <f>(SUM(S41:S41)*1000000)/D41</f>
        <v>0</v>
      </c>
      <c r="Y41" s="1163">
        <f t="shared" si="20"/>
        <v>23.36093817527712</v>
      </c>
      <c r="Z41" s="1164">
        <f t="shared" si="21"/>
        <v>9359.4114165588253</v>
      </c>
    </row>
    <row r="42" spans="2:26" ht="22.5">
      <c r="B42" s="1156" t="s">
        <v>6</v>
      </c>
      <c r="C42" s="1165">
        <v>1413</v>
      </c>
      <c r="D42" s="1158">
        <v>327786</v>
      </c>
      <c r="E42" s="1155">
        <f>D42/31*31</f>
        <v>327786</v>
      </c>
      <c r="F42" s="1159">
        <v>0</v>
      </c>
      <c r="G42" s="1159">
        <v>0</v>
      </c>
      <c r="H42" s="1155">
        <v>5</v>
      </c>
      <c r="I42" s="1155">
        <v>1</v>
      </c>
      <c r="J42" s="1155">
        <v>4</v>
      </c>
      <c r="K42" s="1155">
        <v>0</v>
      </c>
      <c r="L42" s="1155">
        <v>0</v>
      </c>
      <c r="M42" s="1155">
        <v>0</v>
      </c>
      <c r="N42" s="1155">
        <v>0</v>
      </c>
      <c r="O42" s="1155">
        <v>0</v>
      </c>
      <c r="P42" s="1155">
        <v>0</v>
      </c>
      <c r="Q42" s="1155">
        <v>0</v>
      </c>
      <c r="R42" s="1155">
        <f t="shared" si="18"/>
        <v>-10</v>
      </c>
      <c r="S42" s="1155">
        <v>0</v>
      </c>
      <c r="T42" s="1155">
        <v>556196516.2076</v>
      </c>
      <c r="U42" s="1160">
        <f t="shared" si="22"/>
        <v>0</v>
      </c>
      <c r="V42" s="1161">
        <f>((J42+K42+L42+N42+M42+O42+P42+Q42)*1000000)/D42</f>
        <v>12.203083719255856</v>
      </c>
      <c r="W42" s="1161">
        <f t="shared" si="19"/>
        <v>12.203083719255856</v>
      </c>
      <c r="X42" s="1162">
        <f>(SUM(S42)*1000000)/D42</f>
        <v>0</v>
      </c>
      <c r="Y42" s="1163">
        <f t="shared" si="20"/>
        <v>12.203083719255856</v>
      </c>
      <c r="Z42" s="1164">
        <f t="shared" si="21"/>
        <v>1696.8281629099474</v>
      </c>
    </row>
    <row r="43" spans="2:26" ht="22.5">
      <c r="B43" s="1167" t="s">
        <v>172</v>
      </c>
      <c r="C43" s="1165">
        <v>1513</v>
      </c>
      <c r="D43" s="1158">
        <v>381713</v>
      </c>
      <c r="E43" s="1155">
        <f>D43/30*30</f>
        <v>381713</v>
      </c>
      <c r="F43" s="1159">
        <v>0</v>
      </c>
      <c r="G43" s="1159">
        <v>0</v>
      </c>
      <c r="H43" s="1155">
        <v>2</v>
      </c>
      <c r="I43" s="1155">
        <v>1</v>
      </c>
      <c r="J43" s="1155">
        <v>5</v>
      </c>
      <c r="K43" s="1155">
        <v>0</v>
      </c>
      <c r="L43" s="1155">
        <v>0</v>
      </c>
      <c r="M43" s="1155">
        <v>0</v>
      </c>
      <c r="N43" s="1155">
        <v>0</v>
      </c>
      <c r="O43" s="1155">
        <v>0</v>
      </c>
      <c r="P43" s="1155">
        <v>0</v>
      </c>
      <c r="Q43" s="1155">
        <v>0</v>
      </c>
      <c r="R43" s="1155">
        <f t="shared" si="18"/>
        <v>-8</v>
      </c>
      <c r="S43" s="1166">
        <v>0</v>
      </c>
      <c r="T43" s="1155">
        <v>49019660</v>
      </c>
      <c r="U43" s="1160">
        <f>(SUM(P43:Q43)*1000000)/D43</f>
        <v>0</v>
      </c>
      <c r="V43" s="1161">
        <f>((J43+K43+L43+N43+M43+O43+P43+Q43)*1000000)/D43</f>
        <v>13.098846515575838</v>
      </c>
      <c r="W43" s="1161">
        <f t="shared" si="19"/>
        <v>13.098846515575838</v>
      </c>
      <c r="X43" s="1162">
        <f t="shared" ref="X43:X49" si="24">(SUM(S43:S43)*1000000)/D43</f>
        <v>0</v>
      </c>
      <c r="Y43" s="1163">
        <f t="shared" si="20"/>
        <v>13.098846515575838</v>
      </c>
      <c r="Z43" s="1164">
        <f t="shared" si="21"/>
        <v>128.42020051714246</v>
      </c>
    </row>
    <row r="44" spans="2:26" ht="22.5">
      <c r="B44" s="1167" t="s">
        <v>8</v>
      </c>
      <c r="C44" s="1165">
        <v>1721</v>
      </c>
      <c r="D44" s="1158">
        <v>418169</v>
      </c>
      <c r="E44" s="1155">
        <f>D44/31*31</f>
        <v>418169</v>
      </c>
      <c r="F44" s="1159">
        <v>0</v>
      </c>
      <c r="G44" s="1159">
        <v>0</v>
      </c>
      <c r="H44" s="1155">
        <v>1</v>
      </c>
      <c r="I44" s="1155">
        <v>1</v>
      </c>
      <c r="J44" s="1155">
        <v>3</v>
      </c>
      <c r="K44" s="1155">
        <v>0</v>
      </c>
      <c r="L44" s="1155">
        <v>0</v>
      </c>
      <c r="M44" s="1155">
        <v>0</v>
      </c>
      <c r="N44" s="1155">
        <v>2</v>
      </c>
      <c r="O44" s="1155">
        <v>0</v>
      </c>
      <c r="P44" s="1155">
        <v>0</v>
      </c>
      <c r="Q44" s="1155">
        <v>0</v>
      </c>
      <c r="R44" s="1155">
        <f t="shared" si="18"/>
        <v>-7</v>
      </c>
      <c r="S44" s="1166">
        <v>0</v>
      </c>
      <c r="T44" s="1155">
        <v>1884392334</v>
      </c>
      <c r="U44" s="1160">
        <f t="shared" si="22"/>
        <v>0</v>
      </c>
      <c r="V44" s="1161">
        <f t="shared" si="23"/>
        <v>11.956888243748342</v>
      </c>
      <c r="W44" s="1161">
        <f t="shared" si="19"/>
        <v>7.1741329462490047</v>
      </c>
      <c r="X44" s="1162">
        <f t="shared" si="24"/>
        <v>0</v>
      </c>
      <c r="Y44" s="1163">
        <f t="shared" si="20"/>
        <v>11.956888243748342</v>
      </c>
      <c r="Z44" s="1164">
        <f t="shared" si="21"/>
        <v>4506.293709002819</v>
      </c>
    </row>
    <row r="45" spans="2:26" ht="22.5">
      <c r="B45" s="1167" t="s">
        <v>173</v>
      </c>
      <c r="C45" s="1168">
        <v>1809</v>
      </c>
      <c r="D45" s="1169">
        <v>421621.5</v>
      </c>
      <c r="E45" s="1155">
        <f>D45/31*31</f>
        <v>421621.5</v>
      </c>
      <c r="F45" s="1159">
        <v>0</v>
      </c>
      <c r="G45" s="1159">
        <v>0</v>
      </c>
      <c r="H45" s="1155">
        <v>5</v>
      </c>
      <c r="I45" s="1155">
        <v>1</v>
      </c>
      <c r="J45" s="1155">
        <v>3</v>
      </c>
      <c r="K45" s="1155">
        <v>0</v>
      </c>
      <c r="L45" s="1155">
        <v>0</v>
      </c>
      <c r="M45" s="1155">
        <v>0</v>
      </c>
      <c r="N45" s="1155">
        <v>0</v>
      </c>
      <c r="O45" s="1155">
        <v>0</v>
      </c>
      <c r="P45" s="1155">
        <v>0</v>
      </c>
      <c r="Q45" s="1155">
        <v>0</v>
      </c>
      <c r="R45" s="1155">
        <f t="shared" si="18"/>
        <v>-9</v>
      </c>
      <c r="S45" s="1166">
        <v>0</v>
      </c>
      <c r="T45" s="1155">
        <v>1193000000</v>
      </c>
      <c r="U45" s="1160">
        <f t="shared" si="22"/>
        <v>0</v>
      </c>
      <c r="V45" s="1161">
        <f t="shared" si="23"/>
        <v>7.1153866679000002</v>
      </c>
      <c r="W45" s="1161">
        <f t="shared" si="19"/>
        <v>7.1153866679000002</v>
      </c>
      <c r="X45" s="1162">
        <f t="shared" si="24"/>
        <v>0</v>
      </c>
      <c r="Y45" s="1163">
        <f t="shared" si="20"/>
        <v>7.1153866679000002</v>
      </c>
      <c r="Z45" s="1164">
        <f t="shared" si="21"/>
        <v>2829.5520982682333</v>
      </c>
    </row>
    <row r="46" spans="2:26" ht="22.5">
      <c r="B46" s="1167" t="s">
        <v>174</v>
      </c>
      <c r="C46" s="1168">
        <v>1810</v>
      </c>
      <c r="D46" s="1169">
        <v>426967</v>
      </c>
      <c r="E46" s="1155">
        <f>D46/30*30</f>
        <v>426967</v>
      </c>
      <c r="F46" s="1159">
        <v>0</v>
      </c>
      <c r="G46" s="1159">
        <v>0</v>
      </c>
      <c r="H46" s="1155">
        <v>1</v>
      </c>
      <c r="I46" s="1155">
        <v>0</v>
      </c>
      <c r="J46" s="1155">
        <v>2</v>
      </c>
      <c r="K46" s="1155"/>
      <c r="L46" s="1155"/>
      <c r="M46" s="1155"/>
      <c r="N46" s="1155">
        <v>0</v>
      </c>
      <c r="O46" s="1155">
        <v>0</v>
      </c>
      <c r="P46" s="1155">
        <v>0</v>
      </c>
      <c r="Q46" s="1155">
        <v>0</v>
      </c>
      <c r="R46" s="1155">
        <f t="shared" si="18"/>
        <v>-3</v>
      </c>
      <c r="S46" s="1166">
        <v>0</v>
      </c>
      <c r="T46" s="1155">
        <v>26250000</v>
      </c>
      <c r="U46" s="1160">
        <f t="shared" si="22"/>
        <v>0</v>
      </c>
      <c r="V46" s="1161">
        <f t="shared" si="23"/>
        <v>4.6842027604006864</v>
      </c>
      <c r="W46" s="1161">
        <f t="shared" si="19"/>
        <v>4.6842027604006864</v>
      </c>
      <c r="X46" s="1162">
        <f t="shared" si="24"/>
        <v>0</v>
      </c>
      <c r="Y46" s="1163">
        <f t="shared" si="20"/>
        <v>4.6842027604006864</v>
      </c>
      <c r="Z46" s="1164">
        <f t="shared" si="21"/>
        <v>61.480161230259014</v>
      </c>
    </row>
    <row r="47" spans="2:26" ht="22.5">
      <c r="B47" s="1167" t="s">
        <v>175</v>
      </c>
      <c r="C47" s="1170"/>
      <c r="D47" s="1170"/>
      <c r="E47" s="1171"/>
      <c r="F47" s="1159">
        <v>0</v>
      </c>
      <c r="G47" s="1159">
        <v>0</v>
      </c>
      <c r="H47" s="1155">
        <v>1</v>
      </c>
      <c r="I47" s="1155">
        <v>1</v>
      </c>
      <c r="J47" s="1155">
        <v>2</v>
      </c>
      <c r="K47" s="1172">
        <v>0</v>
      </c>
      <c r="L47" s="1172">
        <v>0</v>
      </c>
      <c r="M47" s="1172">
        <v>0</v>
      </c>
      <c r="N47" s="1172">
        <v>0</v>
      </c>
      <c r="O47" s="1172">
        <v>0</v>
      </c>
      <c r="P47" s="1172">
        <v>0</v>
      </c>
      <c r="Q47" s="1172">
        <v>0</v>
      </c>
      <c r="R47" s="1155">
        <f t="shared" si="18"/>
        <v>-4</v>
      </c>
      <c r="S47" s="1166">
        <v>0</v>
      </c>
      <c r="T47" s="1155">
        <v>0</v>
      </c>
      <c r="U47" s="1160" t="e">
        <f t="shared" si="22"/>
        <v>#DIV/0!</v>
      </c>
      <c r="V47" s="1161" t="e">
        <f t="shared" si="23"/>
        <v>#DIV/0!</v>
      </c>
      <c r="W47" s="1161" t="e">
        <f t="shared" si="19"/>
        <v>#DIV/0!</v>
      </c>
      <c r="X47" s="1162" t="e">
        <f t="shared" si="24"/>
        <v>#DIV/0!</v>
      </c>
      <c r="Y47" s="1163" t="e">
        <f t="shared" si="20"/>
        <v>#DIV/0!</v>
      </c>
      <c r="Z47" s="1164" t="e">
        <f t="shared" si="21"/>
        <v>#DIV/0!</v>
      </c>
    </row>
    <row r="48" spans="2:26" ht="22.5">
      <c r="B48" s="1167" t="s">
        <v>176</v>
      </c>
      <c r="C48" s="1170"/>
      <c r="D48" s="1170"/>
      <c r="E48" s="1171"/>
      <c r="F48" s="1173"/>
      <c r="G48" s="1173"/>
      <c r="H48" s="1155"/>
      <c r="I48" s="1155">
        <v>0</v>
      </c>
      <c r="J48" s="1155"/>
      <c r="K48" s="1155"/>
      <c r="L48" s="1155"/>
      <c r="M48" s="1166"/>
      <c r="N48" s="1166"/>
      <c r="O48" s="1166"/>
      <c r="P48" s="1166"/>
      <c r="Q48" s="1166"/>
      <c r="R48" s="1155"/>
      <c r="S48" s="1166"/>
      <c r="T48" s="1155"/>
      <c r="U48" s="1160" t="e">
        <f t="shared" si="22"/>
        <v>#DIV/0!</v>
      </c>
      <c r="V48" s="1161" t="e">
        <f t="shared" si="23"/>
        <v>#DIV/0!</v>
      </c>
      <c r="W48" s="1161" t="e">
        <f t="shared" si="19"/>
        <v>#DIV/0!</v>
      </c>
      <c r="X48" s="1162" t="e">
        <f t="shared" si="24"/>
        <v>#DIV/0!</v>
      </c>
      <c r="Y48" s="1163" t="e">
        <f t="shared" si="20"/>
        <v>#DIV/0!</v>
      </c>
      <c r="Z48" s="1164" t="e">
        <f t="shared" si="21"/>
        <v>#DIV/0!</v>
      </c>
    </row>
    <row r="49" spans="2:26" ht="23.1" thickBot="1">
      <c r="B49" s="1167" t="s">
        <v>177</v>
      </c>
      <c r="C49" s="1170"/>
      <c r="D49" s="1170"/>
      <c r="E49" s="1171"/>
      <c r="F49" s="1173"/>
      <c r="G49" s="1173"/>
      <c r="H49" s="1155"/>
      <c r="I49" s="1155">
        <v>0</v>
      </c>
      <c r="J49" s="1155"/>
      <c r="K49" s="1155"/>
      <c r="L49" s="1155"/>
      <c r="M49" s="1166"/>
      <c r="N49" s="1166"/>
      <c r="O49" s="1166"/>
      <c r="P49" s="1166"/>
      <c r="Q49" s="1166"/>
      <c r="R49" s="1155"/>
      <c r="S49" s="1166"/>
      <c r="T49" s="1155"/>
      <c r="U49" s="1160" t="e">
        <f t="shared" si="22"/>
        <v>#DIV/0!</v>
      </c>
      <c r="V49" s="1161" t="e">
        <f t="shared" si="23"/>
        <v>#DIV/0!</v>
      </c>
      <c r="W49" s="1161" t="e">
        <f t="shared" si="19"/>
        <v>#DIV/0!</v>
      </c>
      <c r="X49" s="1162" t="e">
        <f t="shared" si="24"/>
        <v>#DIV/0!</v>
      </c>
      <c r="Y49" s="1163" t="e">
        <f t="shared" si="20"/>
        <v>#DIV/0!</v>
      </c>
      <c r="Z49" s="1164" t="e">
        <f t="shared" si="21"/>
        <v>#DIV/0!</v>
      </c>
    </row>
    <row r="50" spans="2:26" s="326" customFormat="1" ht="39" customHeight="1" thickBot="1">
      <c r="B50" s="338" t="s">
        <v>123</v>
      </c>
      <c r="C50" s="339">
        <f>SUM(C38:C49)</f>
        <v>13266</v>
      </c>
      <c r="D50" s="339">
        <f t="shared" ref="D50:Q50" si="25">SUM(D38:D49)</f>
        <v>3040617.5</v>
      </c>
      <c r="E50" s="339">
        <f t="shared" si="25"/>
        <v>3040617.5</v>
      </c>
      <c r="F50" s="339">
        <f t="shared" si="25"/>
        <v>0</v>
      </c>
      <c r="G50" s="339">
        <f t="shared" si="25"/>
        <v>0</v>
      </c>
      <c r="H50" s="339">
        <f t="shared" si="25"/>
        <v>26</v>
      </c>
      <c r="I50" s="339">
        <f t="shared" si="25"/>
        <v>7</v>
      </c>
      <c r="J50" s="339">
        <f t="shared" si="25"/>
        <v>38</v>
      </c>
      <c r="K50" s="339">
        <f t="shared" si="25"/>
        <v>0</v>
      </c>
      <c r="L50" s="339">
        <f t="shared" si="25"/>
        <v>0</v>
      </c>
      <c r="M50" s="339">
        <f t="shared" si="25"/>
        <v>0</v>
      </c>
      <c r="N50" s="339">
        <f t="shared" si="25"/>
        <v>3</v>
      </c>
      <c r="O50" s="339">
        <f t="shared" si="25"/>
        <v>0</v>
      </c>
      <c r="P50" s="339">
        <f t="shared" si="25"/>
        <v>0</v>
      </c>
      <c r="Q50" s="339">
        <f t="shared" si="25"/>
        <v>0</v>
      </c>
      <c r="R50" s="339">
        <f>SUM(R38:R49)</f>
        <v>-74</v>
      </c>
      <c r="S50" s="339">
        <f>SUM(S38:S49)</f>
        <v>90</v>
      </c>
      <c r="T50" s="339">
        <f>SUM(T38:T49)</f>
        <v>10017108376.933565</v>
      </c>
      <c r="U50" s="340">
        <f>((P50)*1000000)/D50</f>
        <v>0</v>
      </c>
      <c r="V50" s="340">
        <f>((J50+K50+L50+N50+M50+O50+P50+Q50)*1000000)/D50</f>
        <v>13.484103146811462</v>
      </c>
      <c r="W50" s="340">
        <f>$J50*1000000/$E50</f>
        <v>12.49746145314233</v>
      </c>
      <c r="X50" s="347">
        <f>(SUM(S50)*1000000)/D50</f>
        <v>29.59925081007394</v>
      </c>
      <c r="Y50" s="340">
        <f>(SUM(J50:Q50)*1000000)/D50</f>
        <v>13.484103146811462</v>
      </c>
      <c r="Z50" s="342">
        <f>T50/D50</f>
        <v>3294.4322582283253</v>
      </c>
    </row>
    <row r="51" spans="2:26" ht="15" thickBot="1">
      <c r="B51" s="34"/>
      <c r="C51" s="139"/>
      <c r="D51" s="139"/>
      <c r="E51" s="139"/>
      <c r="F51" s="35"/>
      <c r="G51" s="35"/>
      <c r="H51" s="35"/>
      <c r="I51" s="35"/>
      <c r="J51" s="35"/>
      <c r="K51" s="35"/>
      <c r="L51" s="35"/>
      <c r="M51" s="35"/>
      <c r="N51" s="35"/>
      <c r="O51" s="35"/>
      <c r="P51" s="35"/>
      <c r="Q51" s="35"/>
      <c r="R51" s="35"/>
      <c r="S51" s="35"/>
      <c r="T51" s="35"/>
      <c r="U51" s="35"/>
      <c r="V51" s="35"/>
      <c r="W51" s="35"/>
      <c r="X51" s="35"/>
      <c r="Y51" s="35"/>
      <c r="Z51" s="36"/>
    </row>
  </sheetData>
  <sheetProtection algorithmName="SHA-512" hashValue="lHgFRNUK+XuBTP7Hh85ViW3uBBbfRnyS6slp/5I3qPdQSzOvAOfyoj1aWI7J8L3WPhHmqNCq3pcksE7I1b9rQA==" saltValue="7xFxDAoFs3vQ6tx4oJDaLA==" spinCount="100000" sheet="1" objects="1" scenarios="1"/>
  <mergeCells count="78">
    <mergeCell ref="P36:P37"/>
    <mergeCell ref="Q36:Q37"/>
    <mergeCell ref="Y36:Y37"/>
    <mergeCell ref="Z36:Z37"/>
    <mergeCell ref="S36:S37"/>
    <mergeCell ref="T36:T37"/>
    <mergeCell ref="U36:U37"/>
    <mergeCell ref="V36:V37"/>
    <mergeCell ref="W36:W37"/>
    <mergeCell ref="X36:X37"/>
    <mergeCell ref="K36:K37"/>
    <mergeCell ref="L36:L37"/>
    <mergeCell ref="M36:M37"/>
    <mergeCell ref="N36:N37"/>
    <mergeCell ref="O36:O37"/>
    <mergeCell ref="B35:C35"/>
    <mergeCell ref="B36:B37"/>
    <mergeCell ref="C36:C37"/>
    <mergeCell ref="D36:D37"/>
    <mergeCell ref="E36:E37"/>
    <mergeCell ref="F36:F37"/>
    <mergeCell ref="U19:U20"/>
    <mergeCell ref="V19:V20"/>
    <mergeCell ref="W19:W20"/>
    <mergeCell ref="X19:X20"/>
    <mergeCell ref="I19:I20"/>
    <mergeCell ref="J19:J20"/>
    <mergeCell ref="K19:K20"/>
    <mergeCell ref="L19:L20"/>
    <mergeCell ref="M19:M20"/>
    <mergeCell ref="N19:N20"/>
    <mergeCell ref="R36:R37"/>
    <mergeCell ref="G36:G37"/>
    <mergeCell ref="H36:H37"/>
    <mergeCell ref="I36:I37"/>
    <mergeCell ref="J36:J37"/>
    <mergeCell ref="Y19:Y20"/>
    <mergeCell ref="Z19:Z20"/>
    <mergeCell ref="O19:O20"/>
    <mergeCell ref="P19:P20"/>
    <mergeCell ref="Q19:Q20"/>
    <mergeCell ref="R19:R20"/>
    <mergeCell ref="S19:S20"/>
    <mergeCell ref="T19:T20"/>
    <mergeCell ref="Y2:Y3"/>
    <mergeCell ref="Z2:Z3"/>
    <mergeCell ref="B18:C18"/>
    <mergeCell ref="B19:B20"/>
    <mergeCell ref="C19:C20"/>
    <mergeCell ref="D19:D20"/>
    <mergeCell ref="E19:E20"/>
    <mergeCell ref="F19:F20"/>
    <mergeCell ref="G19:G20"/>
    <mergeCell ref="H19:H20"/>
    <mergeCell ref="S2:S3"/>
    <mergeCell ref="T2:T3"/>
    <mergeCell ref="U2:U3"/>
    <mergeCell ref="V2:V3"/>
    <mergeCell ref="W2:W3"/>
    <mergeCell ref="X2:X3"/>
    <mergeCell ref="R2:R3"/>
    <mergeCell ref="G2:G3"/>
    <mergeCell ref="H2:H3"/>
    <mergeCell ref="I2:I3"/>
    <mergeCell ref="J2:J3"/>
    <mergeCell ref="K2:K3"/>
    <mergeCell ref="L2:L3"/>
    <mergeCell ref="M2:M3"/>
    <mergeCell ref="N2:N3"/>
    <mergeCell ref="O2:O3"/>
    <mergeCell ref="P2:P3"/>
    <mergeCell ref="Q2:Q3"/>
    <mergeCell ref="F2:F3"/>
    <mergeCell ref="B1:C1"/>
    <mergeCell ref="B2:B3"/>
    <mergeCell ref="C2:C3"/>
    <mergeCell ref="D2:D3"/>
    <mergeCell ref="E2:E3"/>
  </mergeCells>
  <pageMargins left="0.7" right="0.7" top="0.75" bottom="0.75" header="0.3" footer="0.3"/>
  <pageSetup paperSize="257"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79998168889431442"/>
  </sheetPr>
  <dimension ref="A1:AG679"/>
  <sheetViews>
    <sheetView showGridLines="0" topLeftCell="A3" zoomScale="55" zoomScaleNormal="55" zoomScaleSheetLayoutView="25" workbookViewId="0">
      <pane ySplit="5" topLeftCell="A8" activePane="bottomLeft" state="frozen"/>
      <selection pane="bottomLeft" activeCell="N438" sqref="N438"/>
      <selection activeCell="A3" sqref="A3"/>
    </sheetView>
  </sheetViews>
  <sheetFormatPr defaultColWidth="9.140625" defaultRowHeight="12.6"/>
  <cols>
    <col min="1" max="1" width="3" style="62" customWidth="1"/>
    <col min="2" max="2" width="16.85546875" style="73" customWidth="1"/>
    <col min="3" max="3" width="14.42578125" style="71" customWidth="1"/>
    <col min="4" max="4" width="38.5703125" style="71" customWidth="1"/>
    <col min="5" max="5" width="14.7109375" style="71" customWidth="1"/>
    <col min="6" max="6" width="16" style="70" customWidth="1"/>
    <col min="7" max="7" width="15.42578125" style="70" customWidth="1"/>
    <col min="8" max="8" width="15.140625" style="70" customWidth="1"/>
    <col min="9" max="9" width="22.140625" style="70" customWidth="1"/>
    <col min="10" max="10" width="13.85546875" style="70" customWidth="1"/>
    <col min="11" max="11" width="55.140625" style="70" customWidth="1"/>
    <col min="12" max="12" width="40.140625" style="70" customWidth="1"/>
    <col min="13" max="13" width="56.28515625" style="70" customWidth="1"/>
    <col min="14" max="14" width="67.42578125" style="72" customWidth="1"/>
    <col min="15" max="15" width="19.42578125" style="73" customWidth="1"/>
    <col min="16" max="16" width="17" style="521" customWidth="1"/>
    <col min="17" max="17" width="15.42578125" style="73" customWidth="1"/>
    <col min="18" max="18" width="16.28515625" style="73" customWidth="1"/>
    <col min="19" max="19" width="14.140625" style="73" customWidth="1"/>
    <col min="20" max="20" width="14" style="73" customWidth="1"/>
    <col min="21" max="22" width="22" style="71" hidden="1" customWidth="1"/>
    <col min="23" max="23" width="37.5703125" style="74" hidden="1" customWidth="1"/>
    <col min="24" max="24" width="18.5703125" style="74" hidden="1" customWidth="1"/>
    <col min="25" max="25" width="20.42578125" style="74" hidden="1" customWidth="1"/>
    <col min="26" max="26" width="33.5703125" style="74" hidden="1" customWidth="1"/>
    <col min="27" max="27" width="14.42578125" style="62" bestFit="1" customWidth="1"/>
    <col min="28" max="28" width="17.85546875" style="62" customWidth="1"/>
    <col min="29" max="30" width="9.140625" style="62"/>
    <col min="31" max="31" width="10.5703125" style="62" bestFit="1" customWidth="1"/>
    <col min="32" max="16384" width="9.140625" style="62"/>
  </cols>
  <sheetData>
    <row r="1" spans="1:31" ht="19.5" hidden="1" customHeight="1">
      <c r="B1" s="1000"/>
      <c r="C1" s="65"/>
      <c r="D1" s="63"/>
      <c r="E1" s="63"/>
      <c r="F1" s="64"/>
      <c r="G1" s="64"/>
      <c r="H1" s="64"/>
      <c r="I1" s="64"/>
      <c r="J1" s="64"/>
      <c r="K1" s="64"/>
      <c r="L1" s="64"/>
      <c r="M1" s="65"/>
      <c r="N1" s="66"/>
      <c r="O1" s="65"/>
      <c r="P1" s="520"/>
      <c r="Q1" s="67"/>
      <c r="R1" s="67"/>
      <c r="S1" s="67"/>
      <c r="T1" s="67"/>
      <c r="U1" s="65"/>
      <c r="V1" s="65"/>
      <c r="W1" s="68"/>
      <c r="X1" s="68"/>
      <c r="Y1" s="109" t="s">
        <v>178</v>
      </c>
      <c r="Z1" s="110"/>
    </row>
    <row r="2" spans="1:31" ht="20.100000000000001" hidden="1" customHeight="1">
      <c r="B2" s="1001"/>
      <c r="D2" s="69"/>
      <c r="E2" s="69"/>
      <c r="M2" s="71"/>
      <c r="O2" s="71"/>
      <c r="Z2" s="75"/>
    </row>
    <row r="3" spans="1:31" ht="14.25" customHeight="1">
      <c r="B3" s="1002"/>
      <c r="C3" s="78"/>
      <c r="D3" s="69"/>
      <c r="E3" s="69"/>
      <c r="F3" s="76"/>
      <c r="G3" s="76"/>
      <c r="H3" s="76"/>
      <c r="I3" s="76"/>
      <c r="J3" s="76"/>
      <c r="K3" s="76"/>
      <c r="L3" s="77"/>
      <c r="M3" s="76"/>
      <c r="N3" s="79"/>
      <c r="O3" s="80"/>
      <c r="P3" s="522"/>
      <c r="Q3" s="80"/>
      <c r="R3" s="516"/>
      <c r="S3" s="80"/>
      <c r="T3" s="80"/>
      <c r="U3" s="78"/>
      <c r="V3" s="78"/>
      <c r="W3" s="81"/>
      <c r="X3" s="81"/>
      <c r="Y3" s="81"/>
      <c r="Z3" s="82"/>
    </row>
    <row r="4" spans="1:31" ht="62.25" customHeight="1" thickBot="1">
      <c r="A4" s="102"/>
      <c r="B4" s="1511" t="s">
        <v>179</v>
      </c>
      <c r="C4" s="1512"/>
      <c r="D4" s="1512"/>
      <c r="E4" s="1512"/>
      <c r="F4" s="1512"/>
      <c r="G4" s="1512"/>
      <c r="H4" s="1512"/>
      <c r="I4" s="1512"/>
      <c r="J4" s="1512"/>
      <c r="K4" s="1512"/>
      <c r="L4" s="1512"/>
      <c r="M4" s="1513"/>
      <c r="N4" s="1512"/>
      <c r="O4" s="1512"/>
      <c r="P4" s="1512"/>
      <c r="Q4" s="1512"/>
      <c r="R4" s="1512"/>
      <c r="S4" s="1512"/>
      <c r="T4" s="1512"/>
      <c r="U4" s="1514"/>
      <c r="V4" s="1514"/>
      <c r="W4" s="1514"/>
      <c r="X4" s="1514"/>
      <c r="Y4" s="1514"/>
      <c r="Z4" s="1515"/>
    </row>
    <row r="5" spans="1:31" ht="12.75" customHeight="1">
      <c r="A5" s="102"/>
      <c r="B5" s="1447" t="s">
        <v>180</v>
      </c>
      <c r="C5" s="1448"/>
      <c r="D5" s="1448"/>
      <c r="E5" s="1448"/>
      <c r="F5" s="1448"/>
      <c r="G5" s="1448"/>
      <c r="H5" s="1448"/>
      <c r="I5" s="1448"/>
      <c r="J5" s="1448"/>
      <c r="K5" s="1448"/>
      <c r="L5" s="1448"/>
      <c r="M5" s="1449"/>
      <c r="N5" s="1450"/>
      <c r="O5" s="1445" t="s">
        <v>181</v>
      </c>
      <c r="P5" s="523"/>
      <c r="Q5" s="510"/>
      <c r="R5" s="509"/>
      <c r="S5" s="511"/>
      <c r="T5" s="512"/>
      <c r="U5" s="504"/>
      <c r="V5" s="111"/>
      <c r="W5" s="111"/>
      <c r="X5" s="111"/>
      <c r="Y5" s="111"/>
      <c r="Z5" s="111"/>
    </row>
    <row r="6" spans="1:31" s="83" customFormat="1" ht="38.25" customHeight="1">
      <c r="A6" s="103"/>
      <c r="B6" s="1451"/>
      <c r="C6" s="1452"/>
      <c r="D6" s="1452"/>
      <c r="E6" s="1452"/>
      <c r="F6" s="1452"/>
      <c r="G6" s="1452"/>
      <c r="H6" s="1452"/>
      <c r="I6" s="1452"/>
      <c r="J6" s="1452"/>
      <c r="K6" s="1452"/>
      <c r="L6" s="1452"/>
      <c r="M6" s="1453"/>
      <c r="N6" s="1454"/>
      <c r="O6" s="1446"/>
      <c r="P6" s="524" t="s">
        <v>182</v>
      </c>
      <c r="Q6" s="118" t="s">
        <v>183</v>
      </c>
      <c r="R6" s="118" t="s">
        <v>184</v>
      </c>
      <c r="S6" s="119" t="s">
        <v>185</v>
      </c>
      <c r="T6" s="513" t="s">
        <v>127</v>
      </c>
      <c r="U6" s="505" t="s">
        <v>186</v>
      </c>
      <c r="V6" s="112"/>
      <c r="W6" s="120" t="s">
        <v>187</v>
      </c>
      <c r="X6" s="112"/>
      <c r="Y6" s="112"/>
      <c r="Z6" s="112"/>
    </row>
    <row r="7" spans="1:31" s="84" customFormat="1" ht="46.5" customHeight="1" thickBot="1">
      <c r="A7" s="104"/>
      <c r="B7" s="514" t="s">
        <v>93</v>
      </c>
      <c r="C7" s="313" t="s">
        <v>94</v>
      </c>
      <c r="D7" s="313" t="s">
        <v>188</v>
      </c>
      <c r="E7" s="313" t="s">
        <v>189</v>
      </c>
      <c r="F7" s="313" t="s">
        <v>190</v>
      </c>
      <c r="G7" s="313" t="s">
        <v>191</v>
      </c>
      <c r="H7" s="313" t="s">
        <v>145</v>
      </c>
      <c r="I7" s="313" t="s">
        <v>192</v>
      </c>
      <c r="J7" s="313" t="s">
        <v>193</v>
      </c>
      <c r="K7" s="85" t="s">
        <v>194</v>
      </c>
      <c r="L7" s="313" t="s">
        <v>195</v>
      </c>
      <c r="M7" s="85"/>
      <c r="N7" s="86" t="s">
        <v>196</v>
      </c>
      <c r="O7" s="313" t="s">
        <v>181</v>
      </c>
      <c r="P7" s="524" t="s">
        <v>182</v>
      </c>
      <c r="Q7" s="118" t="s">
        <v>183</v>
      </c>
      <c r="R7" s="118" t="s">
        <v>184</v>
      </c>
      <c r="S7" s="313" t="s">
        <v>185</v>
      </c>
      <c r="T7" s="515" t="s">
        <v>197</v>
      </c>
      <c r="U7" s="500" t="s">
        <v>198</v>
      </c>
      <c r="V7" s="313" t="s">
        <v>199</v>
      </c>
      <c r="W7" s="113" t="s">
        <v>200</v>
      </c>
      <c r="X7" s="113" t="s">
        <v>201</v>
      </c>
      <c r="Y7" s="113" t="s">
        <v>202</v>
      </c>
      <c r="Z7" s="113" t="s">
        <v>203</v>
      </c>
    </row>
    <row r="8" spans="1:31" s="87" customFormat="1" ht="52.5" customHeight="1">
      <c r="A8" s="105"/>
      <c r="B8" s="1407">
        <v>1</v>
      </c>
      <c r="C8" s="682" t="s">
        <v>2</v>
      </c>
      <c r="D8" s="1368" t="s">
        <v>204</v>
      </c>
      <c r="E8" s="659" t="s">
        <v>67</v>
      </c>
      <c r="F8" s="1455" t="s">
        <v>205</v>
      </c>
      <c r="G8" s="1411" t="s">
        <v>206</v>
      </c>
      <c r="H8" s="394" t="s">
        <v>149</v>
      </c>
      <c r="I8" s="1431" t="s">
        <v>207</v>
      </c>
      <c r="J8" s="1369" t="s">
        <v>27</v>
      </c>
      <c r="K8" s="1369" t="s">
        <v>208</v>
      </c>
      <c r="L8" s="683" t="s">
        <v>209</v>
      </c>
      <c r="M8" s="659" t="s">
        <v>210</v>
      </c>
      <c r="N8" s="803" t="s">
        <v>211</v>
      </c>
      <c r="O8" s="804"/>
      <c r="P8" s="674" t="s">
        <v>212</v>
      </c>
      <c r="Q8" s="805" t="s">
        <v>213</v>
      </c>
      <c r="R8" s="717" t="s">
        <v>131</v>
      </c>
      <c r="S8" s="806" t="s">
        <v>214</v>
      </c>
      <c r="T8" s="807" t="s">
        <v>58</v>
      </c>
      <c r="U8" s="1439" t="s">
        <v>27</v>
      </c>
      <c r="V8" s="1442" t="s">
        <v>27</v>
      </c>
      <c r="W8" s="1442" t="s">
        <v>27</v>
      </c>
      <c r="X8" s="1442" t="s">
        <v>27</v>
      </c>
      <c r="Y8" s="1442" t="s">
        <v>27</v>
      </c>
      <c r="Z8" s="1461"/>
      <c r="AB8" s="100" t="s">
        <v>214</v>
      </c>
    </row>
    <row r="9" spans="1:31" s="87" customFormat="1" ht="52.5" customHeight="1">
      <c r="A9" s="106"/>
      <c r="B9" s="1408"/>
      <c r="C9" s="684"/>
      <c r="D9" s="1366"/>
      <c r="E9" s="660"/>
      <c r="F9" s="1456"/>
      <c r="G9" s="1412"/>
      <c r="H9" s="668"/>
      <c r="I9" s="1432"/>
      <c r="J9" s="1370"/>
      <c r="K9" s="1370"/>
      <c r="L9" s="685"/>
      <c r="M9" s="660"/>
      <c r="N9" s="808" t="s">
        <v>215</v>
      </c>
      <c r="O9" s="809" t="s">
        <v>216</v>
      </c>
      <c r="P9" s="810" t="s">
        <v>212</v>
      </c>
      <c r="Q9" s="811" t="s">
        <v>213</v>
      </c>
      <c r="R9" s="722" t="s">
        <v>131</v>
      </c>
      <c r="S9" s="812" t="s">
        <v>214</v>
      </c>
      <c r="T9" s="813"/>
      <c r="U9" s="1440"/>
      <c r="V9" s="1443"/>
      <c r="W9" s="1443"/>
      <c r="X9" s="1443"/>
      <c r="Y9" s="1443"/>
      <c r="Z9" s="1462"/>
      <c r="AB9" s="101" t="s">
        <v>217</v>
      </c>
      <c r="AE9" s="397"/>
    </row>
    <row r="10" spans="1:31" s="87" customFormat="1" ht="52.5" customHeight="1" thickBot="1">
      <c r="A10" s="106"/>
      <c r="B10" s="1413"/>
      <c r="C10" s="686"/>
      <c r="D10" s="1367"/>
      <c r="E10" s="661"/>
      <c r="F10" s="1457"/>
      <c r="G10" s="1416"/>
      <c r="H10" s="678"/>
      <c r="I10" s="1433"/>
      <c r="J10" s="1355"/>
      <c r="K10" s="1355"/>
      <c r="L10" s="687"/>
      <c r="M10" s="661"/>
      <c r="N10" s="814" t="s">
        <v>218</v>
      </c>
      <c r="O10" s="815" t="s">
        <v>216</v>
      </c>
      <c r="P10" s="816" t="s">
        <v>212</v>
      </c>
      <c r="Q10" s="817" t="s">
        <v>213</v>
      </c>
      <c r="R10" s="732" t="s">
        <v>131</v>
      </c>
      <c r="S10" s="818" t="s">
        <v>214</v>
      </c>
      <c r="T10" s="819"/>
      <c r="U10" s="1441"/>
      <c r="V10" s="1444"/>
      <c r="W10" s="1444"/>
      <c r="X10" s="1444"/>
      <c r="Y10" s="1444"/>
      <c r="Z10" s="1463"/>
    </row>
    <row r="11" spans="1:31" s="87" customFormat="1" ht="52.5" customHeight="1">
      <c r="A11" s="106"/>
      <c r="B11" s="1408">
        <v>2</v>
      </c>
      <c r="C11" s="688" t="s">
        <v>2</v>
      </c>
      <c r="D11" s="1366" t="s">
        <v>219</v>
      </c>
      <c r="E11" s="660" t="s">
        <v>64</v>
      </c>
      <c r="F11" s="1414" t="s">
        <v>220</v>
      </c>
      <c r="G11" s="1412" t="s">
        <v>221</v>
      </c>
      <c r="H11" s="668" t="s">
        <v>151</v>
      </c>
      <c r="I11" s="1432" t="s">
        <v>222</v>
      </c>
      <c r="J11" s="1370" t="s">
        <v>27</v>
      </c>
      <c r="K11" s="1366" t="s">
        <v>223</v>
      </c>
      <c r="L11" s="820" t="s">
        <v>209</v>
      </c>
      <c r="M11" s="665" t="s">
        <v>224</v>
      </c>
      <c r="N11" s="680" t="s">
        <v>225</v>
      </c>
      <c r="O11" s="680" t="s">
        <v>216</v>
      </c>
      <c r="P11" s="674" t="s">
        <v>212</v>
      </c>
      <c r="Q11" s="821" t="s">
        <v>226</v>
      </c>
      <c r="R11" s="822" t="s">
        <v>131</v>
      </c>
      <c r="S11" s="823" t="s">
        <v>214</v>
      </c>
      <c r="T11" s="813" t="s">
        <v>58</v>
      </c>
      <c r="U11" s="1458" t="s">
        <v>27</v>
      </c>
      <c r="V11" s="1436" t="s">
        <v>27</v>
      </c>
      <c r="W11" s="1436" t="s">
        <v>27</v>
      </c>
      <c r="X11" s="1436" t="s">
        <v>27</v>
      </c>
      <c r="Y11" s="1436" t="s">
        <v>27</v>
      </c>
      <c r="Z11" s="1461"/>
    </row>
    <row r="12" spans="1:31" s="87" customFormat="1" ht="52.5" customHeight="1">
      <c r="A12" s="106"/>
      <c r="B12" s="1408"/>
      <c r="C12" s="688"/>
      <c r="D12" s="1366"/>
      <c r="E12" s="660"/>
      <c r="F12" s="1410"/>
      <c r="G12" s="1412"/>
      <c r="H12" s="668"/>
      <c r="I12" s="1432"/>
      <c r="J12" s="1370"/>
      <c r="K12" s="1366"/>
      <c r="L12" s="824" t="s">
        <v>227</v>
      </c>
      <c r="M12" s="487" t="s">
        <v>228</v>
      </c>
      <c r="N12" s="487" t="s">
        <v>229</v>
      </c>
      <c r="O12" s="487" t="s">
        <v>230</v>
      </c>
      <c r="P12" s="810" t="s">
        <v>212</v>
      </c>
      <c r="Q12" s="825" t="s">
        <v>226</v>
      </c>
      <c r="R12" s="722" t="s">
        <v>131</v>
      </c>
      <c r="S12" s="826" t="s">
        <v>214</v>
      </c>
      <c r="T12" s="813"/>
      <c r="U12" s="1459"/>
      <c r="V12" s="1437"/>
      <c r="W12" s="1437"/>
      <c r="X12" s="1437"/>
      <c r="Y12" s="1437"/>
      <c r="Z12" s="1462"/>
    </row>
    <row r="13" spans="1:31" s="87" customFormat="1" ht="52.5" customHeight="1">
      <c r="A13" s="106"/>
      <c r="B13" s="1408"/>
      <c r="C13" s="688"/>
      <c r="D13" s="1366"/>
      <c r="E13" s="660"/>
      <c r="F13" s="1410"/>
      <c r="G13" s="1412"/>
      <c r="H13" s="668"/>
      <c r="I13" s="1432"/>
      <c r="J13" s="1370"/>
      <c r="K13" s="1366"/>
      <c r="L13" s="824"/>
      <c r="M13" s="487"/>
      <c r="N13" s="487" t="s">
        <v>231</v>
      </c>
      <c r="O13" s="487" t="s">
        <v>232</v>
      </c>
      <c r="P13" s="810" t="s">
        <v>212</v>
      </c>
      <c r="Q13" s="825" t="s">
        <v>226</v>
      </c>
      <c r="R13" s="722" t="s">
        <v>131</v>
      </c>
      <c r="S13" s="826" t="s">
        <v>214</v>
      </c>
      <c r="T13" s="813"/>
      <c r="U13" s="1459"/>
      <c r="V13" s="1437"/>
      <c r="W13" s="1437"/>
      <c r="X13" s="1437"/>
      <c r="Y13" s="1437"/>
      <c r="Z13" s="1462"/>
    </row>
    <row r="14" spans="1:31" s="87" customFormat="1" ht="52.5" customHeight="1">
      <c r="A14" s="106"/>
      <c r="B14" s="1408"/>
      <c r="C14" s="688"/>
      <c r="D14" s="1366"/>
      <c r="E14" s="660"/>
      <c r="F14" s="1410"/>
      <c r="G14" s="1412"/>
      <c r="H14" s="668"/>
      <c r="I14" s="1432"/>
      <c r="J14" s="1370"/>
      <c r="K14" s="1366"/>
      <c r="L14" s="824" t="s">
        <v>209</v>
      </c>
      <c r="M14" s="663" t="s">
        <v>233</v>
      </c>
      <c r="N14" s="487" t="s">
        <v>234</v>
      </c>
      <c r="O14" s="487" t="s">
        <v>235</v>
      </c>
      <c r="P14" s="810" t="s">
        <v>212</v>
      </c>
      <c r="Q14" s="825" t="s">
        <v>226</v>
      </c>
      <c r="R14" s="722" t="s">
        <v>131</v>
      </c>
      <c r="S14" s="823" t="s">
        <v>214</v>
      </c>
      <c r="T14" s="813"/>
      <c r="U14" s="1459"/>
      <c r="V14" s="1437"/>
      <c r="W14" s="1437"/>
      <c r="X14" s="1437"/>
      <c r="Y14" s="1437"/>
      <c r="Z14" s="1462"/>
    </row>
    <row r="15" spans="1:31" s="87" customFormat="1" ht="52.5" customHeight="1" thickBot="1">
      <c r="A15" s="106"/>
      <c r="B15" s="1413"/>
      <c r="C15" s="689"/>
      <c r="D15" s="1367"/>
      <c r="E15" s="661"/>
      <c r="F15" s="1415"/>
      <c r="G15" s="1416"/>
      <c r="H15" s="678"/>
      <c r="I15" s="1433"/>
      <c r="J15" s="1355"/>
      <c r="K15" s="1367"/>
      <c r="L15" s="827"/>
      <c r="M15" s="664"/>
      <c r="N15" s="793" t="s">
        <v>236</v>
      </c>
      <c r="O15" s="793" t="s">
        <v>216</v>
      </c>
      <c r="P15" s="816" t="s">
        <v>212</v>
      </c>
      <c r="Q15" s="828" t="s">
        <v>226</v>
      </c>
      <c r="R15" s="732" t="s">
        <v>131</v>
      </c>
      <c r="S15" s="829" t="s">
        <v>214</v>
      </c>
      <c r="T15" s="819"/>
      <c r="U15" s="1460"/>
      <c r="V15" s="1438"/>
      <c r="W15" s="1438"/>
      <c r="X15" s="1438"/>
      <c r="Y15" s="1438"/>
      <c r="Z15" s="1463"/>
    </row>
    <row r="16" spans="1:31" s="87" customFormat="1" ht="52.5" customHeight="1">
      <c r="A16" s="106"/>
      <c r="B16" s="1407">
        <v>3</v>
      </c>
      <c r="C16" s="690" t="s">
        <v>2</v>
      </c>
      <c r="D16" s="1434" t="s">
        <v>237</v>
      </c>
      <c r="E16" s="691" t="s">
        <v>66</v>
      </c>
      <c r="F16" s="1409" t="s">
        <v>238</v>
      </c>
      <c r="G16" s="1411" t="s">
        <v>239</v>
      </c>
      <c r="H16" s="394" t="s">
        <v>147</v>
      </c>
      <c r="I16" s="1434" t="s">
        <v>240</v>
      </c>
      <c r="J16" s="1369" t="s">
        <v>27</v>
      </c>
      <c r="K16" s="1368" t="s">
        <v>241</v>
      </c>
      <c r="L16" s="830" t="s">
        <v>227</v>
      </c>
      <c r="M16" s="662" t="s">
        <v>242</v>
      </c>
      <c r="N16" s="787" t="s">
        <v>243</v>
      </c>
      <c r="O16" s="787" t="s">
        <v>216</v>
      </c>
      <c r="P16" s="674" t="s">
        <v>212</v>
      </c>
      <c r="Q16" s="831" t="s">
        <v>244</v>
      </c>
      <c r="R16" s="717" t="s">
        <v>139</v>
      </c>
      <c r="S16" s="832" t="s">
        <v>214</v>
      </c>
      <c r="T16" s="807" t="s">
        <v>58</v>
      </c>
      <c r="U16" s="1439" t="s">
        <v>27</v>
      </c>
      <c r="V16" s="1464" t="s">
        <v>27</v>
      </c>
      <c r="W16" s="1464" t="s">
        <v>27</v>
      </c>
      <c r="X16" s="1464" t="s">
        <v>27</v>
      </c>
      <c r="Y16" s="1464" t="s">
        <v>27</v>
      </c>
      <c r="Z16" s="1461"/>
    </row>
    <row r="17" spans="1:27" s="87" customFormat="1" ht="52.5" customHeight="1">
      <c r="A17" s="106"/>
      <c r="B17" s="1408"/>
      <c r="C17" s="688"/>
      <c r="D17" s="1435"/>
      <c r="E17" s="692"/>
      <c r="F17" s="1410"/>
      <c r="G17" s="1412"/>
      <c r="H17" s="668"/>
      <c r="I17" s="1435"/>
      <c r="J17" s="1370"/>
      <c r="K17" s="1366"/>
      <c r="L17" s="824"/>
      <c r="M17" s="663"/>
      <c r="N17" s="487" t="s">
        <v>245</v>
      </c>
      <c r="O17" s="487" t="s">
        <v>216</v>
      </c>
      <c r="P17" s="810" t="s">
        <v>212</v>
      </c>
      <c r="Q17" s="825" t="s">
        <v>244</v>
      </c>
      <c r="R17" s="722" t="s">
        <v>139</v>
      </c>
      <c r="S17" s="833" t="s">
        <v>214</v>
      </c>
      <c r="T17" s="813"/>
      <c r="U17" s="1440"/>
      <c r="V17" s="1465"/>
      <c r="W17" s="1465"/>
      <c r="X17" s="1465"/>
      <c r="Y17" s="1465"/>
      <c r="Z17" s="1462"/>
    </row>
    <row r="18" spans="1:27" s="87" customFormat="1" ht="52.5" customHeight="1">
      <c r="A18" s="106"/>
      <c r="B18" s="1408"/>
      <c r="C18" s="688"/>
      <c r="D18" s="1435"/>
      <c r="E18" s="692"/>
      <c r="F18" s="1410"/>
      <c r="G18" s="1412"/>
      <c r="H18" s="668"/>
      <c r="I18" s="1435"/>
      <c r="J18" s="1370"/>
      <c r="K18" s="1366"/>
      <c r="L18" s="824" t="s">
        <v>209</v>
      </c>
      <c r="M18" s="663" t="s">
        <v>246</v>
      </c>
      <c r="N18" s="487" t="s">
        <v>247</v>
      </c>
      <c r="O18" s="487" t="s">
        <v>248</v>
      </c>
      <c r="P18" s="810" t="s">
        <v>212</v>
      </c>
      <c r="Q18" s="825" t="s">
        <v>249</v>
      </c>
      <c r="R18" s="722" t="s">
        <v>140</v>
      </c>
      <c r="S18" s="834" t="s">
        <v>214</v>
      </c>
      <c r="T18" s="813"/>
      <c r="U18" s="1440"/>
      <c r="V18" s="1465"/>
      <c r="W18" s="1465"/>
      <c r="X18" s="1465"/>
      <c r="Y18" s="1465"/>
      <c r="Z18" s="1462"/>
    </row>
    <row r="19" spans="1:27" s="87" customFormat="1" ht="52.5" customHeight="1" thickBot="1">
      <c r="A19" s="106"/>
      <c r="B19" s="1408"/>
      <c r="C19" s="688"/>
      <c r="D19" s="1435"/>
      <c r="E19" s="692"/>
      <c r="F19" s="1410"/>
      <c r="G19" s="1412"/>
      <c r="H19" s="668"/>
      <c r="I19" s="1435"/>
      <c r="J19" s="1370"/>
      <c r="K19" s="1367"/>
      <c r="L19" s="835"/>
      <c r="M19" s="693"/>
      <c r="N19" s="681" t="s">
        <v>250</v>
      </c>
      <c r="O19" s="681" t="s">
        <v>251</v>
      </c>
      <c r="P19" s="816" t="s">
        <v>212</v>
      </c>
      <c r="Q19" s="836" t="s">
        <v>249</v>
      </c>
      <c r="R19" s="727" t="s">
        <v>140</v>
      </c>
      <c r="S19" s="837" t="s">
        <v>214</v>
      </c>
      <c r="T19" s="819"/>
      <c r="U19" s="1441"/>
      <c r="V19" s="1466"/>
      <c r="W19" s="1466"/>
      <c r="X19" s="1466"/>
      <c r="Y19" s="1466"/>
      <c r="Z19" s="1463"/>
    </row>
    <row r="20" spans="1:27" s="87" customFormat="1" ht="52.5" customHeight="1">
      <c r="A20" s="114">
        <v>2</v>
      </c>
      <c r="B20" s="1407">
        <v>4</v>
      </c>
      <c r="C20" s="690" t="s">
        <v>2</v>
      </c>
      <c r="D20" s="1368" t="s">
        <v>252</v>
      </c>
      <c r="E20" s="659" t="s">
        <v>67</v>
      </c>
      <c r="F20" s="1409" t="s">
        <v>253</v>
      </c>
      <c r="G20" s="1411" t="s">
        <v>254</v>
      </c>
      <c r="H20" s="394" t="s">
        <v>147</v>
      </c>
      <c r="I20" s="1431" t="s">
        <v>255</v>
      </c>
      <c r="J20" s="1369" t="s">
        <v>27</v>
      </c>
      <c r="K20" s="1368" t="s">
        <v>256</v>
      </c>
      <c r="L20" s="830" t="s">
        <v>209</v>
      </c>
      <c r="M20" s="662" t="s">
        <v>257</v>
      </c>
      <c r="N20" s="662" t="s">
        <v>258</v>
      </c>
      <c r="O20" s="662" t="s">
        <v>216</v>
      </c>
      <c r="P20" s="674" t="s">
        <v>259</v>
      </c>
      <c r="Q20" s="717" t="s">
        <v>260</v>
      </c>
      <c r="R20" s="717" t="s">
        <v>136</v>
      </c>
      <c r="S20" s="806" t="s">
        <v>214</v>
      </c>
      <c r="T20" s="807" t="s">
        <v>58</v>
      </c>
      <c r="U20" s="1439" t="s">
        <v>27</v>
      </c>
      <c r="V20" s="1464" t="s">
        <v>27</v>
      </c>
      <c r="W20" s="1464" t="s">
        <v>27</v>
      </c>
      <c r="X20" s="1464" t="s">
        <v>27</v>
      </c>
      <c r="Y20" s="1464" t="s">
        <v>27</v>
      </c>
      <c r="Z20" s="1461"/>
    </row>
    <row r="21" spans="1:27" s="87" customFormat="1" ht="52.5" customHeight="1">
      <c r="A21" s="387"/>
      <c r="B21" s="1421"/>
      <c r="C21" s="688"/>
      <c r="D21" s="1357"/>
      <c r="E21" s="660"/>
      <c r="F21" s="1424"/>
      <c r="G21" s="1389"/>
      <c r="H21" s="668"/>
      <c r="I21" s="1429"/>
      <c r="J21" s="1374"/>
      <c r="K21" s="1366"/>
      <c r="L21" s="824" t="s">
        <v>261</v>
      </c>
      <c r="M21" s="663" t="s">
        <v>262</v>
      </c>
      <c r="N21" s="663" t="s">
        <v>263</v>
      </c>
      <c r="O21" s="663" t="s">
        <v>216</v>
      </c>
      <c r="P21" s="810" t="s">
        <v>264</v>
      </c>
      <c r="Q21" s="722" t="s">
        <v>260</v>
      </c>
      <c r="R21" s="722" t="s">
        <v>136</v>
      </c>
      <c r="S21" s="838" t="s">
        <v>214</v>
      </c>
      <c r="T21" s="813"/>
      <c r="U21" s="1467"/>
      <c r="V21" s="1470"/>
      <c r="W21" s="1470"/>
      <c r="X21" s="1470"/>
      <c r="Y21" s="1470"/>
      <c r="Z21" s="1473"/>
    </row>
    <row r="22" spans="1:27" s="87" customFormat="1" ht="52.5" customHeight="1">
      <c r="A22" s="387"/>
      <c r="B22" s="1408"/>
      <c r="C22" s="688"/>
      <c r="D22" s="1366"/>
      <c r="E22" s="660"/>
      <c r="F22" s="1410"/>
      <c r="G22" s="1412"/>
      <c r="H22" s="668"/>
      <c r="I22" s="1432"/>
      <c r="J22" s="1370"/>
      <c r="K22" s="1366"/>
      <c r="L22" s="824" t="s">
        <v>265</v>
      </c>
      <c r="M22" s="487" t="s">
        <v>266</v>
      </c>
      <c r="N22" s="663" t="s">
        <v>267</v>
      </c>
      <c r="O22" s="663" t="s">
        <v>216</v>
      </c>
      <c r="P22" s="810" t="s">
        <v>259</v>
      </c>
      <c r="Q22" s="722" t="s">
        <v>249</v>
      </c>
      <c r="R22" s="722" t="s">
        <v>140</v>
      </c>
      <c r="S22" s="812" t="s">
        <v>214</v>
      </c>
      <c r="T22" s="813"/>
      <c r="U22" s="1440"/>
      <c r="V22" s="1465"/>
      <c r="W22" s="1465"/>
      <c r="X22" s="1465"/>
      <c r="Y22" s="1465"/>
      <c r="Z22" s="1462"/>
    </row>
    <row r="23" spans="1:27" s="87" customFormat="1" ht="52.5" customHeight="1">
      <c r="A23" s="387"/>
      <c r="B23" s="1408"/>
      <c r="C23" s="688"/>
      <c r="D23" s="1366"/>
      <c r="E23" s="660"/>
      <c r="F23" s="1410"/>
      <c r="G23" s="1412"/>
      <c r="H23" s="668"/>
      <c r="I23" s="1432"/>
      <c r="J23" s="1370"/>
      <c r="K23" s="1366"/>
      <c r="L23" s="824" t="s">
        <v>265</v>
      </c>
      <c r="M23" s="663" t="s">
        <v>268</v>
      </c>
      <c r="N23" s="663" t="s">
        <v>269</v>
      </c>
      <c r="O23" s="663" t="s">
        <v>216</v>
      </c>
      <c r="P23" s="810" t="s">
        <v>270</v>
      </c>
      <c r="Q23" s="722" t="s">
        <v>260</v>
      </c>
      <c r="R23" s="722" t="s">
        <v>136</v>
      </c>
      <c r="S23" s="812" t="s">
        <v>214</v>
      </c>
      <c r="T23" s="813"/>
      <c r="U23" s="1440"/>
      <c r="V23" s="1465"/>
      <c r="W23" s="1465"/>
      <c r="X23" s="1465"/>
      <c r="Y23" s="1465"/>
      <c r="Z23" s="1462"/>
    </row>
    <row r="24" spans="1:27" s="87" customFormat="1" ht="52.5" customHeight="1">
      <c r="A24" s="387"/>
      <c r="B24" s="1421"/>
      <c r="C24" s="688"/>
      <c r="D24" s="1357"/>
      <c r="E24" s="660"/>
      <c r="F24" s="1424"/>
      <c r="G24" s="1389"/>
      <c r="H24" s="668"/>
      <c r="I24" s="1429"/>
      <c r="J24" s="1374"/>
      <c r="K24" s="1366"/>
      <c r="L24" s="824" t="s">
        <v>265</v>
      </c>
      <c r="M24" s="663" t="s">
        <v>271</v>
      </c>
      <c r="N24" s="663" t="s">
        <v>272</v>
      </c>
      <c r="O24" s="663" t="s">
        <v>216</v>
      </c>
      <c r="P24" s="810" t="s">
        <v>273</v>
      </c>
      <c r="Q24" s="722" t="s">
        <v>249</v>
      </c>
      <c r="R24" s="722" t="s">
        <v>140</v>
      </c>
      <c r="S24" s="838" t="s">
        <v>214</v>
      </c>
      <c r="T24" s="813"/>
      <c r="U24" s="1467"/>
      <c r="V24" s="1470"/>
      <c r="W24" s="1470"/>
      <c r="X24" s="1470"/>
      <c r="Y24" s="1470"/>
      <c r="Z24" s="1473"/>
    </row>
    <row r="25" spans="1:27" s="87" customFormat="1" ht="52.5" customHeight="1">
      <c r="A25" s="387"/>
      <c r="B25" s="1408"/>
      <c r="C25" s="688"/>
      <c r="D25" s="1366"/>
      <c r="E25" s="660"/>
      <c r="F25" s="1410"/>
      <c r="G25" s="1412"/>
      <c r="H25" s="668"/>
      <c r="I25" s="1432"/>
      <c r="J25" s="1370"/>
      <c r="K25" s="1366"/>
      <c r="L25" s="835" t="s">
        <v>227</v>
      </c>
      <c r="M25" s="693" t="s">
        <v>274</v>
      </c>
      <c r="N25" s="693" t="s">
        <v>275</v>
      </c>
      <c r="O25" s="663" t="s">
        <v>216</v>
      </c>
      <c r="P25" s="810" t="s">
        <v>259</v>
      </c>
      <c r="Q25" s="727" t="s">
        <v>226</v>
      </c>
      <c r="R25" s="722" t="s">
        <v>131</v>
      </c>
      <c r="S25" s="839" t="s">
        <v>214</v>
      </c>
      <c r="T25" s="813"/>
      <c r="U25" s="1468"/>
      <c r="V25" s="1471"/>
      <c r="W25" s="1471"/>
      <c r="X25" s="1471"/>
      <c r="Y25" s="1471"/>
      <c r="Z25" s="1474"/>
    </row>
    <row r="26" spans="1:27" s="87" customFormat="1" ht="52.5" customHeight="1">
      <c r="A26" s="387"/>
      <c r="B26" s="1408"/>
      <c r="C26" s="688"/>
      <c r="D26" s="1366"/>
      <c r="E26" s="660"/>
      <c r="F26" s="1410"/>
      <c r="G26" s="1412"/>
      <c r="H26" s="668"/>
      <c r="I26" s="1432"/>
      <c r="J26" s="1370"/>
      <c r="K26" s="1366"/>
      <c r="L26" s="835" t="s">
        <v>265</v>
      </c>
      <c r="M26" s="693" t="s">
        <v>276</v>
      </c>
      <c r="N26" s="693" t="s">
        <v>277</v>
      </c>
      <c r="O26" s="663" t="s">
        <v>216</v>
      </c>
      <c r="P26" s="810" t="s">
        <v>259</v>
      </c>
      <c r="Q26" s="727" t="s">
        <v>278</v>
      </c>
      <c r="R26" s="722" t="s">
        <v>131</v>
      </c>
      <c r="S26" s="839" t="s">
        <v>214</v>
      </c>
      <c r="T26" s="813"/>
      <c r="U26" s="1468"/>
      <c r="V26" s="1471"/>
      <c r="W26" s="1471"/>
      <c r="X26" s="1471"/>
      <c r="Y26" s="1471"/>
      <c r="Z26" s="1474"/>
    </row>
    <row r="27" spans="1:27" s="87" customFormat="1" ht="52.5" customHeight="1" thickBot="1">
      <c r="A27" s="388"/>
      <c r="B27" s="1413"/>
      <c r="C27" s="689"/>
      <c r="D27" s="1367"/>
      <c r="E27" s="661"/>
      <c r="F27" s="1415"/>
      <c r="G27" s="1416"/>
      <c r="H27" s="678"/>
      <c r="I27" s="1433"/>
      <c r="J27" s="1355"/>
      <c r="K27" s="1367"/>
      <c r="L27" s="827" t="s">
        <v>265</v>
      </c>
      <c r="M27" s="664" t="s">
        <v>279</v>
      </c>
      <c r="N27" s="664" t="s">
        <v>280</v>
      </c>
      <c r="O27" s="664" t="s">
        <v>216</v>
      </c>
      <c r="P27" s="816" t="s">
        <v>281</v>
      </c>
      <c r="Q27" s="732" t="s">
        <v>226</v>
      </c>
      <c r="R27" s="727" t="s">
        <v>131</v>
      </c>
      <c r="S27" s="840" t="s">
        <v>214</v>
      </c>
      <c r="T27" s="819"/>
      <c r="U27" s="1469"/>
      <c r="V27" s="1472"/>
      <c r="W27" s="1472"/>
      <c r="X27" s="1472"/>
      <c r="Y27" s="1472"/>
      <c r="Z27" s="1475"/>
    </row>
    <row r="28" spans="1:27" s="87" customFormat="1" ht="77.25" customHeight="1">
      <c r="A28" s="107"/>
      <c r="B28" s="1407">
        <v>5</v>
      </c>
      <c r="C28" s="690" t="s">
        <v>2</v>
      </c>
      <c r="D28" s="1368" t="s">
        <v>282</v>
      </c>
      <c r="E28" s="659" t="s">
        <v>67</v>
      </c>
      <c r="F28" s="1409" t="s">
        <v>283</v>
      </c>
      <c r="G28" s="1411" t="s">
        <v>284</v>
      </c>
      <c r="H28" s="394" t="s">
        <v>149</v>
      </c>
      <c r="I28" s="659" t="s">
        <v>285</v>
      </c>
      <c r="J28" s="694" t="s">
        <v>27</v>
      </c>
      <c r="K28" s="1368" t="s">
        <v>286</v>
      </c>
      <c r="L28" s="830" t="s">
        <v>265</v>
      </c>
      <c r="M28" s="662" t="s">
        <v>287</v>
      </c>
      <c r="N28" s="662" t="s">
        <v>288</v>
      </c>
      <c r="O28" s="662" t="s">
        <v>216</v>
      </c>
      <c r="P28" s="674" t="s">
        <v>289</v>
      </c>
      <c r="Q28" s="671" t="s">
        <v>226</v>
      </c>
      <c r="R28" s="717" t="s">
        <v>131</v>
      </c>
      <c r="S28" s="841" t="s">
        <v>214</v>
      </c>
      <c r="T28" s="807" t="s">
        <v>57</v>
      </c>
      <c r="U28" s="1439" t="s">
        <v>27</v>
      </c>
      <c r="V28" s="1442" t="s">
        <v>27</v>
      </c>
      <c r="W28" s="1442" t="s">
        <v>27</v>
      </c>
      <c r="X28" s="1442" t="s">
        <v>27</v>
      </c>
      <c r="Y28" s="1442" t="s">
        <v>27</v>
      </c>
      <c r="Z28" s="401"/>
      <c r="AA28" s="87" t="s">
        <v>290</v>
      </c>
    </row>
    <row r="29" spans="1:27" s="87" customFormat="1" ht="52.5" customHeight="1">
      <c r="A29" s="107"/>
      <c r="B29" s="1408"/>
      <c r="C29" s="688"/>
      <c r="D29" s="1366"/>
      <c r="E29" s="660"/>
      <c r="F29" s="1410"/>
      <c r="G29" s="1412"/>
      <c r="H29" s="668"/>
      <c r="I29" s="660"/>
      <c r="J29" s="695"/>
      <c r="K29" s="1366"/>
      <c r="L29" s="824" t="s">
        <v>209</v>
      </c>
      <c r="M29" s="663" t="s">
        <v>291</v>
      </c>
      <c r="N29" s="663" t="s">
        <v>292</v>
      </c>
      <c r="O29" s="663" t="s">
        <v>216</v>
      </c>
      <c r="P29" s="810" t="s">
        <v>289</v>
      </c>
      <c r="Q29" s="672" t="s">
        <v>293</v>
      </c>
      <c r="R29" s="722" t="s">
        <v>136</v>
      </c>
      <c r="S29" s="842" t="s">
        <v>214</v>
      </c>
      <c r="T29" s="813"/>
      <c r="U29" s="1440"/>
      <c r="V29" s="1443"/>
      <c r="W29" s="1443"/>
      <c r="X29" s="1443"/>
      <c r="Y29" s="1443"/>
      <c r="Z29" s="402"/>
    </row>
    <row r="30" spans="1:27" s="87" customFormat="1" ht="52.5" customHeight="1">
      <c r="A30" s="107"/>
      <c r="B30" s="1408"/>
      <c r="C30" s="688"/>
      <c r="D30" s="1366"/>
      <c r="E30" s="660"/>
      <c r="F30" s="1410"/>
      <c r="G30" s="1412"/>
      <c r="H30" s="668"/>
      <c r="I30" s="660"/>
      <c r="J30" s="695"/>
      <c r="K30" s="1366"/>
      <c r="L30" s="824" t="s">
        <v>227</v>
      </c>
      <c r="M30" s="663" t="s">
        <v>294</v>
      </c>
      <c r="N30" s="663" t="s">
        <v>295</v>
      </c>
      <c r="O30" s="663" t="s">
        <v>216</v>
      </c>
      <c r="P30" s="810" t="s">
        <v>289</v>
      </c>
      <c r="Q30" s="672" t="s">
        <v>226</v>
      </c>
      <c r="R30" s="722" t="s">
        <v>131</v>
      </c>
      <c r="S30" s="842" t="s">
        <v>214</v>
      </c>
      <c r="T30" s="813"/>
      <c r="U30" s="1440"/>
      <c r="V30" s="1443"/>
      <c r="W30" s="1443"/>
      <c r="X30" s="1443"/>
      <c r="Y30" s="1443"/>
      <c r="Z30" s="403"/>
    </row>
    <row r="31" spans="1:27" s="87" customFormat="1" ht="52.5" customHeight="1">
      <c r="A31" s="107"/>
      <c r="B31" s="1408"/>
      <c r="C31" s="688"/>
      <c r="D31" s="1366"/>
      <c r="E31" s="660"/>
      <c r="F31" s="1410"/>
      <c r="G31" s="1412"/>
      <c r="H31" s="668"/>
      <c r="I31" s="660"/>
      <c r="J31" s="695"/>
      <c r="K31" s="1366"/>
      <c r="L31" s="824" t="s">
        <v>227</v>
      </c>
      <c r="M31" s="663" t="s">
        <v>296</v>
      </c>
      <c r="N31" s="663" t="s">
        <v>297</v>
      </c>
      <c r="O31" s="663" t="s">
        <v>216</v>
      </c>
      <c r="P31" s="810" t="s">
        <v>289</v>
      </c>
      <c r="Q31" s="672" t="s">
        <v>226</v>
      </c>
      <c r="R31" s="722" t="s">
        <v>131</v>
      </c>
      <c r="S31" s="842" t="s">
        <v>214</v>
      </c>
      <c r="T31" s="813"/>
      <c r="U31" s="1440"/>
      <c r="V31" s="1443"/>
      <c r="W31" s="1443"/>
      <c r="X31" s="1443"/>
      <c r="Y31" s="1443"/>
      <c r="Z31" s="403"/>
    </row>
    <row r="32" spans="1:27" s="87" customFormat="1" ht="52.5" customHeight="1" thickBot="1">
      <c r="A32" s="107"/>
      <c r="B32" s="1408"/>
      <c r="C32" s="688"/>
      <c r="D32" s="1366"/>
      <c r="E32" s="660"/>
      <c r="F32" s="1410"/>
      <c r="G32" s="1412"/>
      <c r="H32" s="668"/>
      <c r="I32" s="660"/>
      <c r="J32" s="695"/>
      <c r="K32" s="1366"/>
      <c r="L32" s="835" t="s">
        <v>265</v>
      </c>
      <c r="M32" s="693" t="s">
        <v>298</v>
      </c>
      <c r="N32" s="693" t="s">
        <v>299</v>
      </c>
      <c r="O32" s="693" t="s">
        <v>216</v>
      </c>
      <c r="P32" s="843" t="s">
        <v>289</v>
      </c>
      <c r="Q32" s="673" t="s">
        <v>293</v>
      </c>
      <c r="R32" s="727" t="s">
        <v>136</v>
      </c>
      <c r="S32" s="844" t="s">
        <v>214</v>
      </c>
      <c r="T32" s="819"/>
      <c r="U32" s="1441"/>
      <c r="V32" s="1444"/>
      <c r="W32" s="1444"/>
      <c r="X32" s="1444"/>
      <c r="Y32" s="1444"/>
      <c r="Z32" s="404"/>
    </row>
    <row r="33" spans="1:27" s="398" customFormat="1" ht="52.5" customHeight="1" thickBot="1">
      <c r="A33" s="389"/>
      <c r="B33" s="1003">
        <v>6</v>
      </c>
      <c r="C33" s="696" t="s">
        <v>2</v>
      </c>
      <c r="D33" s="697" t="s">
        <v>300</v>
      </c>
      <c r="E33" s="978" t="s">
        <v>64</v>
      </c>
      <c r="F33" s="474" t="s">
        <v>301</v>
      </c>
      <c r="G33" s="698" t="s">
        <v>302</v>
      </c>
      <c r="H33" s="698" t="s">
        <v>147</v>
      </c>
      <c r="I33" s="699" t="s">
        <v>303</v>
      </c>
      <c r="J33" s="700" t="s">
        <v>27</v>
      </c>
      <c r="K33" s="1520" t="s">
        <v>304</v>
      </c>
      <c r="L33" s="1371" t="s">
        <v>265</v>
      </c>
      <c r="M33" s="1520" t="s">
        <v>305</v>
      </c>
      <c r="N33" s="845" t="s">
        <v>306</v>
      </c>
      <c r="O33" s="671" t="s">
        <v>216</v>
      </c>
      <c r="P33" s="674" t="s">
        <v>289</v>
      </c>
      <c r="Q33" s="671" t="s">
        <v>307</v>
      </c>
      <c r="R33" s="671" t="s">
        <v>138</v>
      </c>
      <c r="S33" s="846" t="s">
        <v>214</v>
      </c>
      <c r="T33" s="847" t="s">
        <v>58</v>
      </c>
      <c r="U33" s="409"/>
      <c r="V33" s="405"/>
      <c r="W33" s="406"/>
      <c r="X33" s="407"/>
      <c r="Y33" s="407"/>
      <c r="Z33" s="408"/>
      <c r="AA33" s="398" t="s">
        <v>308</v>
      </c>
    </row>
    <row r="34" spans="1:27" s="398" customFormat="1" ht="52.5" customHeight="1">
      <c r="A34" s="396"/>
      <c r="B34" s="1004"/>
      <c r="C34" s="701"/>
      <c r="D34" s="702"/>
      <c r="E34" s="702"/>
      <c r="F34" s="472"/>
      <c r="G34" s="703"/>
      <c r="H34" s="703"/>
      <c r="I34" s="704"/>
      <c r="J34" s="705"/>
      <c r="K34" s="1521"/>
      <c r="L34" s="1362"/>
      <c r="M34" s="1523"/>
      <c r="N34" s="848" t="s">
        <v>309</v>
      </c>
      <c r="O34" s="672" t="s">
        <v>216</v>
      </c>
      <c r="P34" s="810" t="s">
        <v>289</v>
      </c>
      <c r="Q34" s="672" t="s">
        <v>226</v>
      </c>
      <c r="R34" s="722" t="s">
        <v>131</v>
      </c>
      <c r="S34" s="849" t="s">
        <v>214</v>
      </c>
      <c r="T34" s="847"/>
      <c r="U34" s="409"/>
      <c r="V34" s="405"/>
      <c r="W34" s="406"/>
      <c r="X34" s="407"/>
      <c r="Y34" s="407"/>
      <c r="Z34" s="408"/>
    </row>
    <row r="35" spans="1:27" s="398" customFormat="1" ht="52.5" customHeight="1">
      <c r="A35" s="396"/>
      <c r="B35" s="1004"/>
      <c r="C35" s="701"/>
      <c r="D35" s="702"/>
      <c r="E35" s="702"/>
      <c r="F35" s="472"/>
      <c r="G35" s="703"/>
      <c r="H35" s="703"/>
      <c r="I35" s="704"/>
      <c r="J35" s="705"/>
      <c r="K35" s="1521"/>
      <c r="L35" s="1361" t="s">
        <v>265</v>
      </c>
      <c r="M35" s="1524" t="s">
        <v>310</v>
      </c>
      <c r="N35" s="848" t="s">
        <v>311</v>
      </c>
      <c r="O35" s="672" t="s">
        <v>216</v>
      </c>
      <c r="P35" s="810" t="s">
        <v>312</v>
      </c>
      <c r="Q35" s="672" t="s">
        <v>307</v>
      </c>
      <c r="R35" s="672" t="s">
        <v>138</v>
      </c>
      <c r="S35" s="849" t="s">
        <v>214</v>
      </c>
      <c r="T35" s="847"/>
      <c r="U35" s="409"/>
      <c r="V35" s="405"/>
      <c r="W35" s="406"/>
      <c r="X35" s="407"/>
      <c r="Y35" s="407"/>
      <c r="Z35" s="408"/>
    </row>
    <row r="36" spans="1:27" s="398" customFormat="1" ht="52.5" customHeight="1" thickBot="1">
      <c r="A36" s="396"/>
      <c r="B36" s="1005"/>
      <c r="C36" s="706"/>
      <c r="D36" s="707"/>
      <c r="E36" s="707"/>
      <c r="F36" s="473"/>
      <c r="G36" s="708"/>
      <c r="H36" s="708"/>
      <c r="I36" s="709"/>
      <c r="J36" s="710"/>
      <c r="K36" s="1522"/>
      <c r="L36" s="1373"/>
      <c r="M36" s="1522"/>
      <c r="N36" s="850" t="s">
        <v>313</v>
      </c>
      <c r="O36" s="676" t="s">
        <v>216</v>
      </c>
      <c r="P36" s="816" t="s">
        <v>289</v>
      </c>
      <c r="Q36" s="676" t="s">
        <v>307</v>
      </c>
      <c r="R36" s="676" t="s">
        <v>138</v>
      </c>
      <c r="S36" s="851" t="s">
        <v>214</v>
      </c>
      <c r="T36" s="847"/>
      <c r="U36" s="409"/>
      <c r="V36" s="405"/>
      <c r="W36" s="406"/>
      <c r="X36" s="407"/>
      <c r="Y36" s="407"/>
      <c r="Z36" s="408"/>
    </row>
    <row r="37" spans="1:27" s="87" customFormat="1" ht="52.5" customHeight="1">
      <c r="A37" s="387"/>
      <c r="B37" s="1408">
        <v>7</v>
      </c>
      <c r="C37" s="688" t="s">
        <v>2</v>
      </c>
      <c r="D37" s="1366" t="s">
        <v>314</v>
      </c>
      <c r="E37" s="660" t="s">
        <v>64</v>
      </c>
      <c r="F37" s="1414" t="s">
        <v>315</v>
      </c>
      <c r="G37" s="1412" t="s">
        <v>316</v>
      </c>
      <c r="H37" s="668" t="s">
        <v>151</v>
      </c>
      <c r="I37" s="395" t="s">
        <v>317</v>
      </c>
      <c r="J37" s="679" t="s">
        <v>27</v>
      </c>
      <c r="K37" s="1366" t="s">
        <v>318</v>
      </c>
      <c r="L37" s="820" t="s">
        <v>209</v>
      </c>
      <c r="M37" s="665" t="s">
        <v>319</v>
      </c>
      <c r="N37" s="852" t="s">
        <v>320</v>
      </c>
      <c r="O37" s="665" t="s">
        <v>321</v>
      </c>
      <c r="P37" s="794" t="s">
        <v>322</v>
      </c>
      <c r="Q37" s="665" t="s">
        <v>143</v>
      </c>
      <c r="R37" s="665" t="s">
        <v>143</v>
      </c>
      <c r="S37" s="853" t="s">
        <v>214</v>
      </c>
      <c r="T37" s="854" t="s">
        <v>58</v>
      </c>
      <c r="U37" s="1439" t="s">
        <v>27</v>
      </c>
      <c r="V37" s="1464" t="s">
        <v>27</v>
      </c>
      <c r="W37" s="1464" t="s">
        <v>27</v>
      </c>
      <c r="X37" s="1464" t="s">
        <v>27</v>
      </c>
      <c r="Y37" s="1464" t="s">
        <v>27</v>
      </c>
      <c r="Z37" s="1461"/>
    </row>
    <row r="38" spans="1:27" s="87" customFormat="1" ht="52.5" customHeight="1">
      <c r="A38" s="106"/>
      <c r="B38" s="1408"/>
      <c r="C38" s="688"/>
      <c r="D38" s="1366"/>
      <c r="E38" s="660"/>
      <c r="F38" s="1410"/>
      <c r="G38" s="1412"/>
      <c r="H38" s="668"/>
      <c r="I38" s="395"/>
      <c r="J38" s="679"/>
      <c r="K38" s="1366"/>
      <c r="L38" s="824" t="s">
        <v>209</v>
      </c>
      <c r="M38" s="663" t="s">
        <v>323</v>
      </c>
      <c r="N38" s="487" t="s">
        <v>324</v>
      </c>
      <c r="O38" s="487" t="s">
        <v>325</v>
      </c>
      <c r="P38" s="788" t="s">
        <v>322</v>
      </c>
      <c r="Q38" s="663" t="s">
        <v>143</v>
      </c>
      <c r="R38" s="663" t="s">
        <v>143</v>
      </c>
      <c r="S38" s="842" t="s">
        <v>214</v>
      </c>
      <c r="T38" s="855"/>
      <c r="U38" s="1440"/>
      <c r="V38" s="1465"/>
      <c r="W38" s="1465"/>
      <c r="X38" s="1465"/>
      <c r="Y38" s="1465"/>
      <c r="Z38" s="1462"/>
    </row>
    <row r="39" spans="1:27" s="87" customFormat="1" ht="52.5" customHeight="1">
      <c r="A39" s="106"/>
      <c r="B39" s="1408"/>
      <c r="C39" s="688"/>
      <c r="D39" s="1366"/>
      <c r="E39" s="660"/>
      <c r="F39" s="1410"/>
      <c r="G39" s="1412"/>
      <c r="H39" s="668"/>
      <c r="I39" s="395"/>
      <c r="J39" s="679"/>
      <c r="K39" s="1366"/>
      <c r="L39" s="824" t="s">
        <v>209</v>
      </c>
      <c r="M39" s="663" t="s">
        <v>326</v>
      </c>
      <c r="N39" s="487" t="s">
        <v>327</v>
      </c>
      <c r="O39" s="487" t="s">
        <v>216</v>
      </c>
      <c r="P39" s="788" t="s">
        <v>328</v>
      </c>
      <c r="Q39" s="663" t="s">
        <v>329</v>
      </c>
      <c r="R39" s="663" t="s">
        <v>132</v>
      </c>
      <c r="S39" s="812" t="s">
        <v>214</v>
      </c>
      <c r="T39" s="855"/>
      <c r="U39" s="1440"/>
      <c r="V39" s="1465"/>
      <c r="W39" s="1465"/>
      <c r="X39" s="1465"/>
      <c r="Y39" s="1465"/>
      <c r="Z39" s="1462"/>
    </row>
    <row r="40" spans="1:27" s="87" customFormat="1" ht="188.25" customHeight="1" thickBot="1">
      <c r="A40" s="115"/>
      <c r="B40" s="1413"/>
      <c r="C40" s="689"/>
      <c r="D40" s="1367"/>
      <c r="E40" s="661"/>
      <c r="F40" s="1415"/>
      <c r="G40" s="1416"/>
      <c r="H40" s="678"/>
      <c r="I40" s="417"/>
      <c r="J40" s="711"/>
      <c r="K40" s="1367"/>
      <c r="L40" s="827" t="s">
        <v>209</v>
      </c>
      <c r="M40" s="664" t="s">
        <v>330</v>
      </c>
      <c r="N40" s="793" t="s">
        <v>331</v>
      </c>
      <c r="O40" s="793" t="s">
        <v>216</v>
      </c>
      <c r="P40" s="790" t="s">
        <v>328</v>
      </c>
      <c r="Q40" s="664" t="s">
        <v>329</v>
      </c>
      <c r="R40" s="664" t="s">
        <v>132</v>
      </c>
      <c r="S40" s="818" t="s">
        <v>214</v>
      </c>
      <c r="T40" s="856"/>
      <c r="U40" s="1441"/>
      <c r="V40" s="1466"/>
      <c r="W40" s="1466"/>
      <c r="X40" s="1466"/>
      <c r="Y40" s="1466"/>
      <c r="Z40" s="1463"/>
    </row>
    <row r="41" spans="1:27" s="87" customFormat="1" ht="73.5" customHeight="1">
      <c r="A41" s="108"/>
      <c r="B41" s="1407">
        <v>8</v>
      </c>
      <c r="C41" s="690" t="s">
        <v>2</v>
      </c>
      <c r="D41" s="1368" t="s">
        <v>332</v>
      </c>
      <c r="E41" s="659" t="s">
        <v>67</v>
      </c>
      <c r="F41" s="1409" t="s">
        <v>281</v>
      </c>
      <c r="G41" s="1411" t="s">
        <v>333</v>
      </c>
      <c r="H41" s="1411" t="s">
        <v>149</v>
      </c>
      <c r="I41" s="1487" t="s">
        <v>334</v>
      </c>
      <c r="J41" s="712" t="s">
        <v>27</v>
      </c>
      <c r="K41" s="1368" t="s">
        <v>335</v>
      </c>
      <c r="L41" s="1371" t="s">
        <v>209</v>
      </c>
      <c r="M41" s="1368" t="s">
        <v>336</v>
      </c>
      <c r="N41" s="787" t="s">
        <v>337</v>
      </c>
      <c r="O41" s="857" t="s">
        <v>216</v>
      </c>
      <c r="P41" s="669" t="s">
        <v>270</v>
      </c>
      <c r="Q41" s="659" t="s">
        <v>338</v>
      </c>
      <c r="R41" s="717" t="s">
        <v>131</v>
      </c>
      <c r="S41" s="841" t="s">
        <v>214</v>
      </c>
      <c r="T41" s="807" t="s">
        <v>58</v>
      </c>
      <c r="U41" s="1481" t="s">
        <v>27</v>
      </c>
      <c r="V41" s="1483" t="s">
        <v>27</v>
      </c>
      <c r="W41" s="1483" t="s">
        <v>27</v>
      </c>
      <c r="X41" s="1483" t="s">
        <v>27</v>
      </c>
      <c r="Y41" s="1483" t="s">
        <v>27</v>
      </c>
      <c r="Z41" s="1476"/>
    </row>
    <row r="42" spans="1:27" s="87" customFormat="1" ht="73.5" customHeight="1">
      <c r="A42" s="108"/>
      <c r="B42" s="1408"/>
      <c r="C42" s="688"/>
      <c r="D42" s="1366"/>
      <c r="E42" s="660"/>
      <c r="F42" s="1410"/>
      <c r="G42" s="1412"/>
      <c r="H42" s="1412"/>
      <c r="I42" s="1488"/>
      <c r="J42" s="679"/>
      <c r="K42" s="1366"/>
      <c r="L42" s="1362"/>
      <c r="M42" s="1489"/>
      <c r="N42" s="858" t="s">
        <v>339</v>
      </c>
      <c r="O42" s="487" t="s">
        <v>216</v>
      </c>
      <c r="P42" s="788" t="s">
        <v>270</v>
      </c>
      <c r="Q42" s="663" t="s">
        <v>338</v>
      </c>
      <c r="R42" s="722" t="s">
        <v>131</v>
      </c>
      <c r="S42" s="838" t="s">
        <v>214</v>
      </c>
      <c r="T42" s="813"/>
      <c r="U42" s="1482"/>
      <c r="V42" s="1484"/>
      <c r="W42" s="1484"/>
      <c r="X42" s="1484"/>
      <c r="Y42" s="1484"/>
      <c r="Z42" s="1477"/>
    </row>
    <row r="43" spans="1:27" s="87" customFormat="1" ht="73.5" customHeight="1">
      <c r="A43" s="108"/>
      <c r="B43" s="1408"/>
      <c r="C43" s="688"/>
      <c r="D43" s="1366"/>
      <c r="E43" s="660"/>
      <c r="F43" s="1410"/>
      <c r="G43" s="1412"/>
      <c r="H43" s="1412"/>
      <c r="I43" s="1488"/>
      <c r="J43" s="679"/>
      <c r="K43" s="1366"/>
      <c r="L43" s="1361" t="s">
        <v>209</v>
      </c>
      <c r="M43" s="1358" t="s">
        <v>340</v>
      </c>
      <c r="N43" s="487" t="s">
        <v>341</v>
      </c>
      <c r="O43" s="680" t="s">
        <v>216</v>
      </c>
      <c r="P43" s="794" t="s">
        <v>270</v>
      </c>
      <c r="Q43" s="665" t="s">
        <v>226</v>
      </c>
      <c r="R43" s="722" t="s">
        <v>131</v>
      </c>
      <c r="S43" s="838" t="s">
        <v>214</v>
      </c>
      <c r="T43" s="813"/>
      <c r="U43" s="1482"/>
      <c r="V43" s="1484"/>
      <c r="W43" s="1484"/>
      <c r="X43" s="1484"/>
      <c r="Y43" s="1484"/>
      <c r="Z43" s="1477"/>
    </row>
    <row r="44" spans="1:27" s="87" customFormat="1" ht="73.5" customHeight="1">
      <c r="A44" s="108"/>
      <c r="B44" s="1408"/>
      <c r="C44" s="688"/>
      <c r="D44" s="1366"/>
      <c r="E44" s="660"/>
      <c r="F44" s="1410"/>
      <c r="G44" s="1412"/>
      <c r="H44" s="1412"/>
      <c r="I44" s="1488"/>
      <c r="J44" s="679"/>
      <c r="K44" s="1366"/>
      <c r="L44" s="1362"/>
      <c r="M44" s="1489"/>
      <c r="N44" s="487" t="s">
        <v>342</v>
      </c>
      <c r="O44" s="680" t="s">
        <v>216</v>
      </c>
      <c r="P44" s="794" t="s">
        <v>270</v>
      </c>
      <c r="Q44" s="665" t="s">
        <v>226</v>
      </c>
      <c r="R44" s="722" t="s">
        <v>131</v>
      </c>
      <c r="S44" s="838" t="s">
        <v>214</v>
      </c>
      <c r="T44" s="813"/>
      <c r="U44" s="1467"/>
      <c r="V44" s="1485"/>
      <c r="W44" s="1485"/>
      <c r="X44" s="1485"/>
      <c r="Y44" s="1485"/>
      <c r="Z44" s="1473"/>
    </row>
    <row r="45" spans="1:27" s="87" customFormat="1" ht="73.5" customHeight="1" thickBot="1">
      <c r="A45" s="108"/>
      <c r="B45" s="1408"/>
      <c r="C45" s="713"/>
      <c r="D45" s="1366"/>
      <c r="E45" s="660"/>
      <c r="F45" s="1410"/>
      <c r="G45" s="1412"/>
      <c r="H45" s="1412"/>
      <c r="I45" s="1488"/>
      <c r="J45" s="679"/>
      <c r="K45" s="1366"/>
      <c r="L45" s="835" t="s">
        <v>227</v>
      </c>
      <c r="M45" s="693" t="s">
        <v>343</v>
      </c>
      <c r="N45" s="681" t="s">
        <v>344</v>
      </c>
      <c r="O45" s="681" t="s">
        <v>216</v>
      </c>
      <c r="P45" s="797" t="s">
        <v>270</v>
      </c>
      <c r="Q45" s="693" t="s">
        <v>226</v>
      </c>
      <c r="R45" s="727" t="s">
        <v>131</v>
      </c>
      <c r="S45" s="839" t="s">
        <v>214</v>
      </c>
      <c r="T45" s="819"/>
      <c r="U45" s="1469"/>
      <c r="V45" s="1486"/>
      <c r="W45" s="1486"/>
      <c r="X45" s="1486"/>
      <c r="Y45" s="1486"/>
      <c r="Z45" s="1475"/>
    </row>
    <row r="46" spans="1:27" s="87" customFormat="1" ht="63.6" customHeight="1">
      <c r="A46" s="108"/>
      <c r="B46" s="1407">
        <v>9</v>
      </c>
      <c r="C46" s="690" t="s">
        <v>2</v>
      </c>
      <c r="D46" s="1368" t="s">
        <v>345</v>
      </c>
      <c r="E46" s="659" t="s">
        <v>67</v>
      </c>
      <c r="F46" s="1409" t="s">
        <v>346</v>
      </c>
      <c r="G46" s="394" t="s">
        <v>347</v>
      </c>
      <c r="H46" s="394" t="s">
        <v>149</v>
      </c>
      <c r="I46" s="530" t="s">
        <v>348</v>
      </c>
      <c r="J46" s="712" t="s">
        <v>27</v>
      </c>
      <c r="K46" s="1368" t="s">
        <v>349</v>
      </c>
      <c r="L46" s="830" t="s">
        <v>209</v>
      </c>
      <c r="M46" s="662" t="s">
        <v>287</v>
      </c>
      <c r="N46" s="787" t="s">
        <v>350</v>
      </c>
      <c r="O46" s="787" t="s">
        <v>216</v>
      </c>
      <c r="P46" s="784" t="s">
        <v>351</v>
      </c>
      <c r="Q46" s="662" t="s">
        <v>226</v>
      </c>
      <c r="R46" s="662" t="s">
        <v>131</v>
      </c>
      <c r="S46" s="841" t="s">
        <v>214</v>
      </c>
      <c r="T46" s="807" t="s">
        <v>57</v>
      </c>
      <c r="U46" s="1458" t="s">
        <v>27</v>
      </c>
      <c r="V46" s="1478" t="s">
        <v>27</v>
      </c>
      <c r="W46" s="1478" t="s">
        <v>27</v>
      </c>
      <c r="X46" s="1478" t="s">
        <v>27</v>
      </c>
      <c r="Y46" s="1478" t="s">
        <v>27</v>
      </c>
      <c r="Z46" s="1461"/>
    </row>
    <row r="47" spans="1:27" s="87" customFormat="1" ht="63.6" customHeight="1">
      <c r="A47" s="108"/>
      <c r="B47" s="1408"/>
      <c r="C47" s="688"/>
      <c r="D47" s="1366"/>
      <c r="E47" s="660"/>
      <c r="F47" s="1410"/>
      <c r="G47" s="668"/>
      <c r="H47" s="668"/>
      <c r="I47" s="395"/>
      <c r="J47" s="679"/>
      <c r="K47" s="1366"/>
      <c r="L47" s="824" t="s">
        <v>209</v>
      </c>
      <c r="M47" s="663" t="s">
        <v>352</v>
      </c>
      <c r="N47" s="487" t="s">
        <v>292</v>
      </c>
      <c r="O47" s="487" t="s">
        <v>216</v>
      </c>
      <c r="P47" s="788" t="s">
        <v>270</v>
      </c>
      <c r="Q47" s="663" t="s">
        <v>293</v>
      </c>
      <c r="R47" s="663" t="s">
        <v>136</v>
      </c>
      <c r="S47" s="859" t="s">
        <v>214</v>
      </c>
      <c r="T47" s="813"/>
      <c r="U47" s="1459"/>
      <c r="V47" s="1479"/>
      <c r="W47" s="1479"/>
      <c r="X47" s="1479"/>
      <c r="Y47" s="1479"/>
      <c r="Z47" s="1462"/>
    </row>
    <row r="48" spans="1:27" s="87" customFormat="1" ht="63.6" customHeight="1" thickBot="1">
      <c r="A48" s="108"/>
      <c r="B48" s="1413"/>
      <c r="C48" s="714"/>
      <c r="D48" s="1367"/>
      <c r="E48" s="661"/>
      <c r="F48" s="1415"/>
      <c r="G48" s="678"/>
      <c r="H48" s="678"/>
      <c r="I48" s="417"/>
      <c r="J48" s="711"/>
      <c r="K48" s="1367"/>
      <c r="L48" s="827" t="s">
        <v>209</v>
      </c>
      <c r="M48" s="793" t="s">
        <v>298</v>
      </c>
      <c r="N48" s="793" t="s">
        <v>299</v>
      </c>
      <c r="O48" s="793" t="s">
        <v>216</v>
      </c>
      <c r="P48" s="790" t="s">
        <v>270</v>
      </c>
      <c r="Q48" s="664" t="s">
        <v>293</v>
      </c>
      <c r="R48" s="664" t="s">
        <v>136</v>
      </c>
      <c r="S48" s="840" t="s">
        <v>214</v>
      </c>
      <c r="T48" s="819"/>
      <c r="U48" s="1460"/>
      <c r="V48" s="1480"/>
      <c r="W48" s="1480"/>
      <c r="X48" s="1480"/>
      <c r="Y48" s="1480"/>
      <c r="Z48" s="1463"/>
    </row>
    <row r="49" spans="1:26" s="87" customFormat="1" ht="69" customHeight="1">
      <c r="A49" s="108"/>
      <c r="B49" s="1500">
        <v>10</v>
      </c>
      <c r="C49" s="690" t="s">
        <v>2</v>
      </c>
      <c r="D49" s="1394" t="s">
        <v>353</v>
      </c>
      <c r="E49" s="666" t="s">
        <v>64</v>
      </c>
      <c r="F49" s="1502" t="s">
        <v>354</v>
      </c>
      <c r="G49" s="1505" t="s">
        <v>355</v>
      </c>
      <c r="H49" s="296" t="s">
        <v>151</v>
      </c>
      <c r="I49" s="1508" t="s">
        <v>356</v>
      </c>
      <c r="J49" s="1490" t="s">
        <v>27</v>
      </c>
      <c r="K49" s="1394" t="s">
        <v>357</v>
      </c>
      <c r="L49" s="860" t="s">
        <v>209</v>
      </c>
      <c r="M49" s="717" t="s">
        <v>358</v>
      </c>
      <c r="N49" s="717" t="s">
        <v>359</v>
      </c>
      <c r="O49" s="787" t="s">
        <v>216</v>
      </c>
      <c r="P49" s="674" t="s">
        <v>322</v>
      </c>
      <c r="Q49" s="717" t="s">
        <v>226</v>
      </c>
      <c r="R49" s="662" t="s">
        <v>131</v>
      </c>
      <c r="S49" s="841" t="s">
        <v>214</v>
      </c>
      <c r="T49" s="807" t="s">
        <v>57</v>
      </c>
      <c r="U49" s="1494" t="s">
        <v>27</v>
      </c>
      <c r="V49" s="1497" t="s">
        <v>27</v>
      </c>
      <c r="W49" s="1497" t="s">
        <v>27</v>
      </c>
      <c r="X49" s="1497" t="s">
        <v>27</v>
      </c>
      <c r="Y49" s="1497" t="s">
        <v>27</v>
      </c>
      <c r="Z49" s="1476"/>
    </row>
    <row r="50" spans="1:26" s="87" customFormat="1" ht="69" customHeight="1">
      <c r="A50" s="108"/>
      <c r="B50" s="1501"/>
      <c r="C50" s="688"/>
      <c r="D50" s="1395"/>
      <c r="E50" s="121"/>
      <c r="F50" s="1503"/>
      <c r="G50" s="1506"/>
      <c r="H50" s="297"/>
      <c r="I50" s="1509"/>
      <c r="J50" s="1376"/>
      <c r="K50" s="1395"/>
      <c r="L50" s="861" t="s">
        <v>209</v>
      </c>
      <c r="M50" s="722" t="s">
        <v>360</v>
      </c>
      <c r="N50" s="722" t="s">
        <v>361</v>
      </c>
      <c r="O50" s="487" t="s">
        <v>216</v>
      </c>
      <c r="P50" s="810" t="s">
        <v>322</v>
      </c>
      <c r="Q50" s="722" t="s">
        <v>226</v>
      </c>
      <c r="R50" s="663" t="s">
        <v>131</v>
      </c>
      <c r="S50" s="838" t="s">
        <v>214</v>
      </c>
      <c r="T50" s="813"/>
      <c r="U50" s="1495"/>
      <c r="V50" s="1498"/>
      <c r="W50" s="1498"/>
      <c r="X50" s="1498"/>
      <c r="Y50" s="1498"/>
      <c r="Z50" s="1473"/>
    </row>
    <row r="51" spans="1:26" s="87" customFormat="1" ht="69" customHeight="1" thickBot="1">
      <c r="A51" s="108"/>
      <c r="B51" s="1501"/>
      <c r="C51" s="713"/>
      <c r="D51" s="1493"/>
      <c r="E51" s="121"/>
      <c r="F51" s="1504"/>
      <c r="G51" s="1507"/>
      <c r="H51" s="297"/>
      <c r="I51" s="1510"/>
      <c r="J51" s="1397"/>
      <c r="K51" s="1493"/>
      <c r="L51" s="862" t="s">
        <v>265</v>
      </c>
      <c r="M51" s="727" t="s">
        <v>362</v>
      </c>
      <c r="N51" s="727" t="s">
        <v>363</v>
      </c>
      <c r="O51" s="681" t="s">
        <v>216</v>
      </c>
      <c r="P51" s="843" t="s">
        <v>351</v>
      </c>
      <c r="Q51" s="727" t="s">
        <v>226</v>
      </c>
      <c r="R51" s="693" t="s">
        <v>131</v>
      </c>
      <c r="S51" s="839" t="s">
        <v>214</v>
      </c>
      <c r="T51" s="819"/>
      <c r="U51" s="1496"/>
      <c r="V51" s="1499"/>
      <c r="W51" s="1499"/>
      <c r="X51" s="1499"/>
      <c r="Y51" s="1499"/>
      <c r="Z51" s="1475"/>
    </row>
    <row r="52" spans="1:26" s="398" customFormat="1" ht="39.75" customHeight="1">
      <c r="A52" s="88"/>
      <c r="B52" s="1006">
        <v>11</v>
      </c>
      <c r="C52" s="715" t="s">
        <v>2</v>
      </c>
      <c r="D52" s="671" t="s">
        <v>364</v>
      </c>
      <c r="E52" s="979" t="s">
        <v>64</v>
      </c>
      <c r="F52" s="674" t="s">
        <v>354</v>
      </c>
      <c r="G52" s="716" t="s">
        <v>365</v>
      </c>
      <c r="H52" s="716" t="s">
        <v>147</v>
      </c>
      <c r="I52" s="699" t="s">
        <v>366</v>
      </c>
      <c r="J52" s="717" t="s">
        <v>27</v>
      </c>
      <c r="K52" s="1391" t="s">
        <v>367</v>
      </c>
      <c r="L52" s="1398" t="s">
        <v>227</v>
      </c>
      <c r="M52" s="1490" t="s">
        <v>368</v>
      </c>
      <c r="N52" s="845" t="s">
        <v>369</v>
      </c>
      <c r="O52" s="717" t="s">
        <v>216</v>
      </c>
      <c r="P52" s="674" t="s">
        <v>370</v>
      </c>
      <c r="Q52" s="717" t="s">
        <v>371</v>
      </c>
      <c r="R52" s="717" t="s">
        <v>138</v>
      </c>
      <c r="S52" s="863" t="s">
        <v>214</v>
      </c>
      <c r="T52" s="855" t="s">
        <v>57</v>
      </c>
      <c r="U52" s="412"/>
      <c r="V52" s="410"/>
      <c r="W52" s="411"/>
      <c r="X52" s="411"/>
      <c r="Y52" s="411"/>
      <c r="Z52" s="403"/>
    </row>
    <row r="53" spans="1:26" s="398" customFormat="1" ht="39.75" customHeight="1">
      <c r="A53" s="88"/>
      <c r="B53" s="1007"/>
      <c r="C53" s="718"/>
      <c r="D53" s="672"/>
      <c r="E53" s="672"/>
      <c r="F53" s="719"/>
      <c r="G53" s="720"/>
      <c r="H53" s="720"/>
      <c r="I53" s="721"/>
      <c r="J53" s="722"/>
      <c r="K53" s="1392"/>
      <c r="L53" s="1384"/>
      <c r="M53" s="1376"/>
      <c r="N53" s="848" t="s">
        <v>372</v>
      </c>
      <c r="O53" s="722" t="s">
        <v>216</v>
      </c>
      <c r="P53" s="810" t="s">
        <v>370</v>
      </c>
      <c r="Q53" s="722" t="s">
        <v>371</v>
      </c>
      <c r="R53" s="722" t="s">
        <v>138</v>
      </c>
      <c r="S53" s="864" t="s">
        <v>214</v>
      </c>
      <c r="T53" s="855"/>
      <c r="U53" s="412"/>
      <c r="V53" s="410"/>
      <c r="W53" s="411"/>
      <c r="X53" s="411"/>
      <c r="Y53" s="411"/>
      <c r="Z53" s="411"/>
    </row>
    <row r="54" spans="1:26" s="398" customFormat="1" ht="39.75" customHeight="1">
      <c r="A54" s="88"/>
      <c r="B54" s="1007"/>
      <c r="C54" s="718"/>
      <c r="D54" s="672"/>
      <c r="E54" s="672"/>
      <c r="F54" s="719"/>
      <c r="G54" s="720"/>
      <c r="H54" s="720"/>
      <c r="I54" s="721"/>
      <c r="J54" s="722"/>
      <c r="K54" s="1392"/>
      <c r="L54" s="861" t="s">
        <v>227</v>
      </c>
      <c r="M54" s="722" t="s">
        <v>373</v>
      </c>
      <c r="N54" s="848" t="s">
        <v>374</v>
      </c>
      <c r="O54" s="722" t="s">
        <v>216</v>
      </c>
      <c r="P54" s="810" t="s">
        <v>370</v>
      </c>
      <c r="Q54" s="722" t="s">
        <v>375</v>
      </c>
      <c r="R54" s="663" t="s">
        <v>131</v>
      </c>
      <c r="S54" s="864" t="s">
        <v>214</v>
      </c>
      <c r="T54" s="855"/>
      <c r="U54" s="412"/>
      <c r="V54" s="410"/>
      <c r="W54" s="411"/>
      <c r="X54" s="411"/>
      <c r="Y54" s="411"/>
      <c r="Z54" s="411"/>
    </row>
    <row r="55" spans="1:26" s="398" customFormat="1" ht="39.75" customHeight="1">
      <c r="A55" s="88"/>
      <c r="B55" s="1007"/>
      <c r="C55" s="718"/>
      <c r="D55" s="672"/>
      <c r="E55" s="672"/>
      <c r="F55" s="719"/>
      <c r="G55" s="720"/>
      <c r="H55" s="720"/>
      <c r="I55" s="721"/>
      <c r="J55" s="722"/>
      <c r="K55" s="1392"/>
      <c r="L55" s="861" t="s">
        <v>265</v>
      </c>
      <c r="M55" s="722" t="s">
        <v>376</v>
      </c>
      <c r="N55" s="848" t="s">
        <v>377</v>
      </c>
      <c r="O55" s="722" t="s">
        <v>216</v>
      </c>
      <c r="P55" s="810" t="s">
        <v>378</v>
      </c>
      <c r="Q55" s="722" t="s">
        <v>371</v>
      </c>
      <c r="R55" s="722" t="s">
        <v>138</v>
      </c>
      <c r="S55" s="864" t="s">
        <v>214</v>
      </c>
      <c r="T55" s="855"/>
      <c r="U55" s="412"/>
      <c r="V55" s="410"/>
      <c r="W55" s="411"/>
      <c r="X55" s="411"/>
      <c r="Y55" s="411"/>
      <c r="Z55" s="411"/>
    </row>
    <row r="56" spans="1:26" s="398" customFormat="1" ht="39.75" customHeight="1">
      <c r="A56" s="88"/>
      <c r="B56" s="1007"/>
      <c r="C56" s="718"/>
      <c r="D56" s="672"/>
      <c r="E56" s="672"/>
      <c r="F56" s="719"/>
      <c r="G56" s="720"/>
      <c r="H56" s="720"/>
      <c r="I56" s="721"/>
      <c r="J56" s="722"/>
      <c r="K56" s="1392"/>
      <c r="L56" s="861" t="s">
        <v>265</v>
      </c>
      <c r="M56" s="722" t="s">
        <v>379</v>
      </c>
      <c r="N56" s="848" t="s">
        <v>380</v>
      </c>
      <c r="O56" s="722" t="s">
        <v>216</v>
      </c>
      <c r="P56" s="810" t="s">
        <v>378</v>
      </c>
      <c r="Q56" s="722" t="s">
        <v>371</v>
      </c>
      <c r="R56" s="722" t="s">
        <v>138</v>
      </c>
      <c r="S56" s="864" t="s">
        <v>214</v>
      </c>
      <c r="T56" s="855"/>
      <c r="U56" s="412"/>
      <c r="V56" s="410"/>
      <c r="W56" s="411"/>
      <c r="X56" s="411"/>
      <c r="Y56" s="411"/>
      <c r="Z56" s="411"/>
    </row>
    <row r="57" spans="1:26" s="398" customFormat="1" ht="39.75" customHeight="1">
      <c r="A57" s="88"/>
      <c r="B57" s="1007"/>
      <c r="C57" s="718"/>
      <c r="D57" s="672"/>
      <c r="E57" s="672"/>
      <c r="F57" s="719"/>
      <c r="G57" s="720"/>
      <c r="H57" s="720"/>
      <c r="I57" s="721"/>
      <c r="J57" s="722"/>
      <c r="K57" s="1392"/>
      <c r="L57" s="1382" t="s">
        <v>209</v>
      </c>
      <c r="M57" s="1376" t="s">
        <v>381</v>
      </c>
      <c r="N57" s="848" t="s">
        <v>382</v>
      </c>
      <c r="O57" s="722" t="s">
        <v>216</v>
      </c>
      <c r="P57" s="810" t="s">
        <v>378</v>
      </c>
      <c r="Q57" s="722" t="s">
        <v>383</v>
      </c>
      <c r="R57" s="722" t="s">
        <v>136</v>
      </c>
      <c r="S57" s="864" t="s">
        <v>214</v>
      </c>
      <c r="T57" s="855"/>
      <c r="U57" s="412"/>
      <c r="V57" s="410"/>
      <c r="W57" s="411"/>
      <c r="X57" s="411"/>
      <c r="Y57" s="411"/>
      <c r="Z57" s="411"/>
    </row>
    <row r="58" spans="1:26" s="398" customFormat="1" ht="39.75" customHeight="1">
      <c r="A58" s="88"/>
      <c r="B58" s="1007"/>
      <c r="C58" s="718"/>
      <c r="D58" s="672"/>
      <c r="E58" s="672"/>
      <c r="F58" s="719"/>
      <c r="G58" s="720"/>
      <c r="H58" s="720"/>
      <c r="I58" s="721"/>
      <c r="J58" s="722"/>
      <c r="K58" s="1392"/>
      <c r="L58" s="1383"/>
      <c r="M58" s="1376"/>
      <c r="N58" s="848" t="s">
        <v>384</v>
      </c>
      <c r="O58" s="722" t="s">
        <v>216</v>
      </c>
      <c r="P58" s="810" t="s">
        <v>378</v>
      </c>
      <c r="Q58" s="722" t="s">
        <v>385</v>
      </c>
      <c r="R58" s="722" t="s">
        <v>138</v>
      </c>
      <c r="S58" s="864" t="s">
        <v>214</v>
      </c>
      <c r="T58" s="855"/>
      <c r="U58" s="412"/>
      <c r="V58" s="410"/>
      <c r="W58" s="411"/>
      <c r="X58" s="411"/>
      <c r="Y58" s="411"/>
      <c r="Z58" s="411"/>
    </row>
    <row r="59" spans="1:26" s="398" customFormat="1" ht="39.75" customHeight="1" thickBot="1">
      <c r="A59" s="88"/>
      <c r="B59" s="1008"/>
      <c r="C59" s="723"/>
      <c r="D59" s="673"/>
      <c r="E59" s="673"/>
      <c r="F59" s="724"/>
      <c r="G59" s="725"/>
      <c r="H59" s="725"/>
      <c r="I59" s="726"/>
      <c r="J59" s="727"/>
      <c r="K59" s="1392"/>
      <c r="L59" s="1383"/>
      <c r="M59" s="1397"/>
      <c r="N59" s="865" t="s">
        <v>386</v>
      </c>
      <c r="O59" s="727" t="s">
        <v>216</v>
      </c>
      <c r="P59" s="843" t="s">
        <v>378</v>
      </c>
      <c r="Q59" s="727" t="s">
        <v>385</v>
      </c>
      <c r="R59" s="727" t="s">
        <v>138</v>
      </c>
      <c r="S59" s="866" t="s">
        <v>214</v>
      </c>
      <c r="T59" s="855"/>
      <c r="U59" s="412"/>
      <c r="V59" s="410"/>
      <c r="W59" s="411"/>
      <c r="X59" s="411"/>
      <c r="Y59" s="411"/>
      <c r="Z59" s="411"/>
    </row>
    <row r="60" spans="1:26" s="87" customFormat="1" ht="52.5" customHeight="1">
      <c r="A60" s="108"/>
      <c r="B60" s="1420">
        <v>12</v>
      </c>
      <c r="C60" s="1417" t="s">
        <v>2</v>
      </c>
      <c r="D60" s="1356" t="s">
        <v>387</v>
      </c>
      <c r="E60" s="1356" t="s">
        <v>64</v>
      </c>
      <c r="F60" s="1423" t="s">
        <v>388</v>
      </c>
      <c r="G60" s="1388" t="s">
        <v>389</v>
      </c>
      <c r="H60" s="1388" t="s">
        <v>147</v>
      </c>
      <c r="I60" s="1428" t="s">
        <v>390</v>
      </c>
      <c r="J60" s="1400" t="s">
        <v>27</v>
      </c>
      <c r="K60" s="1356" t="s">
        <v>391</v>
      </c>
      <c r="L60" s="830" t="s">
        <v>209</v>
      </c>
      <c r="M60" s="787" t="s">
        <v>392</v>
      </c>
      <c r="N60" s="867" t="s">
        <v>393</v>
      </c>
      <c r="O60" s="787" t="s">
        <v>216</v>
      </c>
      <c r="P60" s="784" t="s">
        <v>394</v>
      </c>
      <c r="Q60" s="662" t="s">
        <v>226</v>
      </c>
      <c r="R60" s="662" t="s">
        <v>131</v>
      </c>
      <c r="S60" s="868" t="s">
        <v>214</v>
      </c>
      <c r="T60" s="869" t="s">
        <v>57</v>
      </c>
      <c r="U60" s="1516" t="s">
        <v>27</v>
      </c>
      <c r="V60" s="1491" t="s">
        <v>27</v>
      </c>
      <c r="W60" s="1491" t="s">
        <v>27</v>
      </c>
      <c r="X60" s="1491" t="s">
        <v>27</v>
      </c>
      <c r="Y60" s="1491" t="s">
        <v>27</v>
      </c>
      <c r="Z60" s="1518"/>
    </row>
    <row r="61" spans="1:26" s="87" customFormat="1" ht="52.5" customHeight="1">
      <c r="A61" s="108"/>
      <c r="B61" s="1421"/>
      <c r="C61" s="1418"/>
      <c r="D61" s="1357"/>
      <c r="E61" s="1357"/>
      <c r="F61" s="1424"/>
      <c r="G61" s="1389"/>
      <c r="H61" s="1389"/>
      <c r="I61" s="1429"/>
      <c r="J61" s="1374"/>
      <c r="K61" s="1357"/>
      <c r="L61" s="824" t="s">
        <v>209</v>
      </c>
      <c r="M61" s="487" t="s">
        <v>395</v>
      </c>
      <c r="N61" s="870" t="s">
        <v>396</v>
      </c>
      <c r="O61" s="487" t="s">
        <v>216</v>
      </c>
      <c r="P61" s="788" t="s">
        <v>322</v>
      </c>
      <c r="Q61" s="663" t="s">
        <v>226</v>
      </c>
      <c r="R61" s="663" t="s">
        <v>131</v>
      </c>
      <c r="S61" s="842" t="s">
        <v>214</v>
      </c>
      <c r="T61" s="871"/>
      <c r="U61" s="1516"/>
      <c r="V61" s="1491"/>
      <c r="W61" s="1491"/>
      <c r="X61" s="1491"/>
      <c r="Y61" s="1491"/>
      <c r="Z61" s="1518"/>
    </row>
    <row r="62" spans="1:26" s="87" customFormat="1" ht="52.5" customHeight="1">
      <c r="A62" s="108"/>
      <c r="B62" s="1421"/>
      <c r="C62" s="1418"/>
      <c r="D62" s="1357"/>
      <c r="E62" s="1357"/>
      <c r="F62" s="1424"/>
      <c r="G62" s="1389"/>
      <c r="H62" s="1389"/>
      <c r="I62" s="1429"/>
      <c r="J62" s="1374"/>
      <c r="K62" s="1357"/>
      <c r="L62" s="824" t="s">
        <v>265</v>
      </c>
      <c r="M62" s="487" t="s">
        <v>397</v>
      </c>
      <c r="N62" s="487" t="s">
        <v>398</v>
      </c>
      <c r="O62" s="487" t="s">
        <v>216</v>
      </c>
      <c r="P62" s="788" t="s">
        <v>322</v>
      </c>
      <c r="Q62" s="663" t="s">
        <v>399</v>
      </c>
      <c r="R62" s="663" t="s">
        <v>142</v>
      </c>
      <c r="S62" s="842" t="s">
        <v>214</v>
      </c>
      <c r="T62" s="871"/>
      <c r="U62" s="1517"/>
      <c r="V62" s="1492"/>
      <c r="W62" s="1492"/>
      <c r="X62" s="1492"/>
      <c r="Y62" s="1492"/>
      <c r="Z62" s="1519"/>
    </row>
    <row r="63" spans="1:26" s="87" customFormat="1" ht="52.5" customHeight="1">
      <c r="A63" s="108"/>
      <c r="B63" s="1421"/>
      <c r="C63" s="1418"/>
      <c r="D63" s="1357"/>
      <c r="E63" s="1357"/>
      <c r="F63" s="1424"/>
      <c r="G63" s="1389"/>
      <c r="H63" s="1389"/>
      <c r="I63" s="1429"/>
      <c r="J63" s="1374"/>
      <c r="K63" s="1357"/>
      <c r="L63" s="1375" t="s">
        <v>265</v>
      </c>
      <c r="M63" s="1374" t="s">
        <v>400</v>
      </c>
      <c r="N63" s="722" t="s">
        <v>401</v>
      </c>
      <c r="O63" s="487" t="s">
        <v>402</v>
      </c>
      <c r="P63" s="788" t="s">
        <v>394</v>
      </c>
      <c r="Q63" s="663" t="s">
        <v>399</v>
      </c>
      <c r="R63" s="663" t="s">
        <v>142</v>
      </c>
      <c r="S63" s="842" t="s">
        <v>214</v>
      </c>
      <c r="T63" s="871"/>
      <c r="U63" s="1517"/>
      <c r="V63" s="1492"/>
      <c r="W63" s="1492"/>
      <c r="X63" s="1492"/>
      <c r="Y63" s="1492"/>
      <c r="Z63" s="1519"/>
    </row>
    <row r="64" spans="1:26" ht="52.5" customHeight="1" thickBot="1">
      <c r="A64" s="102"/>
      <c r="B64" s="1422"/>
      <c r="C64" s="1419"/>
      <c r="D64" s="1359"/>
      <c r="E64" s="1359"/>
      <c r="F64" s="1425"/>
      <c r="G64" s="1390"/>
      <c r="H64" s="1390"/>
      <c r="I64" s="1430"/>
      <c r="J64" s="1401"/>
      <c r="K64" s="1359"/>
      <c r="L64" s="1427"/>
      <c r="M64" s="1401"/>
      <c r="N64" s="793" t="s">
        <v>403</v>
      </c>
      <c r="O64" s="793" t="s">
        <v>216</v>
      </c>
      <c r="P64" s="790" t="s">
        <v>394</v>
      </c>
      <c r="Q64" s="664" t="s">
        <v>226</v>
      </c>
      <c r="R64" s="664" t="s">
        <v>131</v>
      </c>
      <c r="S64" s="872" t="s">
        <v>214</v>
      </c>
      <c r="T64" s="873"/>
      <c r="U64" s="1516"/>
      <c r="V64" s="1491"/>
      <c r="W64" s="1491"/>
      <c r="X64" s="1491"/>
      <c r="Y64" s="1491"/>
      <c r="Z64" s="1518"/>
    </row>
    <row r="65" spans="1:26" ht="52.5" customHeight="1">
      <c r="A65" s="102"/>
      <c r="B65" s="1420">
        <v>13</v>
      </c>
      <c r="C65" s="1417" t="s">
        <v>3</v>
      </c>
      <c r="D65" s="1356" t="s">
        <v>404</v>
      </c>
      <c r="E65" s="1356" t="s">
        <v>67</v>
      </c>
      <c r="F65" s="1423" t="s">
        <v>289</v>
      </c>
      <c r="G65" s="1388" t="s">
        <v>405</v>
      </c>
      <c r="H65" s="1388" t="s">
        <v>149</v>
      </c>
      <c r="I65" s="1428" t="s">
        <v>406</v>
      </c>
      <c r="J65" s="1400" t="s">
        <v>27</v>
      </c>
      <c r="K65" s="1356" t="s">
        <v>407</v>
      </c>
      <c r="L65" s="1525" t="s">
        <v>265</v>
      </c>
      <c r="M65" s="1400" t="s">
        <v>408</v>
      </c>
      <c r="N65" s="787" t="s">
        <v>409</v>
      </c>
      <c r="O65" s="787" t="s">
        <v>216</v>
      </c>
      <c r="P65" s="784" t="s">
        <v>410</v>
      </c>
      <c r="Q65" s="874" t="s">
        <v>226</v>
      </c>
      <c r="R65" s="662" t="s">
        <v>131</v>
      </c>
      <c r="S65" s="868" t="s">
        <v>214</v>
      </c>
      <c r="T65" s="869" t="s">
        <v>57</v>
      </c>
      <c r="U65" s="506"/>
      <c r="V65" s="413"/>
      <c r="W65" s="413"/>
      <c r="X65" s="413"/>
      <c r="Y65" s="413"/>
      <c r="Z65" s="414"/>
    </row>
    <row r="66" spans="1:26" ht="52.5" customHeight="1">
      <c r="A66" s="102"/>
      <c r="B66" s="1421"/>
      <c r="C66" s="1418"/>
      <c r="D66" s="1357"/>
      <c r="E66" s="1357"/>
      <c r="F66" s="1424"/>
      <c r="G66" s="1389"/>
      <c r="H66" s="1389"/>
      <c r="I66" s="1429"/>
      <c r="J66" s="1374"/>
      <c r="K66" s="1357"/>
      <c r="L66" s="1375"/>
      <c r="M66" s="1374"/>
      <c r="N66" s="487" t="s">
        <v>411</v>
      </c>
      <c r="O66" s="487" t="s">
        <v>216</v>
      </c>
      <c r="P66" s="788" t="s">
        <v>410</v>
      </c>
      <c r="Q66" s="800" t="s">
        <v>226</v>
      </c>
      <c r="R66" s="663" t="s">
        <v>131</v>
      </c>
      <c r="S66" s="842" t="s">
        <v>214</v>
      </c>
      <c r="T66" s="875"/>
      <c r="U66" s="506"/>
      <c r="V66" s="413"/>
      <c r="W66" s="413"/>
      <c r="X66" s="413"/>
      <c r="Y66" s="413"/>
      <c r="Z66" s="414"/>
    </row>
    <row r="67" spans="1:26" ht="52.5" customHeight="1">
      <c r="A67" s="102"/>
      <c r="B67" s="1421"/>
      <c r="C67" s="1418"/>
      <c r="D67" s="1357"/>
      <c r="E67" s="1357"/>
      <c r="F67" s="1424"/>
      <c r="G67" s="1389"/>
      <c r="H67" s="1389"/>
      <c r="I67" s="1429"/>
      <c r="J67" s="1374"/>
      <c r="K67" s="1357"/>
      <c r="L67" s="1375" t="s">
        <v>227</v>
      </c>
      <c r="M67" s="1374" t="s">
        <v>412</v>
      </c>
      <c r="N67" s="487" t="s">
        <v>413</v>
      </c>
      <c r="O67" s="487" t="s">
        <v>216</v>
      </c>
      <c r="P67" s="788" t="s">
        <v>410</v>
      </c>
      <c r="Q67" s="800" t="s">
        <v>226</v>
      </c>
      <c r="R67" s="663" t="s">
        <v>131</v>
      </c>
      <c r="S67" s="842" t="s">
        <v>214</v>
      </c>
      <c r="T67" s="875"/>
      <c r="U67" s="506"/>
      <c r="V67" s="413"/>
      <c r="W67" s="413"/>
      <c r="X67" s="413"/>
      <c r="Y67" s="413"/>
      <c r="Z67" s="414"/>
    </row>
    <row r="68" spans="1:26" ht="52.5" customHeight="1">
      <c r="A68" s="102"/>
      <c r="B68" s="1421"/>
      <c r="C68" s="1418"/>
      <c r="D68" s="1357"/>
      <c r="E68" s="1357"/>
      <c r="F68" s="1424"/>
      <c r="G68" s="1389"/>
      <c r="H68" s="1389"/>
      <c r="I68" s="1429"/>
      <c r="J68" s="1374"/>
      <c r="K68" s="1357"/>
      <c r="L68" s="1375"/>
      <c r="M68" s="1374"/>
      <c r="N68" s="487" t="s">
        <v>414</v>
      </c>
      <c r="O68" s="487" t="s">
        <v>216</v>
      </c>
      <c r="P68" s="788" t="s">
        <v>410</v>
      </c>
      <c r="Q68" s="800" t="s">
        <v>226</v>
      </c>
      <c r="R68" s="663" t="s">
        <v>131</v>
      </c>
      <c r="S68" s="842" t="s">
        <v>214</v>
      </c>
      <c r="T68" s="875"/>
      <c r="U68" s="506"/>
      <c r="V68" s="413"/>
      <c r="W68" s="413"/>
      <c r="X68" s="413"/>
      <c r="Y68" s="413"/>
      <c r="Z68" s="414"/>
    </row>
    <row r="69" spans="1:26" ht="52.5" customHeight="1">
      <c r="A69" s="102"/>
      <c r="B69" s="1421"/>
      <c r="C69" s="1418"/>
      <c r="D69" s="1357"/>
      <c r="E69" s="1357"/>
      <c r="F69" s="1424"/>
      <c r="G69" s="1389"/>
      <c r="H69" s="1389"/>
      <c r="I69" s="1429"/>
      <c r="J69" s="1374"/>
      <c r="K69" s="1357"/>
      <c r="L69" s="1375" t="s">
        <v>209</v>
      </c>
      <c r="M69" s="1374" t="s">
        <v>415</v>
      </c>
      <c r="N69" s="487" t="s">
        <v>292</v>
      </c>
      <c r="O69" s="487" t="s">
        <v>216</v>
      </c>
      <c r="P69" s="788" t="s">
        <v>410</v>
      </c>
      <c r="Q69" s="800" t="s">
        <v>416</v>
      </c>
      <c r="R69" s="663" t="s">
        <v>136</v>
      </c>
      <c r="S69" s="842" t="s">
        <v>214</v>
      </c>
      <c r="T69" s="875"/>
      <c r="U69" s="506"/>
      <c r="V69" s="413"/>
      <c r="W69" s="413"/>
      <c r="X69" s="413"/>
      <c r="Y69" s="413"/>
      <c r="Z69" s="414"/>
    </row>
    <row r="70" spans="1:26" ht="52.5" customHeight="1" thickBot="1">
      <c r="A70" s="102"/>
      <c r="B70" s="1422"/>
      <c r="C70" s="1419"/>
      <c r="D70" s="1359"/>
      <c r="E70" s="1359"/>
      <c r="F70" s="1425"/>
      <c r="G70" s="1390"/>
      <c r="H70" s="1390"/>
      <c r="I70" s="1430"/>
      <c r="J70" s="1401"/>
      <c r="K70" s="1359"/>
      <c r="L70" s="1427"/>
      <c r="M70" s="1401"/>
      <c r="N70" s="793" t="s">
        <v>417</v>
      </c>
      <c r="O70" s="793" t="s">
        <v>216</v>
      </c>
      <c r="P70" s="790" t="s">
        <v>410</v>
      </c>
      <c r="Q70" s="876" t="s">
        <v>226</v>
      </c>
      <c r="R70" s="664" t="s">
        <v>131</v>
      </c>
      <c r="S70" s="872" t="s">
        <v>214</v>
      </c>
      <c r="T70" s="873"/>
      <c r="U70" s="486"/>
      <c r="V70" s="415"/>
      <c r="W70" s="415"/>
      <c r="X70" s="415"/>
      <c r="Y70" s="415"/>
      <c r="Z70" s="416"/>
    </row>
    <row r="71" spans="1:26" ht="52.5" customHeight="1">
      <c r="A71" s="102"/>
      <c r="B71" s="1420">
        <v>14</v>
      </c>
      <c r="C71" s="1417" t="s">
        <v>3</v>
      </c>
      <c r="D71" s="1356" t="s">
        <v>418</v>
      </c>
      <c r="E71" s="1356" t="s">
        <v>34</v>
      </c>
      <c r="F71" s="1423" t="s">
        <v>322</v>
      </c>
      <c r="G71" s="1388" t="s">
        <v>419</v>
      </c>
      <c r="H71" s="1388" t="s">
        <v>146</v>
      </c>
      <c r="I71" s="1428" t="s">
        <v>420</v>
      </c>
      <c r="J71" s="1400" t="s">
        <v>421</v>
      </c>
      <c r="K71" s="1356" t="s">
        <v>422</v>
      </c>
      <c r="L71" s="830" t="s">
        <v>209</v>
      </c>
      <c r="M71" s="787" t="s">
        <v>423</v>
      </c>
      <c r="N71" s="787" t="s">
        <v>424</v>
      </c>
      <c r="O71" s="787" t="s">
        <v>216</v>
      </c>
      <c r="P71" s="784" t="s">
        <v>425</v>
      </c>
      <c r="Q71" s="662" t="s">
        <v>426</v>
      </c>
      <c r="R71" s="662" t="s">
        <v>132</v>
      </c>
      <c r="S71" s="868" t="s">
        <v>214</v>
      </c>
      <c r="T71" s="869" t="s">
        <v>57</v>
      </c>
      <c r="U71" s="486"/>
      <c r="V71" s="415"/>
      <c r="W71" s="415"/>
      <c r="X71" s="415"/>
      <c r="Y71" s="415"/>
      <c r="Z71" s="416"/>
    </row>
    <row r="72" spans="1:26" ht="52.5" customHeight="1">
      <c r="A72" s="102"/>
      <c r="B72" s="1421"/>
      <c r="C72" s="1418"/>
      <c r="D72" s="1357"/>
      <c r="E72" s="1357"/>
      <c r="F72" s="1424"/>
      <c r="G72" s="1389"/>
      <c r="H72" s="1389"/>
      <c r="I72" s="1429"/>
      <c r="J72" s="1374"/>
      <c r="K72" s="1357"/>
      <c r="L72" s="1375" t="s">
        <v>209</v>
      </c>
      <c r="M72" s="1395" t="s">
        <v>427</v>
      </c>
      <c r="N72" s="487" t="s">
        <v>428</v>
      </c>
      <c r="O72" s="487" t="s">
        <v>216</v>
      </c>
      <c r="P72" s="788" t="s">
        <v>425</v>
      </c>
      <c r="Q72" s="663" t="s">
        <v>429</v>
      </c>
      <c r="R72" s="663" t="s">
        <v>142</v>
      </c>
      <c r="S72" s="842" t="s">
        <v>214</v>
      </c>
      <c r="T72" s="871"/>
      <c r="U72" s="486"/>
      <c r="V72" s="415"/>
      <c r="W72" s="415"/>
      <c r="X72" s="415"/>
      <c r="Y72" s="415"/>
      <c r="Z72" s="416"/>
    </row>
    <row r="73" spans="1:26" ht="52.5" customHeight="1">
      <c r="A73" s="102"/>
      <c r="B73" s="1421"/>
      <c r="C73" s="1418"/>
      <c r="D73" s="1357"/>
      <c r="E73" s="1357"/>
      <c r="F73" s="1424"/>
      <c r="G73" s="1389"/>
      <c r="H73" s="1389"/>
      <c r="I73" s="1429"/>
      <c r="J73" s="1374"/>
      <c r="K73" s="1357"/>
      <c r="L73" s="1375"/>
      <c r="M73" s="1395"/>
      <c r="N73" s="487" t="s">
        <v>430</v>
      </c>
      <c r="O73" s="487" t="s">
        <v>216</v>
      </c>
      <c r="P73" s="788" t="s">
        <v>425</v>
      </c>
      <c r="Q73" s="663" t="s">
        <v>278</v>
      </c>
      <c r="R73" s="663" t="s">
        <v>135</v>
      </c>
      <c r="S73" s="842" t="s">
        <v>214</v>
      </c>
      <c r="T73" s="871"/>
      <c r="U73" s="486"/>
      <c r="V73" s="415"/>
      <c r="W73" s="415"/>
      <c r="X73" s="415"/>
      <c r="Y73" s="415"/>
      <c r="Z73" s="416"/>
    </row>
    <row r="74" spans="1:26" ht="105.75" customHeight="1">
      <c r="A74" s="102"/>
      <c r="B74" s="1421"/>
      <c r="C74" s="1418"/>
      <c r="D74" s="1357"/>
      <c r="E74" s="1357"/>
      <c r="F74" s="1424"/>
      <c r="G74" s="1389"/>
      <c r="H74" s="1389"/>
      <c r="I74" s="1429"/>
      <c r="J74" s="1374"/>
      <c r="K74" s="1357"/>
      <c r="L74" s="1375"/>
      <c r="M74" s="1395"/>
      <c r="N74" s="487" t="s">
        <v>431</v>
      </c>
      <c r="O74" s="487" t="s">
        <v>216</v>
      </c>
      <c r="P74" s="788" t="s">
        <v>425</v>
      </c>
      <c r="Q74" s="663" t="s">
        <v>429</v>
      </c>
      <c r="R74" s="663" t="s">
        <v>142</v>
      </c>
      <c r="S74" s="842" t="s">
        <v>214</v>
      </c>
      <c r="T74" s="871"/>
      <c r="U74" s="486"/>
      <c r="V74" s="415"/>
      <c r="W74" s="415"/>
      <c r="X74" s="415"/>
      <c r="Y74" s="415"/>
      <c r="Z74" s="416"/>
    </row>
    <row r="75" spans="1:26" ht="52.5" customHeight="1">
      <c r="A75" s="102"/>
      <c r="B75" s="1421"/>
      <c r="C75" s="1418"/>
      <c r="D75" s="1357"/>
      <c r="E75" s="1357"/>
      <c r="F75" s="1424"/>
      <c r="G75" s="1389"/>
      <c r="H75" s="1389"/>
      <c r="I75" s="1429"/>
      <c r="J75" s="1374"/>
      <c r="K75" s="1357"/>
      <c r="L75" s="824" t="s">
        <v>209</v>
      </c>
      <c r="M75" s="487" t="s">
        <v>432</v>
      </c>
      <c r="N75" s="487" t="s">
        <v>433</v>
      </c>
      <c r="O75" s="487" t="s">
        <v>216</v>
      </c>
      <c r="P75" s="788" t="s">
        <v>425</v>
      </c>
      <c r="Q75" s="663" t="s">
        <v>426</v>
      </c>
      <c r="R75" s="663" t="s">
        <v>132</v>
      </c>
      <c r="S75" s="842" t="s">
        <v>214</v>
      </c>
      <c r="T75" s="871"/>
      <c r="U75" s="486"/>
      <c r="V75" s="415"/>
      <c r="W75" s="415"/>
      <c r="X75" s="415"/>
      <c r="Y75" s="415"/>
      <c r="Z75" s="416"/>
    </row>
    <row r="76" spans="1:26" ht="52.5" customHeight="1">
      <c r="A76" s="102"/>
      <c r="B76" s="1421"/>
      <c r="C76" s="1418"/>
      <c r="D76" s="1357"/>
      <c r="E76" s="1357"/>
      <c r="F76" s="1424"/>
      <c r="G76" s="1389"/>
      <c r="H76" s="1389"/>
      <c r="I76" s="1429"/>
      <c r="J76" s="1374"/>
      <c r="K76" s="1357"/>
      <c r="L76" s="824" t="s">
        <v>209</v>
      </c>
      <c r="M76" s="487" t="s">
        <v>434</v>
      </c>
      <c r="N76" s="487" t="s">
        <v>435</v>
      </c>
      <c r="O76" s="487" t="s">
        <v>216</v>
      </c>
      <c r="P76" s="788" t="s">
        <v>425</v>
      </c>
      <c r="Q76" s="663" t="s">
        <v>436</v>
      </c>
      <c r="R76" s="663" t="s">
        <v>132</v>
      </c>
      <c r="S76" s="842" t="s">
        <v>214</v>
      </c>
      <c r="T76" s="871"/>
      <c r="U76" s="486"/>
      <c r="V76" s="415"/>
      <c r="W76" s="415"/>
      <c r="X76" s="415"/>
      <c r="Y76" s="415"/>
      <c r="Z76" s="416"/>
    </row>
    <row r="77" spans="1:26" ht="116.25" customHeight="1">
      <c r="A77" s="102"/>
      <c r="B77" s="1421"/>
      <c r="C77" s="1418"/>
      <c r="D77" s="1357"/>
      <c r="E77" s="1357"/>
      <c r="F77" s="1424"/>
      <c r="G77" s="1389"/>
      <c r="H77" s="1389"/>
      <c r="I77" s="1429"/>
      <c r="J77" s="1374"/>
      <c r="K77" s="1357"/>
      <c r="L77" s="824" t="s">
        <v>265</v>
      </c>
      <c r="M77" s="487" t="s">
        <v>437</v>
      </c>
      <c r="N77" s="487" t="s">
        <v>438</v>
      </c>
      <c r="O77" s="487" t="s">
        <v>216</v>
      </c>
      <c r="P77" s="788" t="s">
        <v>425</v>
      </c>
      <c r="Q77" s="663" t="s">
        <v>426</v>
      </c>
      <c r="R77" s="663" t="s">
        <v>132</v>
      </c>
      <c r="S77" s="842" t="s">
        <v>214</v>
      </c>
      <c r="T77" s="871"/>
      <c r="U77" s="486"/>
      <c r="V77" s="415"/>
      <c r="W77" s="415"/>
      <c r="X77" s="415"/>
      <c r="Y77" s="415"/>
      <c r="Z77" s="416"/>
    </row>
    <row r="78" spans="1:26" ht="139.5" customHeight="1" thickBot="1">
      <c r="A78" s="102"/>
      <c r="B78" s="1422"/>
      <c r="C78" s="1419"/>
      <c r="D78" s="1359"/>
      <c r="E78" s="1359"/>
      <c r="F78" s="1425"/>
      <c r="G78" s="1390"/>
      <c r="H78" s="1390"/>
      <c r="I78" s="1430"/>
      <c r="J78" s="1401"/>
      <c r="K78" s="1359"/>
      <c r="L78" s="827" t="s">
        <v>265</v>
      </c>
      <c r="M78" s="793" t="s">
        <v>439</v>
      </c>
      <c r="N78" s="793" t="s">
        <v>440</v>
      </c>
      <c r="O78" s="793" t="s">
        <v>216</v>
      </c>
      <c r="P78" s="790" t="s">
        <v>425</v>
      </c>
      <c r="Q78" s="664" t="s">
        <v>249</v>
      </c>
      <c r="R78" s="664" t="s">
        <v>140</v>
      </c>
      <c r="S78" s="872" t="s">
        <v>214</v>
      </c>
      <c r="T78" s="873"/>
      <c r="U78" s="486"/>
      <c r="V78" s="415"/>
      <c r="W78" s="415"/>
      <c r="X78" s="415"/>
      <c r="Y78" s="415"/>
      <c r="Z78" s="416"/>
    </row>
    <row r="79" spans="1:26" ht="56.25" customHeight="1">
      <c r="A79" s="390"/>
      <c r="B79" s="1006">
        <v>15</v>
      </c>
      <c r="C79" s="715" t="s">
        <v>3</v>
      </c>
      <c r="D79" s="671" t="s">
        <v>441</v>
      </c>
      <c r="E79" s="671" t="s">
        <v>64</v>
      </c>
      <c r="F79" s="674" t="s">
        <v>442</v>
      </c>
      <c r="G79" s="716" t="s">
        <v>443</v>
      </c>
      <c r="H79" s="716" t="s">
        <v>149</v>
      </c>
      <c r="I79" s="699" t="s">
        <v>444</v>
      </c>
      <c r="J79" s="717"/>
      <c r="K79" s="1391" t="s">
        <v>445</v>
      </c>
      <c r="L79" s="1398" t="s">
        <v>209</v>
      </c>
      <c r="M79" s="1402" t="s">
        <v>446</v>
      </c>
      <c r="N79" s="717" t="s">
        <v>447</v>
      </c>
      <c r="O79" s="717" t="s">
        <v>216</v>
      </c>
      <c r="P79" s="674" t="s">
        <v>448</v>
      </c>
      <c r="Q79" s="671" t="s">
        <v>375</v>
      </c>
      <c r="R79" s="671" t="s">
        <v>131</v>
      </c>
      <c r="S79" s="863" t="s">
        <v>214</v>
      </c>
      <c r="T79" s="869" t="s">
        <v>57</v>
      </c>
      <c r="U79" s="486"/>
      <c r="V79" s="415"/>
      <c r="W79" s="415"/>
      <c r="X79" s="415"/>
      <c r="Y79" s="415"/>
      <c r="Z79" s="416"/>
    </row>
    <row r="80" spans="1:26" ht="56.25" customHeight="1">
      <c r="A80" s="390"/>
      <c r="B80" s="1007"/>
      <c r="C80" s="718"/>
      <c r="D80" s="672"/>
      <c r="E80" s="672"/>
      <c r="F80" s="719"/>
      <c r="G80" s="720"/>
      <c r="H80" s="720"/>
      <c r="I80" s="721"/>
      <c r="J80" s="722"/>
      <c r="K80" s="1392"/>
      <c r="L80" s="1384"/>
      <c r="M80" s="1381"/>
      <c r="N80" s="722" t="s">
        <v>449</v>
      </c>
      <c r="O80" s="722" t="s">
        <v>216</v>
      </c>
      <c r="P80" s="843" t="s">
        <v>448</v>
      </c>
      <c r="Q80" s="852" t="s">
        <v>375</v>
      </c>
      <c r="R80" s="672" t="s">
        <v>131</v>
      </c>
      <c r="S80" s="864" t="s">
        <v>214</v>
      </c>
      <c r="T80" s="871"/>
      <c r="U80" s="486"/>
      <c r="V80" s="415"/>
      <c r="W80" s="415"/>
      <c r="X80" s="415"/>
      <c r="Y80" s="415"/>
      <c r="Z80" s="416"/>
    </row>
    <row r="81" spans="1:26" ht="56.25" customHeight="1">
      <c r="A81" s="390"/>
      <c r="B81" s="1007"/>
      <c r="C81" s="718"/>
      <c r="D81" s="672"/>
      <c r="E81" s="672"/>
      <c r="F81" s="719"/>
      <c r="G81" s="720"/>
      <c r="H81" s="720"/>
      <c r="I81" s="721"/>
      <c r="J81" s="722"/>
      <c r="K81" s="1392"/>
      <c r="L81" s="861" t="s">
        <v>227</v>
      </c>
      <c r="M81" s="722" t="s">
        <v>450</v>
      </c>
      <c r="N81" s="722" t="s">
        <v>451</v>
      </c>
      <c r="O81" s="722" t="s">
        <v>216</v>
      </c>
      <c r="P81" s="843" t="s">
        <v>448</v>
      </c>
      <c r="Q81" s="852" t="s">
        <v>375</v>
      </c>
      <c r="R81" s="672" t="s">
        <v>131</v>
      </c>
      <c r="S81" s="864" t="s">
        <v>214</v>
      </c>
      <c r="T81" s="871"/>
      <c r="U81" s="486"/>
      <c r="V81" s="415"/>
      <c r="W81" s="415"/>
      <c r="X81" s="415"/>
      <c r="Y81" s="415"/>
      <c r="Z81" s="416"/>
    </row>
    <row r="82" spans="1:26" ht="56.25" customHeight="1">
      <c r="A82" s="390"/>
      <c r="B82" s="1007"/>
      <c r="C82" s="718"/>
      <c r="D82" s="672"/>
      <c r="E82" s="672"/>
      <c r="F82" s="719"/>
      <c r="G82" s="720"/>
      <c r="H82" s="720"/>
      <c r="I82" s="721"/>
      <c r="J82" s="722"/>
      <c r="K82" s="1392"/>
      <c r="L82" s="861" t="s">
        <v>265</v>
      </c>
      <c r="M82" s="722" t="s">
        <v>452</v>
      </c>
      <c r="N82" s="722" t="s">
        <v>453</v>
      </c>
      <c r="O82" s="722" t="s">
        <v>216</v>
      </c>
      <c r="P82" s="843" t="s">
        <v>448</v>
      </c>
      <c r="Q82" s="852" t="s">
        <v>375</v>
      </c>
      <c r="R82" s="672" t="s">
        <v>131</v>
      </c>
      <c r="S82" s="864" t="s">
        <v>214</v>
      </c>
      <c r="T82" s="871"/>
      <c r="U82" s="486"/>
      <c r="V82" s="415"/>
      <c r="W82" s="415"/>
      <c r="X82" s="415"/>
      <c r="Y82" s="415"/>
      <c r="Z82" s="416"/>
    </row>
    <row r="83" spans="1:26" ht="56.25" customHeight="1">
      <c r="A83" s="390"/>
      <c r="B83" s="1007"/>
      <c r="C83" s="718"/>
      <c r="D83" s="672"/>
      <c r="E83" s="672"/>
      <c r="F83" s="719"/>
      <c r="G83" s="720"/>
      <c r="H83" s="720"/>
      <c r="I83" s="721"/>
      <c r="J83" s="722"/>
      <c r="K83" s="1392"/>
      <c r="L83" s="1382" t="s">
        <v>209</v>
      </c>
      <c r="M83" s="1397" t="s">
        <v>454</v>
      </c>
      <c r="N83" s="722" t="s">
        <v>447</v>
      </c>
      <c r="O83" s="722" t="s">
        <v>216</v>
      </c>
      <c r="P83" s="843" t="s">
        <v>448</v>
      </c>
      <c r="Q83" s="852" t="s">
        <v>375</v>
      </c>
      <c r="R83" s="672" t="s">
        <v>131</v>
      </c>
      <c r="S83" s="864" t="s">
        <v>214</v>
      </c>
      <c r="T83" s="871"/>
      <c r="U83" s="486"/>
      <c r="V83" s="415"/>
      <c r="W83" s="415"/>
      <c r="X83" s="415"/>
      <c r="Y83" s="415"/>
      <c r="Z83" s="416"/>
    </row>
    <row r="84" spans="1:26" ht="56.25" customHeight="1">
      <c r="A84" s="390"/>
      <c r="B84" s="1007"/>
      <c r="C84" s="718"/>
      <c r="D84" s="672"/>
      <c r="E84" s="672"/>
      <c r="F84" s="719"/>
      <c r="G84" s="720"/>
      <c r="H84" s="720"/>
      <c r="I84" s="721"/>
      <c r="J84" s="722"/>
      <c r="K84" s="1392"/>
      <c r="L84" s="1383"/>
      <c r="M84" s="1380"/>
      <c r="N84" s="727" t="s">
        <v>455</v>
      </c>
      <c r="O84" s="727" t="s">
        <v>216</v>
      </c>
      <c r="P84" s="843" t="s">
        <v>448</v>
      </c>
      <c r="Q84" s="121" t="s">
        <v>375</v>
      </c>
      <c r="R84" s="673" t="s">
        <v>131</v>
      </c>
      <c r="S84" s="866" t="s">
        <v>214</v>
      </c>
      <c r="T84" s="871"/>
      <c r="U84" s="486"/>
      <c r="V84" s="415"/>
      <c r="W84" s="415"/>
      <c r="X84" s="415"/>
      <c r="Y84" s="415"/>
      <c r="Z84" s="416"/>
    </row>
    <row r="85" spans="1:26" ht="56.25" customHeight="1" thickBot="1">
      <c r="A85" s="390"/>
      <c r="B85" s="1009"/>
      <c r="C85" s="728"/>
      <c r="D85" s="676"/>
      <c r="E85" s="676"/>
      <c r="F85" s="729"/>
      <c r="G85" s="730"/>
      <c r="H85" s="730"/>
      <c r="I85" s="731"/>
      <c r="J85" s="732"/>
      <c r="K85" s="1526"/>
      <c r="L85" s="1399"/>
      <c r="M85" s="1403"/>
      <c r="N85" s="732" t="s">
        <v>456</v>
      </c>
      <c r="O85" s="732" t="s">
        <v>457</v>
      </c>
      <c r="P85" s="816" t="s">
        <v>378</v>
      </c>
      <c r="Q85" s="676" t="s">
        <v>375</v>
      </c>
      <c r="R85" s="676" t="s">
        <v>131</v>
      </c>
      <c r="S85" s="877" t="s">
        <v>214</v>
      </c>
      <c r="T85" s="873"/>
      <c r="U85" s="486"/>
      <c r="V85" s="415"/>
      <c r="W85" s="415"/>
      <c r="X85" s="415"/>
      <c r="Y85" s="415"/>
      <c r="Z85" s="416"/>
    </row>
    <row r="86" spans="1:26" ht="52.5" customHeight="1">
      <c r="A86" s="102"/>
      <c r="B86" s="1420">
        <v>16</v>
      </c>
      <c r="C86" s="1417" t="s">
        <v>3</v>
      </c>
      <c r="D86" s="1356" t="s">
        <v>458</v>
      </c>
      <c r="E86" s="1356" t="s">
        <v>67</v>
      </c>
      <c r="F86" s="1426" t="s">
        <v>459</v>
      </c>
      <c r="G86" s="1388" t="s">
        <v>333</v>
      </c>
      <c r="H86" s="1388" t="s">
        <v>149</v>
      </c>
      <c r="I86" s="1385" t="s">
        <v>460</v>
      </c>
      <c r="J86" s="1400"/>
      <c r="K86" s="1356" t="s">
        <v>461</v>
      </c>
      <c r="L86" s="830" t="s">
        <v>209</v>
      </c>
      <c r="M86" s="787" t="s">
        <v>462</v>
      </c>
      <c r="N86" s="787" t="s">
        <v>463</v>
      </c>
      <c r="O86" s="787" t="s">
        <v>216</v>
      </c>
      <c r="P86" s="784" t="s">
        <v>464</v>
      </c>
      <c r="Q86" s="662" t="s">
        <v>375</v>
      </c>
      <c r="R86" s="662" t="s">
        <v>131</v>
      </c>
      <c r="S86" s="841" t="s">
        <v>214</v>
      </c>
      <c r="T86" s="869" t="s">
        <v>58</v>
      </c>
      <c r="U86" s="486"/>
      <c r="V86" s="415"/>
      <c r="W86" s="415"/>
      <c r="X86" s="415"/>
      <c r="Y86" s="415"/>
      <c r="Z86" s="416"/>
    </row>
    <row r="87" spans="1:26" ht="52.5" customHeight="1">
      <c r="A87" s="102"/>
      <c r="B87" s="1421"/>
      <c r="C87" s="1418"/>
      <c r="D87" s="1357"/>
      <c r="E87" s="1357"/>
      <c r="F87" s="1424"/>
      <c r="G87" s="1389"/>
      <c r="H87" s="1389"/>
      <c r="I87" s="1386"/>
      <c r="J87" s="1374"/>
      <c r="K87" s="1357"/>
      <c r="L87" s="824" t="s">
        <v>227</v>
      </c>
      <c r="M87" s="487" t="s">
        <v>465</v>
      </c>
      <c r="N87" s="487" t="s">
        <v>466</v>
      </c>
      <c r="O87" s="487" t="s">
        <v>216</v>
      </c>
      <c r="P87" s="788" t="s">
        <v>448</v>
      </c>
      <c r="Q87" s="663" t="s">
        <v>226</v>
      </c>
      <c r="R87" s="663" t="s">
        <v>131</v>
      </c>
      <c r="S87" s="842" t="s">
        <v>214</v>
      </c>
      <c r="T87" s="871"/>
      <c r="U87" s="486"/>
      <c r="V87" s="415"/>
      <c r="W87" s="415"/>
      <c r="X87" s="415"/>
      <c r="Y87" s="415"/>
      <c r="Z87" s="416"/>
    </row>
    <row r="88" spans="1:26" ht="52.5" customHeight="1" thickBot="1">
      <c r="A88" s="102"/>
      <c r="B88" s="1422"/>
      <c r="C88" s="1419"/>
      <c r="D88" s="1359"/>
      <c r="E88" s="1359"/>
      <c r="F88" s="1425"/>
      <c r="G88" s="1390"/>
      <c r="H88" s="1390"/>
      <c r="I88" s="1387"/>
      <c r="J88" s="1401"/>
      <c r="K88" s="1359"/>
      <c r="L88" s="827" t="s">
        <v>265</v>
      </c>
      <c r="M88" s="793" t="s">
        <v>467</v>
      </c>
      <c r="N88" s="793" t="s">
        <v>468</v>
      </c>
      <c r="O88" s="793" t="s">
        <v>216</v>
      </c>
      <c r="P88" s="790" t="s">
        <v>448</v>
      </c>
      <c r="Q88" s="664" t="s">
        <v>226</v>
      </c>
      <c r="R88" s="664" t="s">
        <v>131</v>
      </c>
      <c r="S88" s="872" t="s">
        <v>214</v>
      </c>
      <c r="T88" s="873"/>
      <c r="U88" s="486"/>
      <c r="V88" s="415"/>
      <c r="W88" s="415"/>
      <c r="X88" s="415"/>
      <c r="Y88" s="415"/>
      <c r="Z88" s="416"/>
    </row>
    <row r="89" spans="1:26" ht="51" customHeight="1">
      <c r="A89" s="390"/>
      <c r="B89" s="1006">
        <v>17</v>
      </c>
      <c r="C89" s="715" t="s">
        <v>3</v>
      </c>
      <c r="D89" s="671" t="s">
        <v>469</v>
      </c>
      <c r="E89" s="671" t="s">
        <v>64</v>
      </c>
      <c r="F89" s="674" t="s">
        <v>470</v>
      </c>
      <c r="G89" s="716" t="s">
        <v>471</v>
      </c>
      <c r="H89" s="716" t="s">
        <v>149</v>
      </c>
      <c r="I89" s="733" t="s">
        <v>472</v>
      </c>
      <c r="J89" s="717" t="s">
        <v>473</v>
      </c>
      <c r="K89" s="1391" t="s">
        <v>474</v>
      </c>
      <c r="L89" s="830" t="s">
        <v>227</v>
      </c>
      <c r="M89" s="717" t="s">
        <v>475</v>
      </c>
      <c r="N89" s="717" t="s">
        <v>476</v>
      </c>
      <c r="O89" s="717" t="s">
        <v>216</v>
      </c>
      <c r="P89" s="674" t="s">
        <v>425</v>
      </c>
      <c r="Q89" s="717" t="s">
        <v>385</v>
      </c>
      <c r="R89" s="671" t="s">
        <v>138</v>
      </c>
      <c r="S89" s="863" t="s">
        <v>214</v>
      </c>
      <c r="T89" s="869" t="s">
        <v>57</v>
      </c>
      <c r="U89" s="486"/>
      <c r="V89" s="415"/>
      <c r="W89" s="415"/>
      <c r="X89" s="415"/>
      <c r="Y89" s="415"/>
      <c r="Z89" s="416"/>
    </row>
    <row r="90" spans="1:26" ht="51" customHeight="1">
      <c r="A90" s="390"/>
      <c r="B90" s="1007"/>
      <c r="C90" s="718"/>
      <c r="D90" s="672"/>
      <c r="E90" s="672"/>
      <c r="F90" s="719"/>
      <c r="G90" s="720"/>
      <c r="H90" s="720"/>
      <c r="I90" s="734"/>
      <c r="J90" s="722"/>
      <c r="K90" s="1392"/>
      <c r="L90" s="835" t="s">
        <v>265</v>
      </c>
      <c r="M90" s="722" t="s">
        <v>477</v>
      </c>
      <c r="N90" s="722" t="s">
        <v>478</v>
      </c>
      <c r="O90" s="722" t="s">
        <v>216</v>
      </c>
      <c r="P90" s="810" t="s">
        <v>425</v>
      </c>
      <c r="Q90" s="722" t="s">
        <v>479</v>
      </c>
      <c r="R90" s="672" t="s">
        <v>142</v>
      </c>
      <c r="S90" s="864" t="s">
        <v>214</v>
      </c>
      <c r="T90" s="871"/>
      <c r="U90" s="486"/>
      <c r="V90" s="415"/>
      <c r="W90" s="415"/>
      <c r="X90" s="415"/>
      <c r="Y90" s="415"/>
      <c r="Z90" s="416"/>
    </row>
    <row r="91" spans="1:26" ht="51" customHeight="1">
      <c r="A91" s="390"/>
      <c r="B91" s="1007"/>
      <c r="C91" s="718"/>
      <c r="D91" s="672"/>
      <c r="E91" s="672"/>
      <c r="F91" s="719"/>
      <c r="G91" s="720"/>
      <c r="H91" s="720"/>
      <c r="I91" s="734"/>
      <c r="J91" s="722"/>
      <c r="K91" s="1392"/>
      <c r="L91" s="824" t="s">
        <v>227</v>
      </c>
      <c r="M91" s="722" t="s">
        <v>480</v>
      </c>
      <c r="N91" s="722" t="s">
        <v>481</v>
      </c>
      <c r="O91" s="722" t="s">
        <v>216</v>
      </c>
      <c r="P91" s="810" t="s">
        <v>482</v>
      </c>
      <c r="Q91" s="722" t="s">
        <v>385</v>
      </c>
      <c r="R91" s="672" t="s">
        <v>138</v>
      </c>
      <c r="S91" s="864" t="s">
        <v>214</v>
      </c>
      <c r="T91" s="871"/>
      <c r="U91" s="486"/>
      <c r="V91" s="415"/>
      <c r="W91" s="415"/>
      <c r="X91" s="415"/>
      <c r="Y91" s="415"/>
      <c r="Z91" s="416"/>
    </row>
    <row r="92" spans="1:26" ht="51" customHeight="1">
      <c r="A92" s="390"/>
      <c r="B92" s="1007"/>
      <c r="C92" s="718"/>
      <c r="D92" s="672"/>
      <c r="E92" s="672"/>
      <c r="F92" s="719"/>
      <c r="G92" s="720"/>
      <c r="H92" s="720"/>
      <c r="I92" s="734"/>
      <c r="J92" s="722"/>
      <c r="K92" s="1392"/>
      <c r="L92" s="835" t="s">
        <v>265</v>
      </c>
      <c r="M92" s="722" t="s">
        <v>483</v>
      </c>
      <c r="N92" s="722" t="s">
        <v>211</v>
      </c>
      <c r="O92" s="722" t="s">
        <v>216</v>
      </c>
      <c r="P92" s="810" t="s">
        <v>482</v>
      </c>
      <c r="Q92" s="722" t="s">
        <v>375</v>
      </c>
      <c r="R92" s="672" t="s">
        <v>138</v>
      </c>
      <c r="S92" s="864" t="s">
        <v>214</v>
      </c>
      <c r="T92" s="871"/>
      <c r="U92" s="486"/>
      <c r="V92" s="415"/>
      <c r="W92" s="415"/>
      <c r="X92" s="415"/>
      <c r="Y92" s="415"/>
      <c r="Z92" s="416"/>
    </row>
    <row r="93" spans="1:26" ht="51" customHeight="1" thickBot="1">
      <c r="A93" s="390"/>
      <c r="B93" s="1009"/>
      <c r="C93" s="728"/>
      <c r="D93" s="676"/>
      <c r="E93" s="676"/>
      <c r="F93" s="729"/>
      <c r="G93" s="730"/>
      <c r="H93" s="730"/>
      <c r="I93" s="735"/>
      <c r="J93" s="732"/>
      <c r="K93" s="1393"/>
      <c r="L93" s="827" t="s">
        <v>265</v>
      </c>
      <c r="M93" s="732" t="s">
        <v>484</v>
      </c>
      <c r="N93" s="732" t="s">
        <v>485</v>
      </c>
      <c r="O93" s="732" t="s">
        <v>216</v>
      </c>
      <c r="P93" s="816" t="s">
        <v>425</v>
      </c>
      <c r="Q93" s="732" t="s">
        <v>479</v>
      </c>
      <c r="R93" s="676" t="s">
        <v>142</v>
      </c>
      <c r="S93" s="877" t="s">
        <v>214</v>
      </c>
      <c r="T93" s="873"/>
      <c r="U93" s="486"/>
      <c r="V93" s="415"/>
      <c r="W93" s="415"/>
      <c r="X93" s="415"/>
      <c r="Y93" s="415"/>
      <c r="Z93" s="416"/>
    </row>
    <row r="94" spans="1:26" ht="45" customHeight="1">
      <c r="A94" s="390"/>
      <c r="B94" s="1006">
        <v>18</v>
      </c>
      <c r="C94" s="715" t="s">
        <v>4</v>
      </c>
      <c r="D94" s="671" t="s">
        <v>486</v>
      </c>
      <c r="E94" s="671" t="s">
        <v>64</v>
      </c>
      <c r="F94" s="674" t="s">
        <v>487</v>
      </c>
      <c r="G94" s="716" t="s">
        <v>488</v>
      </c>
      <c r="H94" s="716" t="s">
        <v>147</v>
      </c>
      <c r="I94" s="733" t="s">
        <v>489</v>
      </c>
      <c r="J94" s="717"/>
      <c r="K94" s="1391" t="s">
        <v>490</v>
      </c>
      <c r="L94" s="1398" t="s">
        <v>209</v>
      </c>
      <c r="M94" s="1402" t="s">
        <v>491</v>
      </c>
      <c r="N94" s="717" t="s">
        <v>492</v>
      </c>
      <c r="O94" s="717" t="s">
        <v>216</v>
      </c>
      <c r="P94" s="674" t="s">
        <v>493</v>
      </c>
      <c r="Q94" s="671" t="s">
        <v>494</v>
      </c>
      <c r="R94" s="671" t="s">
        <v>140</v>
      </c>
      <c r="S94" s="863" t="s">
        <v>214</v>
      </c>
      <c r="T94" s="869" t="s">
        <v>57</v>
      </c>
      <c r="U94" s="486"/>
      <c r="V94" s="415"/>
      <c r="W94" s="415"/>
      <c r="X94" s="415"/>
      <c r="Y94" s="415"/>
      <c r="Z94" s="416"/>
    </row>
    <row r="95" spans="1:26" ht="45" customHeight="1">
      <c r="A95" s="390"/>
      <c r="B95" s="1007"/>
      <c r="C95" s="718"/>
      <c r="D95" s="672"/>
      <c r="E95" s="672"/>
      <c r="F95" s="719"/>
      <c r="G95" s="720"/>
      <c r="H95" s="720"/>
      <c r="I95" s="734"/>
      <c r="J95" s="722"/>
      <c r="K95" s="1392"/>
      <c r="L95" s="1384"/>
      <c r="M95" s="1381"/>
      <c r="N95" s="722" t="s">
        <v>495</v>
      </c>
      <c r="O95" s="722" t="s">
        <v>216</v>
      </c>
      <c r="P95" s="810" t="s">
        <v>493</v>
      </c>
      <c r="Q95" s="672" t="s">
        <v>494</v>
      </c>
      <c r="R95" s="672" t="s">
        <v>140</v>
      </c>
      <c r="S95" s="864" t="s">
        <v>214</v>
      </c>
      <c r="T95" s="871"/>
      <c r="U95" s="486"/>
      <c r="V95" s="415"/>
      <c r="W95" s="415"/>
      <c r="X95" s="415"/>
      <c r="Y95" s="415"/>
      <c r="Z95" s="416"/>
    </row>
    <row r="96" spans="1:26" ht="45" customHeight="1">
      <c r="A96" s="390"/>
      <c r="B96" s="1007"/>
      <c r="C96" s="718"/>
      <c r="D96" s="672"/>
      <c r="E96" s="672"/>
      <c r="F96" s="719"/>
      <c r="G96" s="720"/>
      <c r="H96" s="720"/>
      <c r="I96" s="734"/>
      <c r="J96" s="722"/>
      <c r="K96" s="1392"/>
      <c r="L96" s="861" t="s">
        <v>209</v>
      </c>
      <c r="M96" s="722" t="s">
        <v>496</v>
      </c>
      <c r="N96" s="722" t="s">
        <v>447</v>
      </c>
      <c r="O96" s="722" t="s">
        <v>216</v>
      </c>
      <c r="P96" s="810" t="s">
        <v>493</v>
      </c>
      <c r="Q96" s="722" t="s">
        <v>375</v>
      </c>
      <c r="R96" s="663" t="s">
        <v>131</v>
      </c>
      <c r="S96" s="864" t="s">
        <v>214</v>
      </c>
      <c r="T96" s="871"/>
      <c r="U96" s="486"/>
      <c r="V96" s="415"/>
      <c r="W96" s="415"/>
      <c r="X96" s="415"/>
      <c r="Y96" s="415"/>
      <c r="Z96" s="416"/>
    </row>
    <row r="97" spans="1:26" ht="45" customHeight="1">
      <c r="A97" s="390"/>
      <c r="B97" s="1007"/>
      <c r="C97" s="718"/>
      <c r="D97" s="672"/>
      <c r="E97" s="672"/>
      <c r="F97" s="719"/>
      <c r="G97" s="720"/>
      <c r="H97" s="720"/>
      <c r="I97" s="734"/>
      <c r="J97" s="722"/>
      <c r="K97" s="1392"/>
      <c r="L97" s="1382" t="s">
        <v>261</v>
      </c>
      <c r="M97" s="1397" t="s">
        <v>497</v>
      </c>
      <c r="N97" s="722" t="s">
        <v>498</v>
      </c>
      <c r="O97" s="722" t="s">
        <v>216</v>
      </c>
      <c r="P97" s="810" t="s">
        <v>493</v>
      </c>
      <c r="Q97" s="722" t="s">
        <v>375</v>
      </c>
      <c r="R97" s="663" t="s">
        <v>131</v>
      </c>
      <c r="S97" s="864" t="s">
        <v>214</v>
      </c>
      <c r="T97" s="871"/>
      <c r="U97" s="486"/>
      <c r="V97" s="415"/>
      <c r="W97" s="415"/>
      <c r="X97" s="415"/>
      <c r="Y97" s="415"/>
      <c r="Z97" s="416"/>
    </row>
    <row r="98" spans="1:26" ht="45" customHeight="1">
      <c r="A98" s="390"/>
      <c r="B98" s="1007"/>
      <c r="C98" s="718"/>
      <c r="D98" s="672"/>
      <c r="E98" s="672"/>
      <c r="F98" s="719"/>
      <c r="G98" s="720"/>
      <c r="H98" s="720"/>
      <c r="I98" s="734"/>
      <c r="J98" s="722"/>
      <c r="K98" s="1392"/>
      <c r="L98" s="1384"/>
      <c r="M98" s="1381"/>
      <c r="N98" s="722" t="s">
        <v>499</v>
      </c>
      <c r="O98" s="722" t="s">
        <v>216</v>
      </c>
      <c r="P98" s="810" t="s">
        <v>370</v>
      </c>
      <c r="Q98" s="722" t="s">
        <v>375</v>
      </c>
      <c r="R98" s="663" t="s">
        <v>131</v>
      </c>
      <c r="S98" s="864" t="s">
        <v>214</v>
      </c>
      <c r="T98" s="871"/>
      <c r="U98" s="486"/>
      <c r="V98" s="415"/>
      <c r="W98" s="415"/>
      <c r="X98" s="415"/>
      <c r="Y98" s="415"/>
      <c r="Z98" s="416"/>
    </row>
    <row r="99" spans="1:26" ht="45" customHeight="1">
      <c r="A99" s="390"/>
      <c r="B99" s="1007"/>
      <c r="C99" s="718"/>
      <c r="D99" s="672"/>
      <c r="E99" s="672"/>
      <c r="F99" s="719"/>
      <c r="G99" s="720"/>
      <c r="H99" s="720"/>
      <c r="I99" s="734"/>
      <c r="J99" s="722"/>
      <c r="K99" s="1392"/>
      <c r="L99" s="1382" t="s">
        <v>265</v>
      </c>
      <c r="M99" s="1397" t="s">
        <v>500</v>
      </c>
      <c r="N99" s="722" t="s">
        <v>501</v>
      </c>
      <c r="O99" s="722" t="s">
        <v>216</v>
      </c>
      <c r="P99" s="810" t="s">
        <v>493</v>
      </c>
      <c r="Q99" s="722" t="s">
        <v>375</v>
      </c>
      <c r="R99" s="663" t="s">
        <v>131</v>
      </c>
      <c r="S99" s="864" t="s">
        <v>214</v>
      </c>
      <c r="T99" s="871"/>
      <c r="U99" s="486"/>
      <c r="V99" s="415"/>
      <c r="W99" s="415"/>
      <c r="X99" s="415"/>
      <c r="Y99" s="415"/>
      <c r="Z99" s="416"/>
    </row>
    <row r="100" spans="1:26" ht="45" customHeight="1" thickBot="1">
      <c r="A100" s="390"/>
      <c r="B100" s="1009"/>
      <c r="C100" s="728"/>
      <c r="D100" s="676"/>
      <c r="E100" s="676"/>
      <c r="F100" s="729"/>
      <c r="G100" s="730"/>
      <c r="H100" s="730"/>
      <c r="I100" s="735"/>
      <c r="J100" s="732"/>
      <c r="K100" s="1393"/>
      <c r="L100" s="1399"/>
      <c r="M100" s="1403"/>
      <c r="N100" s="732" t="s">
        <v>502</v>
      </c>
      <c r="O100" s="732" t="s">
        <v>216</v>
      </c>
      <c r="P100" s="816" t="s">
        <v>493</v>
      </c>
      <c r="Q100" s="732" t="s">
        <v>375</v>
      </c>
      <c r="R100" s="676" t="s">
        <v>131</v>
      </c>
      <c r="S100" s="877" t="s">
        <v>214</v>
      </c>
      <c r="T100" s="873"/>
      <c r="U100" s="486"/>
      <c r="V100" s="415"/>
      <c r="W100" s="415"/>
      <c r="X100" s="415"/>
      <c r="Y100" s="415"/>
      <c r="Z100" s="416"/>
    </row>
    <row r="101" spans="1:26" ht="52.5" customHeight="1">
      <c r="A101" s="102"/>
      <c r="B101" s="1420">
        <v>19</v>
      </c>
      <c r="C101" s="1417" t="s">
        <v>4</v>
      </c>
      <c r="D101" s="1356" t="s">
        <v>503</v>
      </c>
      <c r="E101" s="1356" t="s">
        <v>67</v>
      </c>
      <c r="F101" s="1426" t="s">
        <v>504</v>
      </c>
      <c r="G101" s="1388" t="s">
        <v>505</v>
      </c>
      <c r="H101" s="1388" t="s">
        <v>149</v>
      </c>
      <c r="I101" s="1428" t="s">
        <v>506</v>
      </c>
      <c r="J101" s="1400"/>
      <c r="K101" s="1356" t="s">
        <v>507</v>
      </c>
      <c r="L101" s="830" t="s">
        <v>265</v>
      </c>
      <c r="M101" s="787" t="s">
        <v>508</v>
      </c>
      <c r="N101" s="787" t="s">
        <v>509</v>
      </c>
      <c r="O101" s="787" t="s">
        <v>216</v>
      </c>
      <c r="P101" s="784" t="s">
        <v>448</v>
      </c>
      <c r="Q101" s="662" t="s">
        <v>375</v>
      </c>
      <c r="R101" s="662" t="s">
        <v>131</v>
      </c>
      <c r="S101" s="868" t="s">
        <v>214</v>
      </c>
      <c r="T101" s="869" t="s">
        <v>58</v>
      </c>
      <c r="U101" s="486"/>
      <c r="V101" s="415"/>
      <c r="W101" s="415"/>
      <c r="X101" s="415"/>
      <c r="Y101" s="415"/>
      <c r="Z101" s="416"/>
    </row>
    <row r="102" spans="1:26" ht="52.5" customHeight="1">
      <c r="A102" s="102"/>
      <c r="B102" s="1421"/>
      <c r="C102" s="1418"/>
      <c r="D102" s="1357"/>
      <c r="E102" s="1357"/>
      <c r="F102" s="1424"/>
      <c r="G102" s="1389"/>
      <c r="H102" s="1389"/>
      <c r="I102" s="1429"/>
      <c r="J102" s="1374"/>
      <c r="K102" s="1357"/>
      <c r="L102" s="1375" t="s">
        <v>209</v>
      </c>
      <c r="M102" s="1374" t="s">
        <v>510</v>
      </c>
      <c r="N102" s="487" t="s">
        <v>511</v>
      </c>
      <c r="O102" s="487" t="s">
        <v>216</v>
      </c>
      <c r="P102" s="788" t="s">
        <v>448</v>
      </c>
      <c r="Q102" s="663" t="s">
        <v>375</v>
      </c>
      <c r="R102" s="663" t="s">
        <v>131</v>
      </c>
      <c r="S102" s="842" t="s">
        <v>214</v>
      </c>
      <c r="T102" s="871"/>
      <c r="U102" s="486"/>
      <c r="V102" s="415"/>
      <c r="W102" s="415"/>
      <c r="X102" s="415"/>
      <c r="Y102" s="415"/>
      <c r="Z102" s="416"/>
    </row>
    <row r="103" spans="1:26" ht="52.5" customHeight="1">
      <c r="A103" s="102"/>
      <c r="B103" s="1421"/>
      <c r="C103" s="1418"/>
      <c r="D103" s="1357"/>
      <c r="E103" s="1357"/>
      <c r="F103" s="1424"/>
      <c r="G103" s="1389"/>
      <c r="H103" s="1389"/>
      <c r="I103" s="1429"/>
      <c r="J103" s="1374"/>
      <c r="K103" s="1357"/>
      <c r="L103" s="1375"/>
      <c r="M103" s="1374"/>
      <c r="N103" s="487" t="s">
        <v>512</v>
      </c>
      <c r="O103" s="487" t="s">
        <v>216</v>
      </c>
      <c r="P103" s="788" t="s">
        <v>448</v>
      </c>
      <c r="Q103" s="663" t="s">
        <v>375</v>
      </c>
      <c r="R103" s="663" t="s">
        <v>131</v>
      </c>
      <c r="S103" s="842" t="s">
        <v>214</v>
      </c>
      <c r="T103" s="871"/>
      <c r="U103" s="486"/>
      <c r="V103" s="415"/>
      <c r="W103" s="415"/>
      <c r="X103" s="415"/>
      <c r="Y103" s="415"/>
      <c r="Z103" s="416"/>
    </row>
    <row r="104" spans="1:26" ht="52.5" customHeight="1" thickBot="1">
      <c r="A104" s="102"/>
      <c r="B104" s="1422"/>
      <c r="C104" s="1419"/>
      <c r="D104" s="1359"/>
      <c r="E104" s="1359"/>
      <c r="F104" s="1425"/>
      <c r="G104" s="1390"/>
      <c r="H104" s="1390"/>
      <c r="I104" s="1430"/>
      <c r="J104" s="1401"/>
      <c r="K104" s="1359"/>
      <c r="L104" s="1427"/>
      <c r="M104" s="1401"/>
      <c r="N104" s="793" t="s">
        <v>513</v>
      </c>
      <c r="O104" s="793" t="s">
        <v>216</v>
      </c>
      <c r="P104" s="790" t="s">
        <v>448</v>
      </c>
      <c r="Q104" s="664" t="s">
        <v>375</v>
      </c>
      <c r="R104" s="664" t="s">
        <v>131</v>
      </c>
      <c r="S104" s="872" t="s">
        <v>214</v>
      </c>
      <c r="T104" s="873"/>
      <c r="U104" s="486"/>
      <c r="V104" s="415"/>
      <c r="W104" s="415"/>
      <c r="X104" s="415"/>
      <c r="Y104" s="415"/>
      <c r="Z104" s="416"/>
    </row>
    <row r="105" spans="1:26" ht="96.75" customHeight="1">
      <c r="A105" s="390"/>
      <c r="B105" s="1006">
        <v>20</v>
      </c>
      <c r="C105" s="715" t="s">
        <v>4</v>
      </c>
      <c r="D105" s="671" t="s">
        <v>514</v>
      </c>
      <c r="E105" s="671" t="s">
        <v>64</v>
      </c>
      <c r="F105" s="674" t="s">
        <v>515</v>
      </c>
      <c r="G105" s="716" t="s">
        <v>516</v>
      </c>
      <c r="H105" s="716" t="s">
        <v>149</v>
      </c>
      <c r="I105" s="733" t="s">
        <v>517</v>
      </c>
      <c r="J105" s="717"/>
      <c r="K105" s="1391" t="s">
        <v>518</v>
      </c>
      <c r="L105" s="860" t="s">
        <v>265</v>
      </c>
      <c r="M105" s="717" t="s">
        <v>519</v>
      </c>
      <c r="N105" s="717" t="s">
        <v>520</v>
      </c>
      <c r="O105" s="787" t="s">
        <v>216</v>
      </c>
      <c r="P105" s="784" t="s">
        <v>482</v>
      </c>
      <c r="Q105" s="671" t="s">
        <v>429</v>
      </c>
      <c r="R105" s="671" t="s">
        <v>142</v>
      </c>
      <c r="S105" s="863" t="s">
        <v>214</v>
      </c>
      <c r="T105" s="869" t="s">
        <v>57</v>
      </c>
      <c r="U105" s="486"/>
      <c r="V105" s="415"/>
      <c r="W105" s="415"/>
      <c r="X105" s="415"/>
      <c r="Y105" s="415"/>
      <c r="Z105" s="416"/>
    </row>
    <row r="106" spans="1:26" ht="96.75" customHeight="1">
      <c r="A106" s="390"/>
      <c r="B106" s="1007"/>
      <c r="C106" s="718"/>
      <c r="D106" s="672"/>
      <c r="E106" s="672"/>
      <c r="F106" s="719"/>
      <c r="G106" s="720"/>
      <c r="H106" s="720"/>
      <c r="I106" s="734"/>
      <c r="J106" s="722"/>
      <c r="K106" s="1392"/>
      <c r="L106" s="861" t="s">
        <v>227</v>
      </c>
      <c r="M106" s="722" t="s">
        <v>521</v>
      </c>
      <c r="N106" s="722" t="s">
        <v>522</v>
      </c>
      <c r="O106" s="487" t="s">
        <v>216</v>
      </c>
      <c r="P106" s="788" t="s">
        <v>482</v>
      </c>
      <c r="Q106" s="672" t="s">
        <v>429</v>
      </c>
      <c r="R106" s="672" t="s">
        <v>142</v>
      </c>
      <c r="S106" s="864" t="s">
        <v>214</v>
      </c>
      <c r="T106" s="871"/>
      <c r="U106" s="486"/>
      <c r="V106" s="415"/>
      <c r="W106" s="415"/>
      <c r="X106" s="415"/>
      <c r="Y106" s="415"/>
      <c r="Z106" s="416"/>
    </row>
    <row r="107" spans="1:26" ht="96.75" customHeight="1">
      <c r="A107" s="390"/>
      <c r="B107" s="1007"/>
      <c r="C107" s="718"/>
      <c r="D107" s="672"/>
      <c r="E107" s="672"/>
      <c r="F107" s="719"/>
      <c r="G107" s="720"/>
      <c r="H107" s="720"/>
      <c r="I107" s="734"/>
      <c r="J107" s="722"/>
      <c r="K107" s="1392"/>
      <c r="L107" s="861" t="s">
        <v>209</v>
      </c>
      <c r="M107" s="722" t="s">
        <v>523</v>
      </c>
      <c r="N107" s="722" t="s">
        <v>524</v>
      </c>
      <c r="O107" s="487" t="s">
        <v>216</v>
      </c>
      <c r="P107" s="788" t="s">
        <v>482</v>
      </c>
      <c r="Q107" s="672" t="s">
        <v>375</v>
      </c>
      <c r="R107" s="663" t="s">
        <v>131</v>
      </c>
      <c r="S107" s="864" t="s">
        <v>214</v>
      </c>
      <c r="T107" s="871"/>
      <c r="U107" s="486"/>
      <c r="V107" s="415"/>
      <c r="W107" s="415"/>
      <c r="X107" s="415"/>
      <c r="Y107" s="415"/>
      <c r="Z107" s="416"/>
    </row>
    <row r="108" spans="1:26" ht="96.75" customHeight="1">
      <c r="A108" s="390"/>
      <c r="B108" s="1007"/>
      <c r="C108" s="718"/>
      <c r="D108" s="672"/>
      <c r="E108" s="672"/>
      <c r="F108" s="719"/>
      <c r="G108" s="720"/>
      <c r="H108" s="720"/>
      <c r="I108" s="734"/>
      <c r="J108" s="722"/>
      <c r="K108" s="1392"/>
      <c r="L108" s="861" t="s">
        <v>209</v>
      </c>
      <c r="M108" s="722" t="s">
        <v>525</v>
      </c>
      <c r="N108" s="722" t="s">
        <v>524</v>
      </c>
      <c r="O108" s="487" t="s">
        <v>216</v>
      </c>
      <c r="P108" s="788" t="s">
        <v>482</v>
      </c>
      <c r="Q108" s="672" t="s">
        <v>375</v>
      </c>
      <c r="R108" s="663" t="s">
        <v>131</v>
      </c>
      <c r="S108" s="864" t="s">
        <v>214</v>
      </c>
      <c r="T108" s="871"/>
      <c r="U108" s="486"/>
      <c r="V108" s="415"/>
      <c r="W108" s="415"/>
      <c r="X108" s="415"/>
      <c r="Y108" s="415"/>
      <c r="Z108" s="416"/>
    </row>
    <row r="109" spans="1:26" ht="96.75" customHeight="1">
      <c r="A109" s="390"/>
      <c r="B109" s="1007"/>
      <c r="C109" s="718"/>
      <c r="D109" s="672"/>
      <c r="E109" s="672"/>
      <c r="F109" s="719"/>
      <c r="G109" s="720"/>
      <c r="H109" s="720"/>
      <c r="I109" s="734"/>
      <c r="J109" s="722"/>
      <c r="K109" s="1392"/>
      <c r="L109" s="861" t="s">
        <v>209</v>
      </c>
      <c r="M109" s="722" t="s">
        <v>526</v>
      </c>
      <c r="N109" s="722" t="s">
        <v>524</v>
      </c>
      <c r="O109" s="487" t="s">
        <v>216</v>
      </c>
      <c r="P109" s="788" t="s">
        <v>482</v>
      </c>
      <c r="Q109" s="672" t="s">
        <v>527</v>
      </c>
      <c r="R109" s="672" t="s">
        <v>141</v>
      </c>
      <c r="S109" s="864" t="s">
        <v>214</v>
      </c>
      <c r="T109" s="871"/>
      <c r="U109" s="486"/>
      <c r="V109" s="415"/>
      <c r="W109" s="415"/>
      <c r="X109" s="415"/>
      <c r="Y109" s="415"/>
      <c r="Z109" s="416"/>
    </row>
    <row r="110" spans="1:26" ht="96.75" customHeight="1">
      <c r="A110" s="390"/>
      <c r="B110" s="1007"/>
      <c r="C110" s="718"/>
      <c r="D110" s="672"/>
      <c r="E110" s="672"/>
      <c r="F110" s="719"/>
      <c r="G110" s="720"/>
      <c r="H110" s="720"/>
      <c r="I110" s="734"/>
      <c r="J110" s="722"/>
      <c r="K110" s="1392"/>
      <c r="L110" s="861" t="s">
        <v>209</v>
      </c>
      <c r="M110" s="722" t="s">
        <v>528</v>
      </c>
      <c r="N110" s="722" t="s">
        <v>529</v>
      </c>
      <c r="O110" s="487" t="s">
        <v>216</v>
      </c>
      <c r="P110" s="810" t="s">
        <v>530</v>
      </c>
      <c r="Q110" s="672" t="s">
        <v>429</v>
      </c>
      <c r="R110" s="672" t="s">
        <v>142</v>
      </c>
      <c r="S110" s="864" t="s">
        <v>214</v>
      </c>
      <c r="T110" s="871"/>
      <c r="U110" s="486"/>
      <c r="V110" s="415"/>
      <c r="W110" s="415"/>
      <c r="X110" s="415"/>
      <c r="Y110" s="415"/>
      <c r="Z110" s="416"/>
    </row>
    <row r="111" spans="1:26" ht="96.75" customHeight="1">
      <c r="A111" s="390"/>
      <c r="B111" s="1007"/>
      <c r="C111" s="718"/>
      <c r="D111" s="672"/>
      <c r="E111" s="672"/>
      <c r="F111" s="719"/>
      <c r="G111" s="720"/>
      <c r="H111" s="720"/>
      <c r="I111" s="734"/>
      <c r="J111" s="722"/>
      <c r="K111" s="1392"/>
      <c r="L111" s="861" t="s">
        <v>227</v>
      </c>
      <c r="M111" s="722" t="s">
        <v>531</v>
      </c>
      <c r="N111" s="722" t="s">
        <v>532</v>
      </c>
      <c r="O111" s="487" t="s">
        <v>216</v>
      </c>
      <c r="P111" s="810" t="s">
        <v>425</v>
      </c>
      <c r="Q111" s="672" t="s">
        <v>533</v>
      </c>
      <c r="R111" s="663" t="s">
        <v>131</v>
      </c>
      <c r="S111" s="864" t="s">
        <v>214</v>
      </c>
      <c r="T111" s="871"/>
      <c r="U111" s="486"/>
      <c r="V111" s="415"/>
      <c r="W111" s="415"/>
      <c r="X111" s="415"/>
      <c r="Y111" s="415"/>
      <c r="Z111" s="416"/>
    </row>
    <row r="112" spans="1:26" ht="96.75" customHeight="1">
      <c r="A112" s="390"/>
      <c r="B112" s="1007"/>
      <c r="C112" s="718"/>
      <c r="D112" s="672"/>
      <c r="E112" s="672"/>
      <c r="F112" s="719"/>
      <c r="G112" s="720"/>
      <c r="H112" s="720"/>
      <c r="I112" s="734"/>
      <c r="J112" s="722"/>
      <c r="K112" s="1392"/>
      <c r="L112" s="861" t="s">
        <v>265</v>
      </c>
      <c r="M112" s="722" t="s">
        <v>534</v>
      </c>
      <c r="N112" s="722" t="s">
        <v>535</v>
      </c>
      <c r="O112" s="487" t="s">
        <v>216</v>
      </c>
      <c r="P112" s="810" t="s">
        <v>530</v>
      </c>
      <c r="Q112" s="672" t="s">
        <v>429</v>
      </c>
      <c r="R112" s="672" t="s">
        <v>142</v>
      </c>
      <c r="S112" s="864" t="s">
        <v>214</v>
      </c>
      <c r="T112" s="871"/>
      <c r="U112" s="486"/>
      <c r="V112" s="415"/>
      <c r="W112" s="415"/>
      <c r="X112" s="415"/>
      <c r="Y112" s="415"/>
      <c r="Z112" s="416"/>
    </row>
    <row r="113" spans="1:27" ht="96.75" customHeight="1">
      <c r="A113" s="390"/>
      <c r="B113" s="1007"/>
      <c r="C113" s="718"/>
      <c r="D113" s="672"/>
      <c r="E113" s="672"/>
      <c r="F113" s="719"/>
      <c r="G113" s="720"/>
      <c r="H113" s="720"/>
      <c r="I113" s="734"/>
      <c r="J113" s="722"/>
      <c r="K113" s="1392"/>
      <c r="L113" s="861" t="s">
        <v>265</v>
      </c>
      <c r="M113" s="722" t="s">
        <v>536</v>
      </c>
      <c r="N113" s="722" t="s">
        <v>520</v>
      </c>
      <c r="O113" s="487" t="s">
        <v>216</v>
      </c>
      <c r="P113" s="810" t="s">
        <v>482</v>
      </c>
      <c r="Q113" s="672" t="s">
        <v>429</v>
      </c>
      <c r="R113" s="672" t="s">
        <v>142</v>
      </c>
      <c r="S113" s="864" t="s">
        <v>214</v>
      </c>
      <c r="T113" s="871"/>
      <c r="U113" s="486"/>
      <c r="V113" s="415"/>
      <c r="W113" s="415"/>
      <c r="X113" s="415"/>
      <c r="Y113" s="415"/>
      <c r="Z113" s="416"/>
    </row>
    <row r="114" spans="1:27" ht="96.75" customHeight="1" thickBot="1">
      <c r="A114" s="390"/>
      <c r="B114" s="1009"/>
      <c r="C114" s="728"/>
      <c r="D114" s="676"/>
      <c r="E114" s="676"/>
      <c r="F114" s="729"/>
      <c r="G114" s="730"/>
      <c r="H114" s="730"/>
      <c r="I114" s="735"/>
      <c r="J114" s="732"/>
      <c r="K114" s="1393"/>
      <c r="L114" s="878" t="s">
        <v>227</v>
      </c>
      <c r="M114" s="732" t="s">
        <v>537</v>
      </c>
      <c r="N114" s="732" t="s">
        <v>538</v>
      </c>
      <c r="O114" s="793" t="s">
        <v>216</v>
      </c>
      <c r="P114" s="816" t="s">
        <v>370</v>
      </c>
      <c r="Q114" s="676" t="s">
        <v>527</v>
      </c>
      <c r="R114" s="676" t="s">
        <v>141</v>
      </c>
      <c r="S114" s="877" t="s">
        <v>214</v>
      </c>
      <c r="T114" s="873"/>
      <c r="U114" s="486"/>
      <c r="V114" s="415"/>
      <c r="W114" s="415"/>
      <c r="X114" s="415"/>
      <c r="Y114" s="415"/>
      <c r="Z114" s="416"/>
    </row>
    <row r="115" spans="1:27" ht="50.1" customHeight="1">
      <c r="A115" s="390"/>
      <c r="B115" s="1006">
        <v>21</v>
      </c>
      <c r="C115" s="715" t="s">
        <v>4</v>
      </c>
      <c r="D115" s="671" t="s">
        <v>539</v>
      </c>
      <c r="E115" s="671" t="s">
        <v>67</v>
      </c>
      <c r="F115" s="674" t="s">
        <v>515</v>
      </c>
      <c r="G115" s="716" t="s">
        <v>540</v>
      </c>
      <c r="H115" s="716" t="s">
        <v>149</v>
      </c>
      <c r="I115" s="733" t="s">
        <v>541</v>
      </c>
      <c r="J115" s="717"/>
      <c r="K115" s="1394" t="s">
        <v>542</v>
      </c>
      <c r="L115" s="860" t="s">
        <v>265</v>
      </c>
      <c r="M115" s="717" t="s">
        <v>543</v>
      </c>
      <c r="N115" s="717" t="s">
        <v>544</v>
      </c>
      <c r="O115" s="717" t="s">
        <v>216</v>
      </c>
      <c r="P115" s="674" t="s">
        <v>448</v>
      </c>
      <c r="Q115" s="671" t="s">
        <v>479</v>
      </c>
      <c r="R115" s="671" t="s">
        <v>142</v>
      </c>
      <c r="S115" s="863" t="s">
        <v>214</v>
      </c>
      <c r="T115" s="869" t="s">
        <v>58</v>
      </c>
      <c r="U115" s="486"/>
      <c r="V115" s="415"/>
      <c r="W115" s="415"/>
      <c r="X115" s="415"/>
      <c r="Y115" s="415"/>
      <c r="Z115" s="416"/>
    </row>
    <row r="116" spans="1:27" ht="50.1" customHeight="1">
      <c r="A116" s="390"/>
      <c r="B116" s="1007"/>
      <c r="C116" s="718"/>
      <c r="D116" s="672"/>
      <c r="E116" s="672"/>
      <c r="F116" s="719"/>
      <c r="G116" s="720"/>
      <c r="H116" s="720"/>
      <c r="I116" s="734"/>
      <c r="J116" s="722"/>
      <c r="K116" s="1395"/>
      <c r="L116" s="1382" t="s">
        <v>261</v>
      </c>
      <c r="M116" s="1397" t="s">
        <v>545</v>
      </c>
      <c r="N116" s="722" t="s">
        <v>546</v>
      </c>
      <c r="O116" s="722" t="s">
        <v>216</v>
      </c>
      <c r="P116" s="810" t="s">
        <v>448</v>
      </c>
      <c r="Q116" s="672" t="s">
        <v>375</v>
      </c>
      <c r="R116" s="672" t="s">
        <v>131</v>
      </c>
      <c r="S116" s="864" t="s">
        <v>214</v>
      </c>
      <c r="T116" s="871"/>
      <c r="U116" s="486"/>
      <c r="V116" s="415"/>
      <c r="W116" s="415"/>
      <c r="X116" s="415"/>
      <c r="Y116" s="415"/>
      <c r="Z116" s="416"/>
    </row>
    <row r="117" spans="1:27" ht="50.1" customHeight="1">
      <c r="A117" s="390"/>
      <c r="B117" s="1007"/>
      <c r="C117" s="718"/>
      <c r="D117" s="672"/>
      <c r="E117" s="672"/>
      <c r="F117" s="719"/>
      <c r="G117" s="720"/>
      <c r="H117" s="720"/>
      <c r="I117" s="734"/>
      <c r="J117" s="722"/>
      <c r="K117" s="1395"/>
      <c r="L117" s="1383"/>
      <c r="M117" s="1380"/>
      <c r="N117" s="722" t="s">
        <v>547</v>
      </c>
      <c r="O117" s="722" t="s">
        <v>216</v>
      </c>
      <c r="P117" s="810" t="s">
        <v>448</v>
      </c>
      <c r="Q117" s="672" t="s">
        <v>375</v>
      </c>
      <c r="R117" s="672" t="s">
        <v>131</v>
      </c>
      <c r="S117" s="864" t="s">
        <v>214</v>
      </c>
      <c r="T117" s="871"/>
      <c r="U117" s="486"/>
      <c r="V117" s="415"/>
      <c r="W117" s="415"/>
      <c r="X117" s="415"/>
      <c r="Y117" s="415"/>
      <c r="Z117" s="416"/>
    </row>
    <row r="118" spans="1:27" ht="50.1" customHeight="1" thickBot="1">
      <c r="A118" s="390"/>
      <c r="B118" s="1009"/>
      <c r="C118" s="728"/>
      <c r="D118" s="676"/>
      <c r="E118" s="676"/>
      <c r="F118" s="729"/>
      <c r="G118" s="730"/>
      <c r="H118" s="730"/>
      <c r="I118" s="735"/>
      <c r="J118" s="732"/>
      <c r="K118" s="1396"/>
      <c r="L118" s="1399"/>
      <c r="M118" s="1403"/>
      <c r="N118" s="732" t="s">
        <v>548</v>
      </c>
      <c r="O118" s="732" t="s">
        <v>216</v>
      </c>
      <c r="P118" s="816" t="s">
        <v>448</v>
      </c>
      <c r="Q118" s="676" t="s">
        <v>549</v>
      </c>
      <c r="R118" s="676" t="s">
        <v>136</v>
      </c>
      <c r="S118" s="877" t="s">
        <v>214</v>
      </c>
      <c r="T118" s="873"/>
      <c r="U118" s="486"/>
      <c r="V118" s="415"/>
      <c r="W118" s="415"/>
      <c r="X118" s="415"/>
      <c r="Y118" s="415"/>
      <c r="Z118" s="416"/>
    </row>
    <row r="119" spans="1:27" ht="47.25" customHeight="1">
      <c r="A119" s="390"/>
      <c r="B119" s="1006">
        <v>22</v>
      </c>
      <c r="C119" s="715" t="s">
        <v>4</v>
      </c>
      <c r="D119" s="671" t="s">
        <v>550</v>
      </c>
      <c r="E119" s="671" t="s">
        <v>64</v>
      </c>
      <c r="F119" s="674" t="s">
        <v>551</v>
      </c>
      <c r="G119" s="716" t="s">
        <v>552</v>
      </c>
      <c r="H119" s="716" t="s">
        <v>151</v>
      </c>
      <c r="I119" s="733" t="s">
        <v>553</v>
      </c>
      <c r="J119" s="717"/>
      <c r="K119" s="1391" t="s">
        <v>554</v>
      </c>
      <c r="L119" s="860" t="s">
        <v>227</v>
      </c>
      <c r="M119" s="717" t="s">
        <v>555</v>
      </c>
      <c r="N119" s="717" t="s">
        <v>556</v>
      </c>
      <c r="O119" s="717" t="s">
        <v>216</v>
      </c>
      <c r="P119" s="674" t="s">
        <v>448</v>
      </c>
      <c r="Q119" s="671" t="s">
        <v>557</v>
      </c>
      <c r="R119" s="671" t="s">
        <v>140</v>
      </c>
      <c r="S119" s="863" t="s">
        <v>214</v>
      </c>
      <c r="T119" s="869" t="s">
        <v>58</v>
      </c>
      <c r="U119" s="486"/>
      <c r="V119" s="415"/>
      <c r="W119" s="415"/>
      <c r="X119" s="415"/>
      <c r="Y119" s="415"/>
      <c r="Z119" s="416"/>
    </row>
    <row r="120" spans="1:27" ht="47.25" customHeight="1">
      <c r="A120" s="390"/>
      <c r="B120" s="1007"/>
      <c r="C120" s="718"/>
      <c r="D120" s="672"/>
      <c r="E120" s="672"/>
      <c r="F120" s="719"/>
      <c r="G120" s="720"/>
      <c r="H120" s="720"/>
      <c r="I120" s="734"/>
      <c r="J120" s="722"/>
      <c r="K120" s="1392"/>
      <c r="L120" s="861" t="s">
        <v>265</v>
      </c>
      <c r="M120" s="722" t="s">
        <v>558</v>
      </c>
      <c r="N120" s="722" t="s">
        <v>559</v>
      </c>
      <c r="O120" s="722" t="s">
        <v>216</v>
      </c>
      <c r="P120" s="810" t="s">
        <v>448</v>
      </c>
      <c r="Q120" s="672" t="s">
        <v>375</v>
      </c>
      <c r="R120" s="672" t="s">
        <v>131</v>
      </c>
      <c r="S120" s="864" t="s">
        <v>214</v>
      </c>
      <c r="T120" s="871"/>
      <c r="U120" s="486"/>
      <c r="V120" s="415"/>
      <c r="W120" s="415"/>
      <c r="X120" s="415"/>
      <c r="Y120" s="415"/>
      <c r="Z120" s="416"/>
    </row>
    <row r="121" spans="1:27" ht="47.25" customHeight="1">
      <c r="A121" s="390"/>
      <c r="B121" s="1007"/>
      <c r="C121" s="718"/>
      <c r="D121" s="672"/>
      <c r="E121" s="672"/>
      <c r="F121" s="719"/>
      <c r="G121" s="720"/>
      <c r="H121" s="720"/>
      <c r="I121" s="734"/>
      <c r="J121" s="722"/>
      <c r="K121" s="1392"/>
      <c r="L121" s="1378" t="s">
        <v>209</v>
      </c>
      <c r="M121" s="1376" t="s">
        <v>560</v>
      </c>
      <c r="N121" s="722" t="s">
        <v>561</v>
      </c>
      <c r="O121" s="722" t="s">
        <v>216</v>
      </c>
      <c r="P121" s="810" t="s">
        <v>448</v>
      </c>
      <c r="Q121" s="672" t="s">
        <v>375</v>
      </c>
      <c r="R121" s="672" t="s">
        <v>131</v>
      </c>
      <c r="S121" s="864" t="s">
        <v>214</v>
      </c>
      <c r="T121" s="871"/>
      <c r="U121" s="486"/>
      <c r="V121" s="415"/>
      <c r="W121" s="415"/>
      <c r="X121" s="415"/>
      <c r="Y121" s="415"/>
      <c r="Z121" s="416"/>
    </row>
    <row r="122" spans="1:27" ht="47.25" customHeight="1">
      <c r="A122" s="390"/>
      <c r="B122" s="1007"/>
      <c r="C122" s="718"/>
      <c r="D122" s="672"/>
      <c r="E122" s="672"/>
      <c r="F122" s="719"/>
      <c r="G122" s="720"/>
      <c r="H122" s="720"/>
      <c r="I122" s="734"/>
      <c r="J122" s="722"/>
      <c r="K122" s="1392"/>
      <c r="L122" s="1378"/>
      <c r="M122" s="1376"/>
      <c r="N122" s="722" t="s">
        <v>562</v>
      </c>
      <c r="O122" s="722" t="s">
        <v>563</v>
      </c>
      <c r="P122" s="810" t="s">
        <v>448</v>
      </c>
      <c r="Q122" s="672" t="s">
        <v>375</v>
      </c>
      <c r="R122" s="672" t="s">
        <v>131</v>
      </c>
      <c r="S122" s="864" t="s">
        <v>214</v>
      </c>
      <c r="T122" s="871"/>
      <c r="U122" s="486"/>
      <c r="V122" s="415"/>
      <c r="W122" s="415"/>
      <c r="X122" s="415"/>
      <c r="Y122" s="415"/>
      <c r="Z122" s="416"/>
    </row>
    <row r="123" spans="1:27" ht="47.25" customHeight="1" thickBot="1">
      <c r="A123" s="390"/>
      <c r="B123" s="1009"/>
      <c r="C123" s="728"/>
      <c r="D123" s="676"/>
      <c r="E123" s="676"/>
      <c r="F123" s="729"/>
      <c r="G123" s="730"/>
      <c r="H123" s="730"/>
      <c r="I123" s="735"/>
      <c r="J123" s="732"/>
      <c r="K123" s="1393"/>
      <c r="L123" s="878" t="s">
        <v>265</v>
      </c>
      <c r="M123" s="732" t="s">
        <v>564</v>
      </c>
      <c r="N123" s="732" t="s">
        <v>565</v>
      </c>
      <c r="O123" s="732" t="s">
        <v>216</v>
      </c>
      <c r="P123" s="816" t="s">
        <v>448</v>
      </c>
      <c r="Q123" s="676" t="s">
        <v>375</v>
      </c>
      <c r="R123" s="676" t="s">
        <v>131</v>
      </c>
      <c r="S123" s="877" t="s">
        <v>214</v>
      </c>
      <c r="T123" s="873"/>
      <c r="U123" s="486"/>
      <c r="V123" s="415"/>
      <c r="W123" s="415"/>
      <c r="X123" s="415"/>
      <c r="Y123" s="415"/>
      <c r="Z123" s="416"/>
    </row>
    <row r="124" spans="1:27" ht="90.75" customHeight="1">
      <c r="A124" s="390"/>
      <c r="B124" s="1006">
        <v>23</v>
      </c>
      <c r="C124" s="715" t="s">
        <v>4</v>
      </c>
      <c r="D124" s="671" t="s">
        <v>566</v>
      </c>
      <c r="E124" s="671" t="s">
        <v>64</v>
      </c>
      <c r="F124" s="674" t="s">
        <v>567</v>
      </c>
      <c r="G124" s="716" t="s">
        <v>568</v>
      </c>
      <c r="H124" s="716" t="s">
        <v>150</v>
      </c>
      <c r="I124" s="733" t="s">
        <v>569</v>
      </c>
      <c r="J124" s="717"/>
      <c r="K124" s="1391" t="s">
        <v>570</v>
      </c>
      <c r="L124" s="860" t="s">
        <v>227</v>
      </c>
      <c r="M124" s="717" t="s">
        <v>571</v>
      </c>
      <c r="N124" s="717" t="s">
        <v>572</v>
      </c>
      <c r="O124" s="717" t="s">
        <v>216</v>
      </c>
      <c r="P124" s="674" t="s">
        <v>573</v>
      </c>
      <c r="Q124" s="671" t="s">
        <v>375</v>
      </c>
      <c r="R124" s="671" t="s">
        <v>131</v>
      </c>
      <c r="S124" s="863" t="s">
        <v>214</v>
      </c>
      <c r="T124" s="869" t="s">
        <v>57</v>
      </c>
      <c r="U124" s="486"/>
      <c r="V124" s="415"/>
      <c r="W124" s="415"/>
      <c r="X124" s="415"/>
      <c r="Y124" s="415"/>
      <c r="Z124" s="416"/>
    </row>
    <row r="125" spans="1:27" ht="90.75" customHeight="1">
      <c r="A125" s="390"/>
      <c r="B125" s="1007"/>
      <c r="C125" s="718"/>
      <c r="D125" s="672"/>
      <c r="E125" s="672"/>
      <c r="F125" s="719"/>
      <c r="G125" s="720"/>
      <c r="H125" s="720"/>
      <c r="I125" s="734"/>
      <c r="J125" s="722"/>
      <c r="K125" s="1392"/>
      <c r="L125" s="861" t="s">
        <v>209</v>
      </c>
      <c r="M125" s="722" t="s">
        <v>574</v>
      </c>
      <c r="N125" s="722" t="s">
        <v>524</v>
      </c>
      <c r="O125" s="722" t="s">
        <v>216</v>
      </c>
      <c r="P125" s="810" t="s">
        <v>573</v>
      </c>
      <c r="Q125" s="672" t="s">
        <v>375</v>
      </c>
      <c r="R125" s="672" t="s">
        <v>131</v>
      </c>
      <c r="S125" s="864" t="s">
        <v>214</v>
      </c>
      <c r="T125" s="871"/>
      <c r="U125" s="486"/>
      <c r="V125" s="415"/>
      <c r="W125" s="415"/>
      <c r="X125" s="415"/>
      <c r="Y125" s="415"/>
      <c r="Z125" s="416"/>
    </row>
    <row r="126" spans="1:27" ht="90.75" customHeight="1">
      <c r="A126" s="390"/>
      <c r="B126" s="1007"/>
      <c r="C126" s="718"/>
      <c r="D126" s="672"/>
      <c r="E126" s="672"/>
      <c r="F126" s="719"/>
      <c r="G126" s="720"/>
      <c r="H126" s="720"/>
      <c r="I126" s="734"/>
      <c r="J126" s="722"/>
      <c r="K126" s="1392"/>
      <c r="L126" s="861" t="s">
        <v>209</v>
      </c>
      <c r="M126" s="722" t="s">
        <v>575</v>
      </c>
      <c r="N126" s="722" t="s">
        <v>576</v>
      </c>
      <c r="O126" s="722" t="s">
        <v>216</v>
      </c>
      <c r="P126" s="810" t="s">
        <v>573</v>
      </c>
      <c r="Q126" s="672" t="s">
        <v>375</v>
      </c>
      <c r="R126" s="672" t="s">
        <v>131</v>
      </c>
      <c r="S126" s="864" t="s">
        <v>214</v>
      </c>
      <c r="T126" s="871"/>
      <c r="U126" s="486"/>
      <c r="V126" s="415"/>
      <c r="W126" s="415"/>
      <c r="X126" s="415"/>
      <c r="Y126" s="415"/>
      <c r="Z126" s="416"/>
    </row>
    <row r="127" spans="1:27" ht="90.75" customHeight="1">
      <c r="A127" s="390"/>
      <c r="B127" s="1007"/>
      <c r="C127" s="718"/>
      <c r="D127" s="672"/>
      <c r="E127" s="672"/>
      <c r="F127" s="719"/>
      <c r="G127" s="720"/>
      <c r="H127" s="720"/>
      <c r="I127" s="734"/>
      <c r="J127" s="722"/>
      <c r="K127" s="1392"/>
      <c r="L127" s="861" t="s">
        <v>265</v>
      </c>
      <c r="M127" s="722" t="s">
        <v>577</v>
      </c>
      <c r="N127" s="722" t="s">
        <v>578</v>
      </c>
      <c r="O127" s="722" t="s">
        <v>579</v>
      </c>
      <c r="P127" s="810" t="s">
        <v>425</v>
      </c>
      <c r="Q127" s="672" t="s">
        <v>375</v>
      </c>
      <c r="R127" s="672" t="s">
        <v>131</v>
      </c>
      <c r="S127" s="864" t="s">
        <v>214</v>
      </c>
      <c r="T127" s="871"/>
      <c r="U127" s="486"/>
      <c r="V127" s="415"/>
      <c r="W127" s="415"/>
      <c r="X127" s="415"/>
      <c r="Y127" s="415"/>
      <c r="Z127" s="416"/>
    </row>
    <row r="128" spans="1:27" ht="90.75" customHeight="1" thickBot="1">
      <c r="A128" s="390"/>
      <c r="B128" s="1009"/>
      <c r="C128" s="728"/>
      <c r="D128" s="676"/>
      <c r="E128" s="676"/>
      <c r="F128" s="729"/>
      <c r="G128" s="730"/>
      <c r="H128" s="730"/>
      <c r="I128" s="735"/>
      <c r="J128" s="732"/>
      <c r="K128" s="1393"/>
      <c r="L128" s="878" t="s">
        <v>265</v>
      </c>
      <c r="M128" s="732" t="s">
        <v>580</v>
      </c>
      <c r="N128" s="793" t="s">
        <v>581</v>
      </c>
      <c r="O128" s="732" t="s">
        <v>582</v>
      </c>
      <c r="P128" s="816" t="s">
        <v>425</v>
      </c>
      <c r="Q128" s="676" t="s">
        <v>143</v>
      </c>
      <c r="R128" s="676" t="s">
        <v>143</v>
      </c>
      <c r="S128" s="877" t="s">
        <v>214</v>
      </c>
      <c r="T128" s="873"/>
      <c r="U128" s="486"/>
      <c r="V128" s="415"/>
      <c r="W128" s="415"/>
      <c r="X128" s="415"/>
      <c r="Y128" s="415"/>
      <c r="Z128" s="416"/>
      <c r="AA128" s="62" t="s">
        <v>583</v>
      </c>
    </row>
    <row r="129" spans="1:26" ht="39.950000000000003" customHeight="1">
      <c r="A129" s="390"/>
      <c r="B129" s="1010">
        <v>24</v>
      </c>
      <c r="C129" s="736" t="s">
        <v>4</v>
      </c>
      <c r="D129" s="737" t="s">
        <v>584</v>
      </c>
      <c r="E129" s="737" t="s">
        <v>64</v>
      </c>
      <c r="F129" s="738" t="s">
        <v>585</v>
      </c>
      <c r="G129" s="739" t="s">
        <v>586</v>
      </c>
      <c r="H129" s="739" t="s">
        <v>148</v>
      </c>
      <c r="I129" s="733" t="s">
        <v>587</v>
      </c>
      <c r="J129" s="740"/>
      <c r="K129" s="1394" t="s">
        <v>588</v>
      </c>
      <c r="L129" s="860" t="s">
        <v>227</v>
      </c>
      <c r="M129" s="717" t="s">
        <v>589</v>
      </c>
      <c r="N129" s="717" t="s">
        <v>590</v>
      </c>
      <c r="O129" s="717" t="s">
        <v>216</v>
      </c>
      <c r="P129" s="674" t="s">
        <v>591</v>
      </c>
      <c r="Q129" s="671" t="s">
        <v>592</v>
      </c>
      <c r="R129" s="671" t="s">
        <v>142</v>
      </c>
      <c r="S129" s="863" t="s">
        <v>214</v>
      </c>
      <c r="T129" s="869" t="s">
        <v>58</v>
      </c>
      <c r="U129" s="486"/>
      <c r="V129" s="415"/>
      <c r="W129" s="415"/>
      <c r="X129" s="415"/>
      <c r="Y129" s="415"/>
      <c r="Z129" s="416"/>
    </row>
    <row r="130" spans="1:26" ht="39.950000000000003" customHeight="1">
      <c r="A130" s="390"/>
      <c r="B130" s="1011"/>
      <c r="C130" s="741"/>
      <c r="D130" s="742"/>
      <c r="E130" s="742"/>
      <c r="F130" s="743"/>
      <c r="G130" s="744"/>
      <c r="H130" s="744"/>
      <c r="I130" s="745"/>
      <c r="J130" s="746"/>
      <c r="K130" s="1395"/>
      <c r="L130" s="1378" t="s">
        <v>209</v>
      </c>
      <c r="M130" s="1376" t="s">
        <v>593</v>
      </c>
      <c r="N130" s="722" t="s">
        <v>546</v>
      </c>
      <c r="O130" s="722" t="s">
        <v>216</v>
      </c>
      <c r="P130" s="810" t="s">
        <v>591</v>
      </c>
      <c r="Q130" s="672" t="s">
        <v>375</v>
      </c>
      <c r="R130" s="672" t="s">
        <v>131</v>
      </c>
      <c r="S130" s="864" t="s">
        <v>214</v>
      </c>
      <c r="T130" s="871"/>
      <c r="U130" s="486"/>
      <c r="V130" s="415"/>
      <c r="W130" s="415"/>
      <c r="X130" s="415"/>
      <c r="Y130" s="415"/>
      <c r="Z130" s="416"/>
    </row>
    <row r="131" spans="1:26" ht="39.950000000000003" customHeight="1">
      <c r="A131" s="390"/>
      <c r="B131" s="1011"/>
      <c r="C131" s="741"/>
      <c r="D131" s="742"/>
      <c r="E131" s="742"/>
      <c r="F131" s="743"/>
      <c r="G131" s="744"/>
      <c r="H131" s="744"/>
      <c r="I131" s="745"/>
      <c r="J131" s="746"/>
      <c r="K131" s="1395"/>
      <c r="L131" s="1378"/>
      <c r="M131" s="1376"/>
      <c r="N131" s="722" t="s">
        <v>594</v>
      </c>
      <c r="O131" s="722" t="s">
        <v>216</v>
      </c>
      <c r="P131" s="810" t="s">
        <v>591</v>
      </c>
      <c r="Q131" s="672" t="s">
        <v>375</v>
      </c>
      <c r="R131" s="672" t="s">
        <v>131</v>
      </c>
      <c r="S131" s="864" t="s">
        <v>214</v>
      </c>
      <c r="T131" s="871"/>
      <c r="U131" s="486"/>
      <c r="V131" s="415"/>
      <c r="W131" s="415"/>
      <c r="X131" s="415"/>
      <c r="Y131" s="415"/>
      <c r="Z131" s="416"/>
    </row>
    <row r="132" spans="1:26" ht="39.950000000000003" customHeight="1">
      <c r="A132" s="390"/>
      <c r="B132" s="1011"/>
      <c r="C132" s="741"/>
      <c r="D132" s="742"/>
      <c r="E132" s="742"/>
      <c r="F132" s="743"/>
      <c r="G132" s="744"/>
      <c r="H132" s="744"/>
      <c r="I132" s="745"/>
      <c r="J132" s="746"/>
      <c r="K132" s="1395"/>
      <c r="L132" s="1378"/>
      <c r="M132" s="1376"/>
      <c r="N132" s="722" t="s">
        <v>595</v>
      </c>
      <c r="O132" s="722" t="s">
        <v>216</v>
      </c>
      <c r="P132" s="810" t="s">
        <v>591</v>
      </c>
      <c r="Q132" s="672" t="s">
        <v>596</v>
      </c>
      <c r="R132" s="672" t="s">
        <v>136</v>
      </c>
      <c r="S132" s="864" t="s">
        <v>214</v>
      </c>
      <c r="T132" s="871"/>
      <c r="U132" s="486"/>
      <c r="V132" s="415"/>
      <c r="W132" s="415"/>
      <c r="X132" s="415"/>
      <c r="Y132" s="415"/>
      <c r="Z132" s="416"/>
    </row>
    <row r="133" spans="1:26" ht="39.950000000000003" customHeight="1" thickBot="1">
      <c r="A133" s="390"/>
      <c r="B133" s="1012"/>
      <c r="C133" s="747"/>
      <c r="D133" s="748"/>
      <c r="E133" s="748"/>
      <c r="F133" s="749"/>
      <c r="G133" s="750"/>
      <c r="H133" s="750"/>
      <c r="I133" s="751"/>
      <c r="J133" s="752"/>
      <c r="K133" s="1396"/>
      <c r="L133" s="878" t="s">
        <v>227</v>
      </c>
      <c r="M133" s="732" t="s">
        <v>597</v>
      </c>
      <c r="N133" s="732" t="s">
        <v>598</v>
      </c>
      <c r="O133" s="732" t="s">
        <v>216</v>
      </c>
      <c r="P133" s="816" t="s">
        <v>591</v>
      </c>
      <c r="Q133" s="676" t="s">
        <v>375</v>
      </c>
      <c r="R133" s="676" t="s">
        <v>131</v>
      </c>
      <c r="S133" s="877" t="s">
        <v>214</v>
      </c>
      <c r="T133" s="873"/>
      <c r="U133" s="486"/>
      <c r="V133" s="415"/>
      <c r="W133" s="415"/>
      <c r="X133" s="415"/>
      <c r="Y133" s="415"/>
      <c r="Z133" s="416"/>
    </row>
    <row r="134" spans="1:26" ht="77.25" customHeight="1">
      <c r="A134" s="390"/>
      <c r="B134" s="1010">
        <v>25</v>
      </c>
      <c r="C134" s="736" t="s">
        <v>5</v>
      </c>
      <c r="D134" s="737" t="s">
        <v>599</v>
      </c>
      <c r="E134" s="737" t="s">
        <v>64</v>
      </c>
      <c r="F134" s="738" t="s">
        <v>600</v>
      </c>
      <c r="G134" s="739" t="s">
        <v>601</v>
      </c>
      <c r="H134" s="739" t="s">
        <v>149</v>
      </c>
      <c r="I134" s="733" t="s">
        <v>602</v>
      </c>
      <c r="J134" s="740"/>
      <c r="K134" s="1391" t="s">
        <v>603</v>
      </c>
      <c r="L134" s="860" t="s">
        <v>209</v>
      </c>
      <c r="M134" s="717" t="s">
        <v>604</v>
      </c>
      <c r="N134" s="717" t="s">
        <v>605</v>
      </c>
      <c r="O134" s="717" t="s">
        <v>582</v>
      </c>
      <c r="P134" s="674" t="s">
        <v>606</v>
      </c>
      <c r="Q134" s="671" t="s">
        <v>607</v>
      </c>
      <c r="R134" s="671" t="s">
        <v>131</v>
      </c>
      <c r="S134" s="863" t="s">
        <v>214</v>
      </c>
      <c r="T134" s="879" t="s">
        <v>57</v>
      </c>
      <c r="U134" s="507"/>
      <c r="V134" s="391"/>
      <c r="W134" s="391"/>
      <c r="X134" s="391"/>
      <c r="Y134" s="391"/>
      <c r="Z134" s="392"/>
    </row>
    <row r="135" spans="1:26" ht="52.5" customHeight="1">
      <c r="A135" s="390"/>
      <c r="B135" s="1011"/>
      <c r="C135" s="741"/>
      <c r="D135" s="742"/>
      <c r="E135" s="742"/>
      <c r="F135" s="743"/>
      <c r="G135" s="744"/>
      <c r="H135" s="744"/>
      <c r="I135" s="745"/>
      <c r="J135" s="746"/>
      <c r="K135" s="1392"/>
      <c r="L135" s="1382" t="s">
        <v>227</v>
      </c>
      <c r="M135" s="1376" t="s">
        <v>608</v>
      </c>
      <c r="N135" s="722" t="s">
        <v>609</v>
      </c>
      <c r="O135" s="722" t="s">
        <v>216</v>
      </c>
      <c r="P135" s="810" t="s">
        <v>606</v>
      </c>
      <c r="Q135" s="672" t="s">
        <v>293</v>
      </c>
      <c r="R135" s="672" t="s">
        <v>136</v>
      </c>
      <c r="S135" s="864" t="s">
        <v>214</v>
      </c>
      <c r="T135" s="880"/>
      <c r="U135" s="507"/>
      <c r="V135" s="391"/>
      <c r="W135" s="391"/>
      <c r="X135" s="391"/>
      <c r="Y135" s="391"/>
      <c r="Z135" s="392"/>
    </row>
    <row r="136" spans="1:26" ht="52.5" customHeight="1">
      <c r="A136" s="390"/>
      <c r="B136" s="1011"/>
      <c r="C136" s="741"/>
      <c r="D136" s="742"/>
      <c r="E136" s="742"/>
      <c r="F136" s="743"/>
      <c r="G136" s="744"/>
      <c r="H136" s="744"/>
      <c r="I136" s="745"/>
      <c r="J136" s="746"/>
      <c r="K136" s="1392"/>
      <c r="L136" s="1384"/>
      <c r="M136" s="1376"/>
      <c r="N136" s="722" t="s">
        <v>610</v>
      </c>
      <c r="O136" s="722" t="s">
        <v>216</v>
      </c>
      <c r="P136" s="810" t="s">
        <v>606</v>
      </c>
      <c r="Q136" s="672" t="s">
        <v>607</v>
      </c>
      <c r="R136" s="672" t="s">
        <v>131</v>
      </c>
      <c r="S136" s="864" t="s">
        <v>214</v>
      </c>
      <c r="T136" s="880"/>
      <c r="U136" s="507"/>
      <c r="V136" s="391"/>
      <c r="W136" s="391"/>
      <c r="X136" s="391"/>
      <c r="Y136" s="391"/>
      <c r="Z136" s="392"/>
    </row>
    <row r="137" spans="1:26" ht="60" customHeight="1">
      <c r="A137" s="390"/>
      <c r="B137" s="1011"/>
      <c r="C137" s="741"/>
      <c r="D137" s="742"/>
      <c r="E137" s="742"/>
      <c r="F137" s="743"/>
      <c r="G137" s="744"/>
      <c r="H137" s="744"/>
      <c r="I137" s="745"/>
      <c r="J137" s="746"/>
      <c r="K137" s="1392"/>
      <c r="L137" s="861" t="s">
        <v>265</v>
      </c>
      <c r="M137" s="722" t="s">
        <v>611</v>
      </c>
      <c r="N137" s="722" t="s">
        <v>612</v>
      </c>
      <c r="O137" s="722" t="s">
        <v>216</v>
      </c>
      <c r="P137" s="810" t="s">
        <v>606</v>
      </c>
      <c r="Q137" s="672" t="s">
        <v>607</v>
      </c>
      <c r="R137" s="672" t="s">
        <v>131</v>
      </c>
      <c r="S137" s="864" t="s">
        <v>214</v>
      </c>
      <c r="T137" s="880"/>
      <c r="U137" s="507"/>
      <c r="V137" s="391"/>
      <c r="W137" s="391"/>
      <c r="X137" s="391"/>
      <c r="Y137" s="391"/>
      <c r="Z137" s="392"/>
    </row>
    <row r="138" spans="1:26" ht="60" customHeight="1">
      <c r="A138" s="390"/>
      <c r="B138" s="1011"/>
      <c r="C138" s="741"/>
      <c r="D138" s="742"/>
      <c r="E138" s="742"/>
      <c r="F138" s="743"/>
      <c r="G138" s="744"/>
      <c r="H138" s="744"/>
      <c r="I138" s="745"/>
      <c r="J138" s="746"/>
      <c r="K138" s="1392"/>
      <c r="L138" s="861" t="s">
        <v>209</v>
      </c>
      <c r="M138" s="722" t="s">
        <v>613</v>
      </c>
      <c r="N138" s="722" t="s">
        <v>614</v>
      </c>
      <c r="O138" s="722" t="s">
        <v>216</v>
      </c>
      <c r="P138" s="810" t="s">
        <v>606</v>
      </c>
      <c r="Q138" s="672" t="s">
        <v>293</v>
      </c>
      <c r="R138" s="672" t="s">
        <v>136</v>
      </c>
      <c r="S138" s="864" t="s">
        <v>214</v>
      </c>
      <c r="T138" s="880"/>
      <c r="U138" s="507"/>
      <c r="V138" s="391"/>
      <c r="W138" s="391"/>
      <c r="X138" s="391"/>
      <c r="Y138" s="391"/>
      <c r="Z138" s="392"/>
    </row>
    <row r="139" spans="1:26" ht="60" customHeight="1" thickBot="1">
      <c r="A139" s="390"/>
      <c r="B139" s="1012"/>
      <c r="C139" s="747"/>
      <c r="D139" s="748"/>
      <c r="E139" s="748"/>
      <c r="F139" s="749"/>
      <c r="G139" s="750"/>
      <c r="H139" s="750"/>
      <c r="I139" s="751"/>
      <c r="J139" s="752"/>
      <c r="K139" s="1393"/>
      <c r="L139" s="878" t="s">
        <v>209</v>
      </c>
      <c r="M139" s="732" t="s">
        <v>615</v>
      </c>
      <c r="N139" s="732" t="s">
        <v>616</v>
      </c>
      <c r="O139" s="732" t="s">
        <v>216</v>
      </c>
      <c r="P139" s="816" t="s">
        <v>606</v>
      </c>
      <c r="Q139" s="676" t="s">
        <v>607</v>
      </c>
      <c r="R139" s="676" t="s">
        <v>131</v>
      </c>
      <c r="S139" s="877" t="s">
        <v>214</v>
      </c>
      <c r="T139" s="881"/>
      <c r="U139" s="507"/>
      <c r="V139" s="391"/>
      <c r="W139" s="391"/>
      <c r="X139" s="391"/>
      <c r="Y139" s="391"/>
      <c r="Z139" s="392"/>
    </row>
    <row r="140" spans="1:26" ht="75" customHeight="1">
      <c r="A140" s="390"/>
      <c r="B140" s="1010">
        <v>26</v>
      </c>
      <c r="C140" s="736" t="s">
        <v>5</v>
      </c>
      <c r="D140" s="737" t="s">
        <v>617</v>
      </c>
      <c r="E140" s="737" t="s">
        <v>67</v>
      </c>
      <c r="F140" s="738" t="s">
        <v>618</v>
      </c>
      <c r="G140" s="739" t="s">
        <v>619</v>
      </c>
      <c r="H140" s="739" t="s">
        <v>149</v>
      </c>
      <c r="I140" s="753" t="s">
        <v>620</v>
      </c>
      <c r="J140" s="740"/>
      <c r="K140" s="1394" t="s">
        <v>621</v>
      </c>
      <c r="L140" s="1398" t="s">
        <v>209</v>
      </c>
      <c r="M140" s="1402" t="s">
        <v>622</v>
      </c>
      <c r="N140" s="717" t="s">
        <v>623</v>
      </c>
      <c r="O140" s="717" t="s">
        <v>216</v>
      </c>
      <c r="P140" s="674" t="s">
        <v>624</v>
      </c>
      <c r="Q140" s="671" t="s">
        <v>607</v>
      </c>
      <c r="R140" s="671" t="s">
        <v>131</v>
      </c>
      <c r="S140" s="863" t="s">
        <v>214</v>
      </c>
      <c r="T140" s="879" t="s">
        <v>58</v>
      </c>
      <c r="U140" s="507"/>
      <c r="V140" s="391"/>
      <c r="W140" s="391"/>
      <c r="X140" s="391"/>
      <c r="Y140" s="391"/>
      <c r="Z140" s="392"/>
    </row>
    <row r="141" spans="1:26" ht="58.5" customHeight="1">
      <c r="A141" s="390"/>
      <c r="B141" s="1011"/>
      <c r="C141" s="741"/>
      <c r="D141" s="742"/>
      <c r="E141" s="742"/>
      <c r="F141" s="743"/>
      <c r="G141" s="744"/>
      <c r="H141" s="744"/>
      <c r="I141" s="745"/>
      <c r="J141" s="746"/>
      <c r="K141" s="1395"/>
      <c r="L141" s="1384"/>
      <c r="M141" s="1381"/>
      <c r="N141" s="722" t="s">
        <v>546</v>
      </c>
      <c r="O141" s="722" t="s">
        <v>216</v>
      </c>
      <c r="P141" s="810" t="s">
        <v>624</v>
      </c>
      <c r="Q141" s="672" t="s">
        <v>607</v>
      </c>
      <c r="R141" s="672" t="s">
        <v>131</v>
      </c>
      <c r="S141" s="864" t="s">
        <v>214</v>
      </c>
      <c r="T141" s="880"/>
      <c r="U141" s="507"/>
      <c r="V141" s="391"/>
      <c r="W141" s="391"/>
      <c r="X141" s="391"/>
      <c r="Y141" s="391"/>
      <c r="Z141" s="392"/>
    </row>
    <row r="142" spans="1:26" ht="69.75" customHeight="1">
      <c r="A142" s="390"/>
      <c r="B142" s="1011"/>
      <c r="C142" s="741"/>
      <c r="D142" s="742"/>
      <c r="E142" s="742"/>
      <c r="F142" s="743"/>
      <c r="G142" s="744"/>
      <c r="H142" s="744"/>
      <c r="I142" s="745"/>
      <c r="J142" s="746"/>
      <c r="K142" s="1395"/>
      <c r="L142" s="1382" t="s">
        <v>209</v>
      </c>
      <c r="M142" s="1376" t="s">
        <v>625</v>
      </c>
      <c r="N142" s="722" t="s">
        <v>626</v>
      </c>
      <c r="O142" s="722" t="s">
        <v>216</v>
      </c>
      <c r="P142" s="810" t="s">
        <v>624</v>
      </c>
      <c r="Q142" s="672" t="s">
        <v>607</v>
      </c>
      <c r="R142" s="672" t="s">
        <v>131</v>
      </c>
      <c r="S142" s="864" t="s">
        <v>214</v>
      </c>
      <c r="T142" s="880"/>
      <c r="U142" s="507"/>
      <c r="V142" s="391"/>
      <c r="W142" s="391"/>
      <c r="X142" s="391"/>
      <c r="Y142" s="391"/>
      <c r="Z142" s="392"/>
    </row>
    <row r="143" spans="1:26" ht="69.75" customHeight="1" thickBot="1">
      <c r="A143" s="390"/>
      <c r="B143" s="1012"/>
      <c r="C143" s="747"/>
      <c r="D143" s="748"/>
      <c r="E143" s="748"/>
      <c r="F143" s="749"/>
      <c r="G143" s="750"/>
      <c r="H143" s="750"/>
      <c r="I143" s="751"/>
      <c r="J143" s="752"/>
      <c r="K143" s="1396"/>
      <c r="L143" s="1399"/>
      <c r="M143" s="1377"/>
      <c r="N143" s="732" t="s">
        <v>627</v>
      </c>
      <c r="O143" s="732" t="s">
        <v>216</v>
      </c>
      <c r="P143" s="816" t="s">
        <v>624</v>
      </c>
      <c r="Q143" s="676" t="s">
        <v>596</v>
      </c>
      <c r="R143" s="676" t="s">
        <v>136</v>
      </c>
      <c r="S143" s="877" t="s">
        <v>214</v>
      </c>
      <c r="T143" s="881"/>
      <c r="U143" s="507"/>
      <c r="V143" s="391"/>
      <c r="W143" s="391"/>
      <c r="X143" s="391"/>
      <c r="Y143" s="391"/>
      <c r="Z143" s="392"/>
    </row>
    <row r="144" spans="1:26" ht="60.75" customHeight="1">
      <c r="A144" s="390"/>
      <c r="B144" s="1010">
        <v>27</v>
      </c>
      <c r="C144" s="736" t="s">
        <v>5</v>
      </c>
      <c r="D144" s="737" t="s">
        <v>628</v>
      </c>
      <c r="E144" s="737" t="s">
        <v>67</v>
      </c>
      <c r="F144" s="738" t="s">
        <v>629</v>
      </c>
      <c r="G144" s="739" t="s">
        <v>630</v>
      </c>
      <c r="H144" s="739" t="s">
        <v>146</v>
      </c>
      <c r="I144" s="753" t="s">
        <v>631</v>
      </c>
      <c r="J144" s="740"/>
      <c r="K144" s="1394" t="s">
        <v>632</v>
      </c>
      <c r="L144" s="860" t="s">
        <v>227</v>
      </c>
      <c r="M144" s="717" t="s">
        <v>633</v>
      </c>
      <c r="N144" s="717" t="s">
        <v>634</v>
      </c>
      <c r="O144" s="717" t="s">
        <v>216</v>
      </c>
      <c r="P144" s="674" t="s">
        <v>635</v>
      </c>
      <c r="Q144" s="671" t="s">
        <v>429</v>
      </c>
      <c r="R144" s="671" t="s">
        <v>142</v>
      </c>
      <c r="S144" s="863" t="s">
        <v>214</v>
      </c>
      <c r="T144" s="879" t="s">
        <v>58</v>
      </c>
      <c r="U144" s="507"/>
      <c r="V144" s="391"/>
      <c r="W144" s="391"/>
      <c r="X144" s="391"/>
      <c r="Y144" s="391"/>
      <c r="Z144" s="392"/>
    </row>
    <row r="145" spans="1:26" ht="60.75" customHeight="1">
      <c r="A145" s="390"/>
      <c r="B145" s="1011"/>
      <c r="C145" s="741"/>
      <c r="D145" s="742"/>
      <c r="E145" s="742"/>
      <c r="F145" s="743"/>
      <c r="G145" s="744"/>
      <c r="H145" s="744"/>
      <c r="I145" s="745"/>
      <c r="J145" s="746"/>
      <c r="K145" s="1395"/>
      <c r="L145" s="861" t="s">
        <v>227</v>
      </c>
      <c r="M145" s="722" t="s">
        <v>636</v>
      </c>
      <c r="N145" s="722" t="s">
        <v>637</v>
      </c>
      <c r="O145" s="722" t="s">
        <v>216</v>
      </c>
      <c r="P145" s="810" t="s">
        <v>638</v>
      </c>
      <c r="Q145" s="672" t="s">
        <v>639</v>
      </c>
      <c r="R145" s="672" t="s">
        <v>139</v>
      </c>
      <c r="S145" s="864" t="s">
        <v>214</v>
      </c>
      <c r="T145" s="880"/>
      <c r="U145" s="507"/>
      <c r="V145" s="391"/>
      <c r="W145" s="391"/>
      <c r="X145" s="391"/>
      <c r="Y145" s="391"/>
      <c r="Z145" s="392"/>
    </row>
    <row r="146" spans="1:26" ht="60.75" customHeight="1">
      <c r="A146" s="390"/>
      <c r="B146" s="1011"/>
      <c r="C146" s="741"/>
      <c r="D146" s="742"/>
      <c r="E146" s="742"/>
      <c r="F146" s="743"/>
      <c r="G146" s="744"/>
      <c r="H146" s="744"/>
      <c r="I146" s="745"/>
      <c r="J146" s="746"/>
      <c r="K146" s="1395"/>
      <c r="L146" s="861" t="s">
        <v>265</v>
      </c>
      <c r="M146" s="722" t="s">
        <v>640</v>
      </c>
      <c r="N146" s="722" t="s">
        <v>641</v>
      </c>
      <c r="O146" s="722" t="s">
        <v>582</v>
      </c>
      <c r="P146" s="810" t="s">
        <v>370</v>
      </c>
      <c r="Q146" s="672" t="s">
        <v>642</v>
      </c>
      <c r="R146" s="672" t="s">
        <v>143</v>
      </c>
      <c r="S146" s="864" t="s">
        <v>214</v>
      </c>
      <c r="T146" s="880"/>
      <c r="U146" s="507"/>
      <c r="V146" s="391"/>
      <c r="W146" s="391"/>
      <c r="X146" s="391"/>
      <c r="Y146" s="391"/>
      <c r="Z146" s="392"/>
    </row>
    <row r="147" spans="1:26" ht="60.75" customHeight="1" thickBot="1">
      <c r="A147" s="390"/>
      <c r="B147" s="1012"/>
      <c r="C147" s="747"/>
      <c r="D147" s="748"/>
      <c r="E147" s="748"/>
      <c r="F147" s="749"/>
      <c r="G147" s="750"/>
      <c r="H147" s="750"/>
      <c r="I147" s="751"/>
      <c r="J147" s="752"/>
      <c r="K147" s="1396"/>
      <c r="L147" s="878" t="s">
        <v>209</v>
      </c>
      <c r="M147" s="732" t="s">
        <v>643</v>
      </c>
      <c r="N147" s="732" t="s">
        <v>644</v>
      </c>
      <c r="O147" s="732" t="s">
        <v>216</v>
      </c>
      <c r="P147" s="816" t="s">
        <v>645</v>
      </c>
      <c r="Q147" s="676" t="s">
        <v>278</v>
      </c>
      <c r="R147" s="676" t="s">
        <v>135</v>
      </c>
      <c r="S147" s="877" t="s">
        <v>214</v>
      </c>
      <c r="T147" s="881"/>
      <c r="U147" s="507"/>
      <c r="V147" s="391"/>
      <c r="W147" s="391"/>
      <c r="X147" s="391"/>
      <c r="Y147" s="391"/>
      <c r="Z147" s="392"/>
    </row>
    <row r="148" spans="1:26" ht="43.5" customHeight="1">
      <c r="A148" s="390"/>
      <c r="B148" s="1010">
        <v>28</v>
      </c>
      <c r="C148" s="736" t="s">
        <v>5</v>
      </c>
      <c r="D148" s="737" t="s">
        <v>646</v>
      </c>
      <c r="E148" s="737" t="s">
        <v>66</v>
      </c>
      <c r="F148" s="738" t="s">
        <v>638</v>
      </c>
      <c r="G148" s="739" t="s">
        <v>647</v>
      </c>
      <c r="H148" s="739" t="s">
        <v>147</v>
      </c>
      <c r="I148" s="733" t="s">
        <v>648</v>
      </c>
      <c r="J148" s="740"/>
      <c r="K148" s="1391" t="s">
        <v>649</v>
      </c>
      <c r="L148" s="860" t="s">
        <v>227</v>
      </c>
      <c r="M148" s="717" t="s">
        <v>650</v>
      </c>
      <c r="N148" s="717" t="s">
        <v>651</v>
      </c>
      <c r="O148" s="717" t="s">
        <v>216</v>
      </c>
      <c r="P148" s="674" t="s">
        <v>652</v>
      </c>
      <c r="Q148" s="671" t="s">
        <v>244</v>
      </c>
      <c r="R148" s="671" t="s">
        <v>139</v>
      </c>
      <c r="S148" s="863" t="s">
        <v>214</v>
      </c>
      <c r="T148" s="879" t="s">
        <v>58</v>
      </c>
      <c r="U148" s="507"/>
      <c r="V148" s="391"/>
      <c r="W148" s="391"/>
      <c r="X148" s="391"/>
      <c r="Y148" s="391"/>
      <c r="Z148" s="392"/>
    </row>
    <row r="149" spans="1:26" ht="43.5" customHeight="1">
      <c r="A149" s="390"/>
      <c r="B149" s="1011"/>
      <c r="C149" s="741"/>
      <c r="D149" s="742"/>
      <c r="E149" s="742"/>
      <c r="F149" s="743"/>
      <c r="G149" s="744"/>
      <c r="H149" s="744"/>
      <c r="I149" s="745"/>
      <c r="J149" s="746"/>
      <c r="K149" s="1392"/>
      <c r="L149" s="861" t="s">
        <v>265</v>
      </c>
      <c r="M149" s="722" t="s">
        <v>653</v>
      </c>
      <c r="N149" s="722" t="s">
        <v>654</v>
      </c>
      <c r="O149" s="722" t="s">
        <v>216</v>
      </c>
      <c r="P149" s="810" t="s">
        <v>655</v>
      </c>
      <c r="Q149" s="672" t="s">
        <v>244</v>
      </c>
      <c r="R149" s="672" t="s">
        <v>139</v>
      </c>
      <c r="S149" s="864" t="s">
        <v>214</v>
      </c>
      <c r="T149" s="880"/>
      <c r="U149" s="507"/>
      <c r="V149" s="391"/>
      <c r="W149" s="391"/>
      <c r="X149" s="391"/>
      <c r="Y149" s="391"/>
      <c r="Z149" s="392"/>
    </row>
    <row r="150" spans="1:26" ht="43.5" customHeight="1">
      <c r="A150" s="390"/>
      <c r="B150" s="1011"/>
      <c r="C150" s="741"/>
      <c r="D150" s="742"/>
      <c r="E150" s="742"/>
      <c r="F150" s="743"/>
      <c r="G150" s="744"/>
      <c r="H150" s="744"/>
      <c r="I150" s="745"/>
      <c r="J150" s="746"/>
      <c r="K150" s="1392"/>
      <c r="L150" s="861" t="s">
        <v>209</v>
      </c>
      <c r="M150" s="722" t="s">
        <v>656</v>
      </c>
      <c r="N150" s="722" t="s">
        <v>657</v>
      </c>
      <c r="O150" s="722" t="s">
        <v>216</v>
      </c>
      <c r="P150" s="810" t="s">
        <v>655</v>
      </c>
      <c r="Q150" s="672" t="s">
        <v>244</v>
      </c>
      <c r="R150" s="672" t="s">
        <v>139</v>
      </c>
      <c r="S150" s="864" t="s">
        <v>214</v>
      </c>
      <c r="T150" s="880"/>
      <c r="U150" s="507"/>
      <c r="V150" s="391"/>
      <c r="W150" s="391"/>
      <c r="X150" s="391"/>
      <c r="Y150" s="391"/>
      <c r="Z150" s="392"/>
    </row>
    <row r="151" spans="1:26" ht="62.25" customHeight="1">
      <c r="A151" s="390"/>
      <c r="B151" s="1011"/>
      <c r="C151" s="741"/>
      <c r="D151" s="742"/>
      <c r="E151" s="742"/>
      <c r="F151" s="743"/>
      <c r="G151" s="744"/>
      <c r="H151" s="744"/>
      <c r="I151" s="745"/>
      <c r="J151" s="746"/>
      <c r="K151" s="1392"/>
      <c r="L151" s="1378" t="s">
        <v>261</v>
      </c>
      <c r="M151" s="1376" t="s">
        <v>658</v>
      </c>
      <c r="N151" s="722" t="s">
        <v>659</v>
      </c>
      <c r="O151" s="722" t="s">
        <v>216</v>
      </c>
      <c r="P151" s="810" t="s">
        <v>655</v>
      </c>
      <c r="Q151" s="672" t="s">
        <v>660</v>
      </c>
      <c r="R151" s="672" t="s">
        <v>131</v>
      </c>
      <c r="S151" s="864" t="s">
        <v>214</v>
      </c>
      <c r="T151" s="880"/>
      <c r="U151" s="507"/>
      <c r="V151" s="391"/>
      <c r="W151" s="391"/>
      <c r="X151" s="391"/>
      <c r="Y151" s="391"/>
      <c r="Z151" s="392"/>
    </row>
    <row r="152" spans="1:26" ht="62.25" customHeight="1" thickBot="1">
      <c r="A152" s="390"/>
      <c r="B152" s="1012"/>
      <c r="C152" s="747"/>
      <c r="D152" s="748"/>
      <c r="E152" s="748"/>
      <c r="F152" s="749"/>
      <c r="G152" s="750"/>
      <c r="H152" s="750"/>
      <c r="I152" s="751"/>
      <c r="J152" s="752"/>
      <c r="K152" s="1393"/>
      <c r="L152" s="1379"/>
      <c r="M152" s="1377"/>
      <c r="N152" s="793" t="s">
        <v>661</v>
      </c>
      <c r="O152" s="732" t="s">
        <v>216</v>
      </c>
      <c r="P152" s="816" t="s">
        <v>370</v>
      </c>
      <c r="Q152" s="676" t="s">
        <v>660</v>
      </c>
      <c r="R152" s="676" t="s">
        <v>131</v>
      </c>
      <c r="S152" s="877" t="s">
        <v>214</v>
      </c>
      <c r="T152" s="881"/>
      <c r="U152" s="507"/>
      <c r="V152" s="391"/>
      <c r="W152" s="391"/>
      <c r="X152" s="391"/>
      <c r="Y152" s="391"/>
      <c r="Z152" s="392"/>
    </row>
    <row r="153" spans="1:26" s="423" customFormat="1" ht="46.5" customHeight="1">
      <c r="A153" s="420"/>
      <c r="B153" s="1013">
        <v>29</v>
      </c>
      <c r="C153" s="754" t="s">
        <v>5</v>
      </c>
      <c r="D153" s="755" t="s">
        <v>662</v>
      </c>
      <c r="E153" s="755" t="s">
        <v>64</v>
      </c>
      <c r="F153" s="756" t="s">
        <v>645</v>
      </c>
      <c r="G153" s="757" t="s">
        <v>663</v>
      </c>
      <c r="H153" s="757" t="s">
        <v>155</v>
      </c>
      <c r="I153" s="758" t="s">
        <v>664</v>
      </c>
      <c r="J153" s="759"/>
      <c r="K153" s="1368" t="s">
        <v>665</v>
      </c>
      <c r="L153" s="830" t="s">
        <v>209</v>
      </c>
      <c r="M153" s="787" t="s">
        <v>666</v>
      </c>
      <c r="N153" s="787" t="s">
        <v>565</v>
      </c>
      <c r="O153" s="787" t="s">
        <v>667</v>
      </c>
      <c r="P153" s="784" t="s">
        <v>668</v>
      </c>
      <c r="Q153" s="662" t="s">
        <v>479</v>
      </c>
      <c r="R153" s="662" t="s">
        <v>142</v>
      </c>
      <c r="S153" s="868" t="s">
        <v>214</v>
      </c>
      <c r="T153" s="882" t="s">
        <v>58</v>
      </c>
      <c r="U153" s="508"/>
      <c r="V153" s="421"/>
      <c r="W153" s="421"/>
      <c r="X153" s="421"/>
      <c r="Y153" s="421"/>
      <c r="Z153" s="422"/>
    </row>
    <row r="154" spans="1:26" ht="46.5" customHeight="1">
      <c r="A154" s="390"/>
      <c r="B154" s="1014"/>
      <c r="C154" s="760"/>
      <c r="D154" s="761"/>
      <c r="E154" s="761"/>
      <c r="F154" s="762"/>
      <c r="G154" s="763"/>
      <c r="H154" s="763"/>
      <c r="I154" s="764"/>
      <c r="J154" s="765"/>
      <c r="K154" s="1366"/>
      <c r="L154" s="824" t="s">
        <v>261</v>
      </c>
      <c r="M154" s="487" t="s">
        <v>564</v>
      </c>
      <c r="N154" s="487" t="s">
        <v>669</v>
      </c>
      <c r="O154" s="487" t="s">
        <v>216</v>
      </c>
      <c r="P154" s="788" t="s">
        <v>668</v>
      </c>
      <c r="Q154" s="663" t="s">
        <v>375</v>
      </c>
      <c r="R154" s="722" t="s">
        <v>131</v>
      </c>
      <c r="S154" s="842" t="s">
        <v>214</v>
      </c>
      <c r="T154" s="880"/>
      <c r="U154" s="507"/>
      <c r="V154" s="391"/>
      <c r="W154" s="391"/>
      <c r="X154" s="391"/>
      <c r="Y154" s="391"/>
      <c r="Z154" s="392"/>
    </row>
    <row r="155" spans="1:26" ht="46.5" customHeight="1">
      <c r="A155" s="390"/>
      <c r="B155" s="1014"/>
      <c r="C155" s="760"/>
      <c r="D155" s="761"/>
      <c r="E155" s="761"/>
      <c r="F155" s="762"/>
      <c r="G155" s="763"/>
      <c r="H155" s="763"/>
      <c r="I155" s="764"/>
      <c r="J155" s="765"/>
      <c r="K155" s="1366"/>
      <c r="L155" s="824" t="s">
        <v>265</v>
      </c>
      <c r="M155" s="487" t="s">
        <v>670</v>
      </c>
      <c r="N155" s="487" t="s">
        <v>671</v>
      </c>
      <c r="O155" s="487" t="s">
        <v>216</v>
      </c>
      <c r="P155" s="788" t="s">
        <v>668</v>
      </c>
      <c r="Q155" s="663" t="s">
        <v>375</v>
      </c>
      <c r="R155" s="722" t="s">
        <v>131</v>
      </c>
      <c r="S155" s="842" t="s">
        <v>214</v>
      </c>
      <c r="T155" s="880"/>
      <c r="U155" s="507"/>
      <c r="V155" s="391"/>
      <c r="W155" s="391"/>
      <c r="X155" s="391"/>
      <c r="Y155" s="391"/>
      <c r="Z155" s="392"/>
    </row>
    <row r="156" spans="1:26" ht="46.5" customHeight="1">
      <c r="A156" s="390"/>
      <c r="B156" s="1014"/>
      <c r="C156" s="760"/>
      <c r="D156" s="761"/>
      <c r="E156" s="761"/>
      <c r="F156" s="762"/>
      <c r="G156" s="763"/>
      <c r="H156" s="763"/>
      <c r="I156" s="764"/>
      <c r="J156" s="765"/>
      <c r="K156" s="1366"/>
      <c r="L156" s="824" t="s">
        <v>265</v>
      </c>
      <c r="M156" s="487" t="s">
        <v>672</v>
      </c>
      <c r="N156" s="487" t="s">
        <v>559</v>
      </c>
      <c r="O156" s="487" t="s">
        <v>673</v>
      </c>
      <c r="P156" s="788" t="s">
        <v>674</v>
      </c>
      <c r="Q156" s="663" t="s">
        <v>607</v>
      </c>
      <c r="R156" s="722" t="s">
        <v>131</v>
      </c>
      <c r="S156" s="842" t="s">
        <v>214</v>
      </c>
      <c r="T156" s="880"/>
      <c r="U156" s="507"/>
      <c r="V156" s="391"/>
      <c r="W156" s="391"/>
      <c r="X156" s="391"/>
      <c r="Y156" s="391"/>
      <c r="Z156" s="392"/>
    </row>
    <row r="157" spans="1:26" ht="46.5" customHeight="1">
      <c r="A157" s="390"/>
      <c r="B157" s="1014"/>
      <c r="C157" s="760"/>
      <c r="D157" s="761"/>
      <c r="E157" s="761"/>
      <c r="F157" s="762"/>
      <c r="G157" s="763"/>
      <c r="H157" s="763"/>
      <c r="I157" s="764"/>
      <c r="J157" s="765"/>
      <c r="K157" s="1366"/>
      <c r="L157" s="824" t="s">
        <v>227</v>
      </c>
      <c r="M157" s="487" t="s">
        <v>555</v>
      </c>
      <c r="N157" s="487" t="s">
        <v>675</v>
      </c>
      <c r="O157" s="487" t="s">
        <v>216</v>
      </c>
      <c r="P157" s="788" t="s">
        <v>668</v>
      </c>
      <c r="Q157" s="663" t="s">
        <v>479</v>
      </c>
      <c r="R157" s="663" t="s">
        <v>142</v>
      </c>
      <c r="S157" s="842" t="s">
        <v>214</v>
      </c>
      <c r="T157" s="880"/>
      <c r="U157" s="507"/>
      <c r="V157" s="391"/>
      <c r="W157" s="391"/>
      <c r="X157" s="391"/>
      <c r="Y157" s="391"/>
      <c r="Z157" s="392"/>
    </row>
    <row r="158" spans="1:26" ht="46.5" customHeight="1" thickBot="1">
      <c r="A158" s="390"/>
      <c r="B158" s="1015"/>
      <c r="C158" s="766"/>
      <c r="D158" s="767"/>
      <c r="E158" s="767"/>
      <c r="F158" s="768"/>
      <c r="G158" s="769"/>
      <c r="H158" s="769"/>
      <c r="I158" s="770"/>
      <c r="J158" s="771"/>
      <c r="K158" s="1367"/>
      <c r="L158" s="687" t="s">
        <v>227</v>
      </c>
      <c r="M158" s="711" t="s">
        <v>676</v>
      </c>
      <c r="N158" s="711" t="s">
        <v>677</v>
      </c>
      <c r="O158" s="711" t="s">
        <v>582</v>
      </c>
      <c r="P158" s="790" t="s">
        <v>370</v>
      </c>
      <c r="Q158" s="661" t="s">
        <v>249</v>
      </c>
      <c r="R158" s="661" t="s">
        <v>140</v>
      </c>
      <c r="S158" s="883" t="s">
        <v>214</v>
      </c>
      <c r="T158" s="881"/>
      <c r="U158" s="507"/>
      <c r="V158" s="391"/>
      <c r="W158" s="391"/>
      <c r="X158" s="391"/>
      <c r="Y158" s="391"/>
      <c r="Z158" s="392"/>
    </row>
    <row r="159" spans="1:26" ht="54.75" customHeight="1">
      <c r="A159" s="390"/>
      <c r="B159" s="1016">
        <v>30</v>
      </c>
      <c r="C159" s="772" t="s">
        <v>5</v>
      </c>
      <c r="D159" s="773" t="s">
        <v>678</v>
      </c>
      <c r="E159" s="773" t="s">
        <v>64</v>
      </c>
      <c r="F159" s="774" t="s">
        <v>645</v>
      </c>
      <c r="G159" s="775" t="s">
        <v>679</v>
      </c>
      <c r="H159" s="775" t="s">
        <v>147</v>
      </c>
      <c r="I159" s="776" t="s">
        <v>680</v>
      </c>
      <c r="J159" s="777"/>
      <c r="K159" s="660" t="s">
        <v>681</v>
      </c>
      <c r="L159" s="1383" t="s">
        <v>227</v>
      </c>
      <c r="M159" s="1370" t="s">
        <v>682</v>
      </c>
      <c r="N159" s="680" t="s">
        <v>683</v>
      </c>
      <c r="O159" s="680" t="s">
        <v>684</v>
      </c>
      <c r="P159" s="794" t="s">
        <v>685</v>
      </c>
      <c r="Q159" s="665" t="s">
        <v>607</v>
      </c>
      <c r="R159" s="665" t="s">
        <v>131</v>
      </c>
      <c r="S159" s="853" t="s">
        <v>214</v>
      </c>
      <c r="T159" s="884" t="s">
        <v>57</v>
      </c>
      <c r="U159" s="507"/>
      <c r="V159" s="391"/>
      <c r="W159" s="391"/>
      <c r="X159" s="391"/>
      <c r="Y159" s="391"/>
      <c r="Z159" s="392"/>
    </row>
    <row r="160" spans="1:26" ht="54.75" customHeight="1">
      <c r="A160" s="390"/>
      <c r="B160" s="1014"/>
      <c r="C160" s="760"/>
      <c r="D160" s="761"/>
      <c r="E160" s="761"/>
      <c r="F160" s="762"/>
      <c r="G160" s="763"/>
      <c r="H160" s="763"/>
      <c r="I160" s="764"/>
      <c r="J160" s="765"/>
      <c r="K160" s="660"/>
      <c r="L160" s="1384"/>
      <c r="M160" s="1360"/>
      <c r="N160" s="487" t="s">
        <v>686</v>
      </c>
      <c r="O160" s="487" t="s">
        <v>687</v>
      </c>
      <c r="P160" s="788" t="s">
        <v>688</v>
      </c>
      <c r="Q160" s="663" t="s">
        <v>293</v>
      </c>
      <c r="R160" s="663" t="s">
        <v>136</v>
      </c>
      <c r="S160" s="842" t="s">
        <v>214</v>
      </c>
      <c r="T160" s="880"/>
      <c r="U160" s="507"/>
      <c r="V160" s="391"/>
      <c r="W160" s="391"/>
      <c r="X160" s="391"/>
      <c r="Y160" s="391"/>
      <c r="Z160" s="392"/>
    </row>
    <row r="161" spans="1:26" ht="56.25" customHeight="1">
      <c r="A161" s="390"/>
      <c r="B161" s="1014"/>
      <c r="C161" s="760"/>
      <c r="D161" s="761"/>
      <c r="E161" s="761"/>
      <c r="F161" s="762"/>
      <c r="G161" s="763"/>
      <c r="H161" s="763"/>
      <c r="I161" s="764"/>
      <c r="J161" s="765"/>
      <c r="K161" s="660"/>
      <c r="L161" s="824" t="s">
        <v>209</v>
      </c>
      <c r="M161" s="487" t="s">
        <v>689</v>
      </c>
      <c r="N161" s="487" t="s">
        <v>683</v>
      </c>
      <c r="O161" s="487" t="s">
        <v>216</v>
      </c>
      <c r="P161" s="885" t="s">
        <v>685</v>
      </c>
      <c r="Q161" s="663" t="s">
        <v>607</v>
      </c>
      <c r="R161" s="663" t="s">
        <v>131</v>
      </c>
      <c r="S161" s="842" t="s">
        <v>214</v>
      </c>
      <c r="T161" s="880"/>
      <c r="U161" s="507"/>
      <c r="V161" s="391"/>
      <c r="W161" s="391"/>
      <c r="X161" s="391"/>
      <c r="Y161" s="391"/>
      <c r="Z161" s="392"/>
    </row>
    <row r="162" spans="1:26" ht="56.25" customHeight="1">
      <c r="A162" s="390"/>
      <c r="B162" s="1014"/>
      <c r="C162" s="760"/>
      <c r="D162" s="761"/>
      <c r="E162" s="761"/>
      <c r="F162" s="762"/>
      <c r="G162" s="763"/>
      <c r="H162" s="763"/>
      <c r="I162" s="764"/>
      <c r="J162" s="765"/>
      <c r="K162" s="660"/>
      <c r="L162" s="1361" t="s">
        <v>209</v>
      </c>
      <c r="M162" s="1354" t="s">
        <v>690</v>
      </c>
      <c r="N162" s="487" t="s">
        <v>691</v>
      </c>
      <c r="O162" s="487" t="s">
        <v>216</v>
      </c>
      <c r="P162" s="885" t="s">
        <v>685</v>
      </c>
      <c r="Q162" s="663" t="s">
        <v>692</v>
      </c>
      <c r="R162" s="663" t="s">
        <v>131</v>
      </c>
      <c r="S162" s="842" t="s">
        <v>214</v>
      </c>
      <c r="T162" s="880"/>
      <c r="U162" s="507"/>
      <c r="V162" s="391"/>
      <c r="W162" s="391"/>
      <c r="X162" s="391"/>
      <c r="Y162" s="391"/>
      <c r="Z162" s="392"/>
    </row>
    <row r="163" spans="1:26" ht="56.25" customHeight="1">
      <c r="A163" s="390"/>
      <c r="B163" s="1014"/>
      <c r="C163" s="760"/>
      <c r="D163" s="761"/>
      <c r="E163" s="761"/>
      <c r="F163" s="762"/>
      <c r="G163" s="763"/>
      <c r="H163" s="763"/>
      <c r="I163" s="764"/>
      <c r="J163" s="765"/>
      <c r="K163" s="660"/>
      <c r="L163" s="1362"/>
      <c r="M163" s="1360"/>
      <c r="N163" s="722" t="s">
        <v>693</v>
      </c>
      <c r="O163" s="487" t="s">
        <v>216</v>
      </c>
      <c r="P163" s="885" t="s">
        <v>685</v>
      </c>
      <c r="Q163" s="663" t="s">
        <v>694</v>
      </c>
      <c r="R163" s="663" t="s">
        <v>138</v>
      </c>
      <c r="S163" s="842" t="s">
        <v>214</v>
      </c>
      <c r="T163" s="880"/>
      <c r="U163" s="507"/>
      <c r="V163" s="391"/>
      <c r="W163" s="391"/>
      <c r="X163" s="391"/>
      <c r="Y163" s="391"/>
      <c r="Z163" s="392"/>
    </row>
    <row r="164" spans="1:26" ht="52.5" customHeight="1">
      <c r="A164" s="102"/>
      <c r="B164" s="1014"/>
      <c r="C164" s="760"/>
      <c r="D164" s="761"/>
      <c r="E164" s="761"/>
      <c r="F164" s="762"/>
      <c r="G164" s="763"/>
      <c r="H164" s="763"/>
      <c r="I164" s="764"/>
      <c r="J164" s="765"/>
      <c r="K164" s="660"/>
      <c r="L164" s="1361" t="s">
        <v>265</v>
      </c>
      <c r="M164" s="1354" t="s">
        <v>695</v>
      </c>
      <c r="N164" s="487" t="s">
        <v>696</v>
      </c>
      <c r="O164" s="487" t="s">
        <v>216</v>
      </c>
      <c r="P164" s="885" t="s">
        <v>688</v>
      </c>
      <c r="Q164" s="663" t="s">
        <v>694</v>
      </c>
      <c r="R164" s="663" t="s">
        <v>138</v>
      </c>
      <c r="S164" s="886" t="s">
        <v>214</v>
      </c>
      <c r="T164" s="887"/>
      <c r="U164" s="486"/>
      <c r="V164" s="415"/>
      <c r="W164" s="415"/>
      <c r="X164" s="415"/>
      <c r="Y164" s="415"/>
      <c r="Z164" s="416"/>
    </row>
    <row r="165" spans="1:26" ht="52.5" customHeight="1">
      <c r="A165" s="102"/>
      <c r="B165" s="1014"/>
      <c r="C165" s="760"/>
      <c r="D165" s="761"/>
      <c r="E165" s="761"/>
      <c r="F165" s="762"/>
      <c r="G165" s="763"/>
      <c r="H165" s="763"/>
      <c r="I165" s="764"/>
      <c r="J165" s="765"/>
      <c r="K165" s="660"/>
      <c r="L165" s="1372"/>
      <c r="M165" s="1370"/>
      <c r="N165" s="487" t="s">
        <v>697</v>
      </c>
      <c r="O165" s="487" t="s">
        <v>216</v>
      </c>
      <c r="P165" s="788" t="s">
        <v>698</v>
      </c>
      <c r="Q165" s="663" t="s">
        <v>694</v>
      </c>
      <c r="R165" s="663" t="s">
        <v>138</v>
      </c>
      <c r="S165" s="886" t="s">
        <v>214</v>
      </c>
      <c r="T165" s="887"/>
      <c r="U165" s="486"/>
      <c r="V165" s="415"/>
      <c r="W165" s="415"/>
      <c r="X165" s="415"/>
      <c r="Y165" s="415"/>
      <c r="Z165" s="416"/>
    </row>
    <row r="166" spans="1:26" ht="52.5" customHeight="1">
      <c r="A166" s="102"/>
      <c r="B166" s="1014"/>
      <c r="C166" s="760"/>
      <c r="D166" s="761"/>
      <c r="E166" s="761"/>
      <c r="F166" s="762"/>
      <c r="G166" s="763"/>
      <c r="H166" s="763"/>
      <c r="I166" s="764"/>
      <c r="J166" s="765"/>
      <c r="K166" s="660"/>
      <c r="L166" s="1362"/>
      <c r="M166" s="1360"/>
      <c r="N166" s="487" t="s">
        <v>699</v>
      </c>
      <c r="O166" s="487" t="s">
        <v>216</v>
      </c>
      <c r="P166" s="885" t="s">
        <v>700</v>
      </c>
      <c r="Q166" s="663" t="s">
        <v>694</v>
      </c>
      <c r="R166" s="663" t="s">
        <v>138</v>
      </c>
      <c r="S166" s="886" t="s">
        <v>214</v>
      </c>
      <c r="T166" s="887"/>
      <c r="U166" s="486"/>
      <c r="V166" s="415"/>
      <c r="W166" s="415"/>
      <c r="X166" s="415"/>
      <c r="Y166" s="415"/>
      <c r="Z166" s="416"/>
    </row>
    <row r="167" spans="1:26" ht="56.25" customHeight="1">
      <c r="A167" s="102"/>
      <c r="B167" s="1014"/>
      <c r="C167" s="760"/>
      <c r="D167" s="761"/>
      <c r="E167" s="761"/>
      <c r="F167" s="762"/>
      <c r="G167" s="763"/>
      <c r="H167" s="763"/>
      <c r="I167" s="764"/>
      <c r="J167" s="765"/>
      <c r="K167" s="660"/>
      <c r="L167" s="824" t="s">
        <v>209</v>
      </c>
      <c r="M167" s="487" t="s">
        <v>701</v>
      </c>
      <c r="N167" s="487" t="s">
        <v>691</v>
      </c>
      <c r="O167" s="487" t="s">
        <v>216</v>
      </c>
      <c r="P167" s="885" t="s">
        <v>685</v>
      </c>
      <c r="Q167" s="663" t="s">
        <v>607</v>
      </c>
      <c r="R167" s="663" t="s">
        <v>131</v>
      </c>
      <c r="S167" s="886" t="s">
        <v>214</v>
      </c>
      <c r="T167" s="887"/>
      <c r="U167" s="486"/>
      <c r="V167" s="415"/>
      <c r="W167" s="415"/>
      <c r="X167" s="415"/>
      <c r="Y167" s="415"/>
      <c r="Z167" s="416"/>
    </row>
    <row r="168" spans="1:26" ht="52.5" customHeight="1">
      <c r="A168" s="102"/>
      <c r="B168" s="1014"/>
      <c r="C168" s="760"/>
      <c r="D168" s="761"/>
      <c r="E168" s="761"/>
      <c r="F168" s="762"/>
      <c r="G168" s="763"/>
      <c r="H168" s="763"/>
      <c r="I168" s="764"/>
      <c r="J168" s="765"/>
      <c r="K168" s="660"/>
      <c r="L168" s="1361" t="s">
        <v>261</v>
      </c>
      <c r="M168" s="1354" t="s">
        <v>702</v>
      </c>
      <c r="N168" s="487" t="s">
        <v>703</v>
      </c>
      <c r="O168" s="487" t="s">
        <v>704</v>
      </c>
      <c r="P168" s="885" t="s">
        <v>705</v>
      </c>
      <c r="Q168" s="663" t="s">
        <v>429</v>
      </c>
      <c r="R168" s="663" t="s">
        <v>142</v>
      </c>
      <c r="S168" s="886" t="s">
        <v>214</v>
      </c>
      <c r="T168" s="887"/>
      <c r="U168" s="486"/>
      <c r="V168" s="415"/>
      <c r="W168" s="415"/>
      <c r="X168" s="415"/>
      <c r="Y168" s="415"/>
      <c r="Z168" s="416"/>
    </row>
    <row r="169" spans="1:26" ht="63.75" customHeight="1">
      <c r="A169" s="102"/>
      <c r="B169" s="1014"/>
      <c r="C169" s="760"/>
      <c r="D169" s="761"/>
      <c r="E169" s="761"/>
      <c r="F169" s="762"/>
      <c r="G169" s="763"/>
      <c r="H169" s="763"/>
      <c r="I169" s="764"/>
      <c r="J169" s="765"/>
      <c r="K169" s="660"/>
      <c r="L169" s="1362"/>
      <c r="M169" s="1360"/>
      <c r="N169" s="487" t="s">
        <v>706</v>
      </c>
      <c r="O169" s="487" t="s">
        <v>707</v>
      </c>
      <c r="P169" s="885" t="s">
        <v>688</v>
      </c>
      <c r="Q169" s="663" t="s">
        <v>607</v>
      </c>
      <c r="R169" s="663" t="s">
        <v>131</v>
      </c>
      <c r="S169" s="886" t="s">
        <v>214</v>
      </c>
      <c r="T169" s="887"/>
      <c r="U169" s="486"/>
      <c r="V169" s="415"/>
      <c r="W169" s="415"/>
      <c r="X169" s="415"/>
      <c r="Y169" s="415"/>
      <c r="Z169" s="416"/>
    </row>
    <row r="170" spans="1:26" ht="52.5" customHeight="1">
      <c r="A170" s="102"/>
      <c r="B170" s="1014"/>
      <c r="C170" s="760"/>
      <c r="D170" s="761"/>
      <c r="E170" s="761"/>
      <c r="F170" s="762"/>
      <c r="G170" s="763"/>
      <c r="H170" s="763"/>
      <c r="I170" s="764"/>
      <c r="J170" s="765"/>
      <c r="K170" s="660"/>
      <c r="L170" s="1361" t="s">
        <v>265</v>
      </c>
      <c r="M170" s="487" t="s">
        <v>708</v>
      </c>
      <c r="N170" s="487" t="s">
        <v>709</v>
      </c>
      <c r="O170" s="487" t="s">
        <v>216</v>
      </c>
      <c r="P170" s="885" t="s">
        <v>688</v>
      </c>
      <c r="Q170" s="663" t="s">
        <v>429</v>
      </c>
      <c r="R170" s="663" t="s">
        <v>142</v>
      </c>
      <c r="S170" s="886" t="s">
        <v>214</v>
      </c>
      <c r="T170" s="887"/>
      <c r="U170" s="486"/>
      <c r="V170" s="415"/>
      <c r="W170" s="415"/>
      <c r="X170" s="415"/>
      <c r="Y170" s="415"/>
      <c r="Z170" s="416"/>
    </row>
    <row r="171" spans="1:26" ht="52.5" customHeight="1">
      <c r="A171" s="102"/>
      <c r="B171" s="1014"/>
      <c r="C171" s="760"/>
      <c r="D171" s="761"/>
      <c r="E171" s="761"/>
      <c r="F171" s="762"/>
      <c r="G171" s="763"/>
      <c r="H171" s="763"/>
      <c r="I171" s="764"/>
      <c r="J171" s="765"/>
      <c r="K171" s="660"/>
      <c r="L171" s="1362"/>
      <c r="M171" s="487" t="s">
        <v>710</v>
      </c>
      <c r="N171" s="888" t="s">
        <v>711</v>
      </c>
      <c r="O171" s="487" t="s">
        <v>712</v>
      </c>
      <c r="P171" s="885" t="s">
        <v>700</v>
      </c>
      <c r="Q171" s="663" t="s">
        <v>249</v>
      </c>
      <c r="R171" s="663" t="s">
        <v>140</v>
      </c>
      <c r="S171" s="886" t="s">
        <v>214</v>
      </c>
      <c r="T171" s="887"/>
      <c r="U171" s="486"/>
      <c r="V171" s="415"/>
      <c r="W171" s="415"/>
      <c r="X171" s="415"/>
      <c r="Y171" s="415"/>
      <c r="Z171" s="416"/>
    </row>
    <row r="172" spans="1:26" ht="52.5" customHeight="1">
      <c r="A172" s="102"/>
      <c r="B172" s="1014"/>
      <c r="C172" s="760"/>
      <c r="D172" s="761"/>
      <c r="E172" s="761"/>
      <c r="F172" s="762"/>
      <c r="G172" s="763"/>
      <c r="H172" s="763"/>
      <c r="I172" s="764"/>
      <c r="J172" s="765"/>
      <c r="K172" s="660"/>
      <c r="L172" s="1361" t="s">
        <v>265</v>
      </c>
      <c r="M172" s="1354" t="s">
        <v>713</v>
      </c>
      <c r="N172" s="487" t="s">
        <v>714</v>
      </c>
      <c r="O172" s="487" t="s">
        <v>216</v>
      </c>
      <c r="P172" s="885" t="s">
        <v>685</v>
      </c>
      <c r="Q172" s="663" t="s">
        <v>293</v>
      </c>
      <c r="R172" s="663" t="s">
        <v>136</v>
      </c>
      <c r="S172" s="886" t="s">
        <v>214</v>
      </c>
      <c r="T172" s="887"/>
      <c r="U172" s="486"/>
      <c r="V172" s="415"/>
      <c r="W172" s="415"/>
      <c r="X172" s="415"/>
      <c r="Y172" s="415"/>
      <c r="Z172" s="416"/>
    </row>
    <row r="173" spans="1:26" ht="52.5" customHeight="1">
      <c r="A173" s="102"/>
      <c r="B173" s="1014"/>
      <c r="C173" s="760"/>
      <c r="D173" s="761"/>
      <c r="E173" s="761"/>
      <c r="F173" s="762"/>
      <c r="G173" s="763"/>
      <c r="H173" s="763"/>
      <c r="I173" s="764"/>
      <c r="J173" s="765"/>
      <c r="K173" s="660"/>
      <c r="L173" s="1362"/>
      <c r="M173" s="1360"/>
      <c r="N173" s="487" t="s">
        <v>715</v>
      </c>
      <c r="O173" s="487" t="s">
        <v>216</v>
      </c>
      <c r="P173" s="788" t="s">
        <v>698</v>
      </c>
      <c r="Q173" s="663" t="s">
        <v>607</v>
      </c>
      <c r="R173" s="663" t="s">
        <v>131</v>
      </c>
      <c r="S173" s="886" t="s">
        <v>214</v>
      </c>
      <c r="T173" s="887"/>
      <c r="U173" s="486"/>
      <c r="V173" s="415"/>
      <c r="W173" s="415"/>
      <c r="X173" s="415"/>
      <c r="Y173" s="415"/>
      <c r="Z173" s="416"/>
    </row>
    <row r="174" spans="1:26" ht="52.5" customHeight="1" thickBot="1">
      <c r="A174" s="102"/>
      <c r="B174" s="1017"/>
      <c r="C174" s="778"/>
      <c r="D174" s="779"/>
      <c r="E174" s="779"/>
      <c r="F174" s="780"/>
      <c r="G174" s="781"/>
      <c r="H174" s="781"/>
      <c r="I174" s="782"/>
      <c r="J174" s="783"/>
      <c r="K174" s="660"/>
      <c r="L174" s="835" t="s">
        <v>265</v>
      </c>
      <c r="M174" s="681" t="s">
        <v>716</v>
      </c>
      <c r="N174" s="681" t="s">
        <v>717</v>
      </c>
      <c r="O174" s="681" t="s">
        <v>216</v>
      </c>
      <c r="P174" s="797" t="s">
        <v>530</v>
      </c>
      <c r="Q174" s="693" t="s">
        <v>249</v>
      </c>
      <c r="R174" s="673" t="s">
        <v>140</v>
      </c>
      <c r="S174" s="889" t="s">
        <v>214</v>
      </c>
      <c r="T174" s="890"/>
      <c r="U174" s="486"/>
      <c r="V174" s="415"/>
      <c r="W174" s="415"/>
      <c r="X174" s="415"/>
      <c r="Y174" s="415"/>
      <c r="Z174" s="416"/>
    </row>
    <row r="175" spans="1:26" ht="52.5" customHeight="1">
      <c r="A175" s="102"/>
      <c r="B175" s="1010">
        <v>31</v>
      </c>
      <c r="C175" s="736" t="s">
        <v>5</v>
      </c>
      <c r="D175" s="737" t="s">
        <v>718</v>
      </c>
      <c r="E175" s="737" t="s">
        <v>64</v>
      </c>
      <c r="F175" s="738" t="s">
        <v>719</v>
      </c>
      <c r="G175" s="739" t="s">
        <v>720</v>
      </c>
      <c r="H175" s="739" t="s">
        <v>149</v>
      </c>
      <c r="I175" s="733" t="s">
        <v>721</v>
      </c>
      <c r="J175" s="740"/>
      <c r="K175" s="1391" t="s">
        <v>722</v>
      </c>
      <c r="L175" s="1398" t="s">
        <v>209</v>
      </c>
      <c r="M175" s="1402" t="s">
        <v>723</v>
      </c>
      <c r="N175" s="717" t="s">
        <v>724</v>
      </c>
      <c r="O175" s="717" t="s">
        <v>216</v>
      </c>
      <c r="P175" s="674" t="s">
        <v>725</v>
      </c>
      <c r="Q175" s="671" t="s">
        <v>375</v>
      </c>
      <c r="R175" s="671" t="s">
        <v>131</v>
      </c>
      <c r="S175" s="891" t="s">
        <v>214</v>
      </c>
      <c r="T175" s="892" t="s">
        <v>58</v>
      </c>
      <c r="U175" s="485"/>
      <c r="V175" s="475"/>
      <c r="W175" s="475"/>
      <c r="X175" s="475"/>
      <c r="Y175" s="475"/>
      <c r="Z175" s="416"/>
    </row>
    <row r="176" spans="1:26" ht="52.5" customHeight="1">
      <c r="A176" s="102"/>
      <c r="B176" s="1011"/>
      <c r="C176" s="741"/>
      <c r="D176" s="742"/>
      <c r="E176" s="742"/>
      <c r="F176" s="893"/>
      <c r="G176" s="744"/>
      <c r="H176" s="744"/>
      <c r="I176" s="745"/>
      <c r="J176" s="746"/>
      <c r="K176" s="1392"/>
      <c r="L176" s="1384"/>
      <c r="M176" s="1381"/>
      <c r="N176" s="722" t="s">
        <v>726</v>
      </c>
      <c r="O176" s="722" t="s">
        <v>216</v>
      </c>
      <c r="P176" s="810" t="s">
        <v>727</v>
      </c>
      <c r="Q176" s="672" t="s">
        <v>375</v>
      </c>
      <c r="R176" s="672" t="s">
        <v>131</v>
      </c>
      <c r="S176" s="894" t="s">
        <v>214</v>
      </c>
      <c r="T176" s="895"/>
      <c r="U176" s="485"/>
      <c r="V176" s="475"/>
      <c r="W176" s="475"/>
      <c r="X176" s="475"/>
      <c r="Y176" s="475"/>
      <c r="Z176" s="416"/>
    </row>
    <row r="177" spans="1:27" ht="52.5" customHeight="1">
      <c r="A177" s="102"/>
      <c r="B177" s="1011"/>
      <c r="C177" s="741"/>
      <c r="D177" s="742"/>
      <c r="E177" s="742"/>
      <c r="F177" s="893"/>
      <c r="G177" s="744"/>
      <c r="H177" s="744"/>
      <c r="I177" s="745"/>
      <c r="J177" s="746"/>
      <c r="K177" s="1392"/>
      <c r="L177" s="1382" t="s">
        <v>209</v>
      </c>
      <c r="M177" s="1397" t="s">
        <v>728</v>
      </c>
      <c r="N177" s="722" t="s">
        <v>729</v>
      </c>
      <c r="O177" s="722" t="s">
        <v>216</v>
      </c>
      <c r="P177" s="810" t="s">
        <v>727</v>
      </c>
      <c r="Q177" s="672" t="s">
        <v>549</v>
      </c>
      <c r="R177" s="672" t="s">
        <v>136</v>
      </c>
      <c r="S177" s="894" t="s">
        <v>214</v>
      </c>
      <c r="T177" s="895"/>
      <c r="U177" s="485"/>
      <c r="V177" s="475"/>
      <c r="W177" s="475"/>
      <c r="X177" s="475"/>
      <c r="Y177" s="475"/>
      <c r="Z177" s="416"/>
    </row>
    <row r="178" spans="1:27" ht="52.5" customHeight="1" thickBot="1">
      <c r="A178" s="102"/>
      <c r="B178" s="1012"/>
      <c r="C178" s="747"/>
      <c r="D178" s="748"/>
      <c r="E178" s="748"/>
      <c r="F178" s="896"/>
      <c r="G178" s="750"/>
      <c r="H178" s="750"/>
      <c r="I178" s="751"/>
      <c r="J178" s="752"/>
      <c r="K178" s="1393"/>
      <c r="L178" s="1399"/>
      <c r="M178" s="1403"/>
      <c r="N178" s="732" t="s">
        <v>594</v>
      </c>
      <c r="O178" s="732" t="s">
        <v>216</v>
      </c>
      <c r="P178" s="816" t="s">
        <v>730</v>
      </c>
      <c r="Q178" s="676" t="s">
        <v>375</v>
      </c>
      <c r="R178" s="676" t="s">
        <v>131</v>
      </c>
      <c r="S178" s="667" t="s">
        <v>214</v>
      </c>
      <c r="T178" s="897"/>
      <c r="U178" s="485"/>
      <c r="V178" s="475"/>
      <c r="W178" s="475"/>
      <c r="X178" s="475"/>
      <c r="Y178" s="475"/>
      <c r="Z178" s="416"/>
    </row>
    <row r="179" spans="1:27" ht="113.45" customHeight="1">
      <c r="A179" s="102"/>
      <c r="B179" s="1018">
        <v>32</v>
      </c>
      <c r="C179" s="898" t="s">
        <v>5</v>
      </c>
      <c r="D179" s="899" t="s">
        <v>731</v>
      </c>
      <c r="E179" s="899" t="s">
        <v>64</v>
      </c>
      <c r="F179" s="900" t="s">
        <v>732</v>
      </c>
      <c r="G179" s="901" t="s">
        <v>733</v>
      </c>
      <c r="H179" s="901" t="s">
        <v>147</v>
      </c>
      <c r="I179" s="902" t="s">
        <v>734</v>
      </c>
      <c r="J179" s="903"/>
      <c r="K179" s="1392" t="s">
        <v>735</v>
      </c>
      <c r="L179" s="1383" t="s">
        <v>265</v>
      </c>
      <c r="M179" s="1380" t="s">
        <v>736</v>
      </c>
      <c r="N179" s="904" t="s">
        <v>737</v>
      </c>
      <c r="O179" s="904" t="s">
        <v>216</v>
      </c>
      <c r="P179" s="905" t="s">
        <v>738</v>
      </c>
      <c r="Q179" s="121" t="s">
        <v>739</v>
      </c>
      <c r="R179" s="121" t="s">
        <v>138</v>
      </c>
      <c r="S179" s="894" t="s">
        <v>214</v>
      </c>
      <c r="T179" s="906" t="s">
        <v>57</v>
      </c>
      <c r="U179" s="485" t="s">
        <v>740</v>
      </c>
      <c r="V179" s="475"/>
      <c r="W179" s="475"/>
      <c r="X179" s="475"/>
      <c r="Y179" s="475"/>
      <c r="Z179" s="416"/>
    </row>
    <row r="180" spans="1:27" ht="52.5" customHeight="1">
      <c r="A180" s="102"/>
      <c r="B180" s="1011"/>
      <c r="C180" s="741"/>
      <c r="D180" s="742"/>
      <c r="E180" s="742"/>
      <c r="F180" s="743"/>
      <c r="G180" s="744"/>
      <c r="H180" s="907"/>
      <c r="I180" s="745"/>
      <c r="J180" s="746"/>
      <c r="K180" s="1392"/>
      <c r="L180" s="1383"/>
      <c r="M180" s="1380"/>
      <c r="N180" s="908" t="s">
        <v>594</v>
      </c>
      <c r="O180" s="722" t="s">
        <v>216</v>
      </c>
      <c r="P180" s="810" t="s">
        <v>741</v>
      </c>
      <c r="Q180" s="672" t="s">
        <v>375</v>
      </c>
      <c r="R180" s="672" t="s">
        <v>131</v>
      </c>
      <c r="S180" s="909" t="s">
        <v>214</v>
      </c>
      <c r="T180" s="910"/>
      <c r="U180" s="485"/>
      <c r="V180" s="475"/>
      <c r="W180" s="475"/>
      <c r="X180" s="475"/>
      <c r="Y180" s="475"/>
      <c r="Z180" s="416"/>
    </row>
    <row r="181" spans="1:27" ht="52.5" customHeight="1">
      <c r="A181" s="102"/>
      <c r="B181" s="1019"/>
      <c r="C181" s="911"/>
      <c r="D181" s="912"/>
      <c r="E181" s="912"/>
      <c r="F181" s="913"/>
      <c r="G181" s="914"/>
      <c r="H181" s="914"/>
      <c r="I181" s="915"/>
      <c r="J181" s="916"/>
      <c r="K181" s="1392"/>
      <c r="L181" s="1384"/>
      <c r="M181" s="1381"/>
      <c r="N181" s="727" t="s">
        <v>742</v>
      </c>
      <c r="O181" s="727" t="s">
        <v>216</v>
      </c>
      <c r="P181" s="843" t="s">
        <v>738</v>
      </c>
      <c r="Q181" s="673" t="s">
        <v>549</v>
      </c>
      <c r="R181" s="673" t="s">
        <v>136</v>
      </c>
      <c r="S181" s="909" t="s">
        <v>214</v>
      </c>
      <c r="T181" s="910"/>
      <c r="U181" s="485"/>
      <c r="V181" s="475"/>
      <c r="W181" s="475"/>
      <c r="X181" s="475"/>
      <c r="Y181" s="475"/>
      <c r="Z181" s="416"/>
    </row>
    <row r="182" spans="1:27" ht="52.5" customHeight="1" thickBot="1">
      <c r="A182" s="102"/>
      <c r="B182" s="1012"/>
      <c r="C182" s="747"/>
      <c r="D182" s="748"/>
      <c r="E182" s="748"/>
      <c r="F182" s="749"/>
      <c r="G182" s="750"/>
      <c r="H182" s="750"/>
      <c r="I182" s="751"/>
      <c r="J182" s="752"/>
      <c r="K182" s="1393"/>
      <c r="L182" s="878" t="s">
        <v>265</v>
      </c>
      <c r="M182" s="732" t="s">
        <v>743</v>
      </c>
      <c r="N182" s="732" t="s">
        <v>744</v>
      </c>
      <c r="O182" s="732" t="s">
        <v>216</v>
      </c>
      <c r="P182" s="816" t="s">
        <v>738</v>
      </c>
      <c r="Q182" s="676" t="s">
        <v>739</v>
      </c>
      <c r="R182" s="676" t="s">
        <v>138</v>
      </c>
      <c r="S182" s="917" t="s">
        <v>214</v>
      </c>
      <c r="T182" s="918"/>
      <c r="U182" s="485"/>
      <c r="V182" s="475"/>
      <c r="W182" s="475"/>
      <c r="X182" s="475"/>
      <c r="Y182" s="475"/>
      <c r="Z182" s="416"/>
    </row>
    <row r="183" spans="1:27" ht="52.5" customHeight="1">
      <c r="A183" s="102"/>
      <c r="B183" s="1020">
        <v>33</v>
      </c>
      <c r="C183" s="919" t="s">
        <v>5</v>
      </c>
      <c r="D183" s="920" t="s">
        <v>745</v>
      </c>
      <c r="E183" s="920" t="s">
        <v>64</v>
      </c>
      <c r="F183" s="921" t="s">
        <v>668</v>
      </c>
      <c r="G183" s="922" t="s">
        <v>746</v>
      </c>
      <c r="H183" s="922" t="s">
        <v>149</v>
      </c>
      <c r="I183" s="923" t="s">
        <v>747</v>
      </c>
      <c r="J183" s="924"/>
      <c r="K183" s="1391" t="s">
        <v>748</v>
      </c>
      <c r="L183" s="925" t="s">
        <v>261</v>
      </c>
      <c r="M183" s="857" t="s">
        <v>749</v>
      </c>
      <c r="N183" s="857" t="s">
        <v>750</v>
      </c>
      <c r="O183" s="857" t="s">
        <v>216</v>
      </c>
      <c r="P183" s="926" t="s">
        <v>751</v>
      </c>
      <c r="Q183" s="666" t="s">
        <v>375</v>
      </c>
      <c r="R183" s="666" t="s">
        <v>131</v>
      </c>
      <c r="S183" s="927" t="s">
        <v>214</v>
      </c>
      <c r="T183" s="928" t="s">
        <v>57</v>
      </c>
      <c r="U183" s="485" t="s">
        <v>740</v>
      </c>
      <c r="V183" s="475"/>
      <c r="W183" s="475"/>
      <c r="X183" s="475"/>
      <c r="Y183" s="475"/>
      <c r="Z183" s="416"/>
    </row>
    <row r="184" spans="1:27" ht="52.5" customHeight="1">
      <c r="A184" s="102"/>
      <c r="B184" s="1011"/>
      <c r="C184" s="741"/>
      <c r="D184" s="742"/>
      <c r="E184" s="742"/>
      <c r="F184" s="743"/>
      <c r="G184" s="929"/>
      <c r="H184" s="744"/>
      <c r="I184" s="745"/>
      <c r="J184" s="746"/>
      <c r="K184" s="1392"/>
      <c r="L184" s="1382" t="s">
        <v>265</v>
      </c>
      <c r="M184" s="1397" t="s">
        <v>752</v>
      </c>
      <c r="N184" s="722" t="s">
        <v>753</v>
      </c>
      <c r="O184" s="722" t="s">
        <v>216</v>
      </c>
      <c r="P184" s="810" t="s">
        <v>738</v>
      </c>
      <c r="Q184" s="672" t="s">
        <v>375</v>
      </c>
      <c r="R184" s="672" t="s">
        <v>131</v>
      </c>
      <c r="S184" s="909" t="s">
        <v>214</v>
      </c>
      <c r="T184" s="910"/>
      <c r="U184" s="485"/>
      <c r="V184" s="475"/>
      <c r="W184" s="475"/>
      <c r="X184" s="475"/>
      <c r="Y184" s="475"/>
      <c r="Z184" s="416"/>
    </row>
    <row r="185" spans="1:27" ht="52.5" customHeight="1">
      <c r="A185" s="102"/>
      <c r="B185" s="1011"/>
      <c r="C185" s="741"/>
      <c r="D185" s="742"/>
      <c r="E185" s="742"/>
      <c r="F185" s="743"/>
      <c r="G185" s="744"/>
      <c r="H185" s="744"/>
      <c r="I185" s="745"/>
      <c r="J185" s="746"/>
      <c r="K185" s="1392"/>
      <c r="L185" s="1383"/>
      <c r="M185" s="1380"/>
      <c r="N185" s="722" t="s">
        <v>754</v>
      </c>
      <c r="O185" s="722" t="s">
        <v>216</v>
      </c>
      <c r="P185" s="810" t="s">
        <v>755</v>
      </c>
      <c r="Q185" s="672" t="s">
        <v>375</v>
      </c>
      <c r="R185" s="672" t="s">
        <v>131</v>
      </c>
      <c r="S185" s="909" t="s">
        <v>214</v>
      </c>
      <c r="T185" s="910"/>
      <c r="U185" s="485"/>
      <c r="V185" s="475"/>
      <c r="W185" s="475"/>
      <c r="X185" s="475"/>
      <c r="Y185" s="475"/>
      <c r="Z185" s="416"/>
    </row>
    <row r="186" spans="1:27" ht="52.5" customHeight="1">
      <c r="A186" s="102"/>
      <c r="B186" s="1011"/>
      <c r="C186" s="741"/>
      <c r="D186" s="742"/>
      <c r="E186" s="742"/>
      <c r="F186" s="743"/>
      <c r="G186" s="744"/>
      <c r="H186" s="744"/>
      <c r="I186" s="745"/>
      <c r="J186" s="746"/>
      <c r="K186" s="1392"/>
      <c r="L186" s="1384"/>
      <c r="M186" s="1381"/>
      <c r="N186" s="722" t="s">
        <v>756</v>
      </c>
      <c r="O186" s="722" t="s">
        <v>216</v>
      </c>
      <c r="P186" s="810" t="s">
        <v>741</v>
      </c>
      <c r="Q186" s="672" t="s">
        <v>375</v>
      </c>
      <c r="R186" s="672" t="s">
        <v>131</v>
      </c>
      <c r="S186" s="909" t="s">
        <v>214</v>
      </c>
      <c r="T186" s="910"/>
      <c r="U186" s="485"/>
      <c r="V186" s="475"/>
      <c r="W186" s="475"/>
      <c r="X186" s="475"/>
      <c r="Y186" s="475"/>
      <c r="Z186" s="416"/>
    </row>
    <row r="187" spans="1:27" ht="52.5" customHeight="1">
      <c r="A187" s="102"/>
      <c r="B187" s="1011"/>
      <c r="C187" s="741"/>
      <c r="D187" s="742"/>
      <c r="E187" s="742"/>
      <c r="F187" s="743"/>
      <c r="G187" s="744"/>
      <c r="H187" s="744"/>
      <c r="I187" s="745"/>
      <c r="J187" s="746"/>
      <c r="K187" s="1392"/>
      <c r="L187" s="861" t="s">
        <v>261</v>
      </c>
      <c r="M187" s="722" t="s">
        <v>757</v>
      </c>
      <c r="N187" s="722" t="s">
        <v>758</v>
      </c>
      <c r="O187" s="722" t="s">
        <v>216</v>
      </c>
      <c r="P187" s="810" t="s">
        <v>751</v>
      </c>
      <c r="Q187" s="672" t="s">
        <v>375</v>
      </c>
      <c r="R187" s="672" t="s">
        <v>131</v>
      </c>
      <c r="S187" s="909" t="s">
        <v>214</v>
      </c>
      <c r="T187" s="910"/>
      <c r="U187" s="485"/>
      <c r="V187" s="475"/>
      <c r="W187" s="475"/>
      <c r="X187" s="475"/>
      <c r="Y187" s="475"/>
      <c r="Z187" s="416"/>
    </row>
    <row r="188" spans="1:27" ht="52.5" customHeight="1">
      <c r="A188" s="102"/>
      <c r="B188" s="1011"/>
      <c r="C188" s="741"/>
      <c r="D188" s="742"/>
      <c r="E188" s="742"/>
      <c r="F188" s="743"/>
      <c r="G188" s="744"/>
      <c r="H188" s="744"/>
      <c r="I188" s="745"/>
      <c r="J188" s="746"/>
      <c r="K188" s="1392"/>
      <c r="L188" s="1382" t="s">
        <v>227</v>
      </c>
      <c r="M188" s="1397" t="s">
        <v>759</v>
      </c>
      <c r="N188" s="722" t="s">
        <v>760</v>
      </c>
      <c r="O188" s="722" t="s">
        <v>216</v>
      </c>
      <c r="P188" s="719" t="s">
        <v>688</v>
      </c>
      <c r="Q188" s="672" t="s">
        <v>761</v>
      </c>
      <c r="R188" s="672" t="s">
        <v>143</v>
      </c>
      <c r="S188" s="909" t="s">
        <v>214</v>
      </c>
      <c r="T188" s="910"/>
      <c r="U188" s="485"/>
      <c r="V188" s="475"/>
      <c r="W188" s="475"/>
      <c r="X188" s="475"/>
      <c r="Y188" s="475"/>
      <c r="Z188" s="416"/>
    </row>
    <row r="189" spans="1:27" ht="52.5" customHeight="1">
      <c r="A189" s="102"/>
      <c r="B189" s="1011"/>
      <c r="C189" s="741"/>
      <c r="D189" s="742"/>
      <c r="E189" s="742"/>
      <c r="F189" s="743"/>
      <c r="G189" s="744"/>
      <c r="H189" s="744"/>
      <c r="I189" s="745"/>
      <c r="J189" s="746"/>
      <c r="K189" s="1392"/>
      <c r="L189" s="1384"/>
      <c r="M189" s="1381"/>
      <c r="N189" s="722" t="s">
        <v>762</v>
      </c>
      <c r="O189" s="722" t="s">
        <v>216</v>
      </c>
      <c r="P189" s="719" t="s">
        <v>688</v>
      </c>
      <c r="Q189" s="672" t="s">
        <v>429</v>
      </c>
      <c r="R189" s="672" t="s">
        <v>142</v>
      </c>
      <c r="S189" s="909" t="s">
        <v>214</v>
      </c>
      <c r="T189" s="910"/>
      <c r="U189" s="485"/>
      <c r="V189" s="475"/>
      <c r="W189" s="475"/>
      <c r="X189" s="475"/>
      <c r="Y189" s="475"/>
      <c r="Z189" s="416"/>
    </row>
    <row r="190" spans="1:27" ht="52.5" customHeight="1">
      <c r="A190" s="102"/>
      <c r="B190" s="1011"/>
      <c r="C190" s="741"/>
      <c r="D190" s="742"/>
      <c r="E190" s="742"/>
      <c r="F190" s="743"/>
      <c r="G190" s="744"/>
      <c r="H190" s="744"/>
      <c r="I190" s="745"/>
      <c r="J190" s="746"/>
      <c r="K190" s="1392"/>
      <c r="L190" s="861" t="s">
        <v>227</v>
      </c>
      <c r="M190" s="722" t="s">
        <v>763</v>
      </c>
      <c r="N190" s="722" t="s">
        <v>764</v>
      </c>
      <c r="O190" s="722" t="s">
        <v>216</v>
      </c>
      <c r="P190" s="719" t="s">
        <v>765</v>
      </c>
      <c r="Q190" s="672" t="s">
        <v>375</v>
      </c>
      <c r="R190" s="672" t="s">
        <v>131</v>
      </c>
      <c r="S190" s="909" t="s">
        <v>214</v>
      </c>
      <c r="T190" s="910"/>
      <c r="U190" s="485"/>
      <c r="V190" s="475"/>
      <c r="W190" s="475"/>
      <c r="X190" s="475"/>
      <c r="Y190" s="475"/>
      <c r="Z190" s="416"/>
    </row>
    <row r="191" spans="1:27" ht="52.5" customHeight="1">
      <c r="A191" s="102"/>
      <c r="B191" s="1019"/>
      <c r="C191" s="911"/>
      <c r="D191" s="912"/>
      <c r="E191" s="912"/>
      <c r="F191" s="913"/>
      <c r="G191" s="914"/>
      <c r="H191" s="914"/>
      <c r="I191" s="915"/>
      <c r="J191" s="916"/>
      <c r="K191" s="1392"/>
      <c r="L191" s="1382" t="s">
        <v>209</v>
      </c>
      <c r="M191" s="1397" t="s">
        <v>766</v>
      </c>
      <c r="N191" s="727" t="s">
        <v>758</v>
      </c>
      <c r="O191" s="727" t="s">
        <v>216</v>
      </c>
      <c r="P191" s="724" t="s">
        <v>688</v>
      </c>
      <c r="Q191" s="673" t="s">
        <v>494</v>
      </c>
      <c r="R191" s="673" t="s">
        <v>140</v>
      </c>
      <c r="S191" s="909" t="s">
        <v>214</v>
      </c>
      <c r="T191" s="910"/>
      <c r="U191" s="485"/>
      <c r="V191" s="475"/>
      <c r="W191" s="475"/>
      <c r="X191" s="475"/>
      <c r="Y191" s="475"/>
      <c r="Z191" s="416"/>
    </row>
    <row r="192" spans="1:27" ht="52.5" customHeight="1" thickBot="1">
      <c r="A192" s="102"/>
      <c r="B192" s="1019"/>
      <c r="C192" s="911"/>
      <c r="D192" s="912"/>
      <c r="E192" s="912"/>
      <c r="F192" s="913"/>
      <c r="G192" s="914"/>
      <c r="H192" s="914"/>
      <c r="I192" s="915"/>
      <c r="J192" s="916"/>
      <c r="K192" s="1392"/>
      <c r="L192" s="1383"/>
      <c r="M192" s="1380"/>
      <c r="N192" s="727" t="s">
        <v>767</v>
      </c>
      <c r="O192" s="727" t="s">
        <v>216</v>
      </c>
      <c r="P192" s="724" t="s">
        <v>688</v>
      </c>
      <c r="Q192" s="673" t="s">
        <v>429</v>
      </c>
      <c r="R192" s="673" t="s">
        <v>142</v>
      </c>
      <c r="S192" s="930" t="s">
        <v>214</v>
      </c>
      <c r="T192" s="931"/>
      <c r="U192" s="485"/>
      <c r="V192" s="475"/>
      <c r="W192" s="475"/>
      <c r="X192" s="475"/>
      <c r="Y192" s="475"/>
      <c r="Z192" s="416"/>
      <c r="AA192" s="62" t="s">
        <v>768</v>
      </c>
    </row>
    <row r="193" spans="1:26" ht="52.5" customHeight="1">
      <c r="A193" s="102"/>
      <c r="B193" s="1010">
        <v>34</v>
      </c>
      <c r="C193" s="736" t="s">
        <v>769</v>
      </c>
      <c r="D193" s="662" t="s">
        <v>770</v>
      </c>
      <c r="E193" s="662" t="s">
        <v>67</v>
      </c>
      <c r="F193" s="784" t="s">
        <v>771</v>
      </c>
      <c r="G193" s="785" t="s">
        <v>772</v>
      </c>
      <c r="H193" s="785" t="s">
        <v>149</v>
      </c>
      <c r="I193" s="786" t="s">
        <v>773</v>
      </c>
      <c r="J193" s="787"/>
      <c r="K193" s="1356" t="s">
        <v>774</v>
      </c>
      <c r="L193" s="830" t="s">
        <v>209</v>
      </c>
      <c r="M193" s="787" t="s">
        <v>775</v>
      </c>
      <c r="N193" s="787" t="s">
        <v>776</v>
      </c>
      <c r="O193" s="787" t="s">
        <v>216</v>
      </c>
      <c r="P193" s="932" t="s">
        <v>688</v>
      </c>
      <c r="Q193" s="662" t="s">
        <v>375</v>
      </c>
      <c r="R193" s="662" t="s">
        <v>131</v>
      </c>
      <c r="S193" s="662" t="s">
        <v>214</v>
      </c>
      <c r="T193" s="892" t="s">
        <v>57</v>
      </c>
      <c r="U193" s="486"/>
      <c r="V193" s="415"/>
      <c r="W193" s="415"/>
      <c r="X193" s="415"/>
      <c r="Y193" s="415"/>
      <c r="Z193" s="416"/>
    </row>
    <row r="194" spans="1:26" ht="52.5" customHeight="1">
      <c r="A194" s="102"/>
      <c r="B194" s="1011"/>
      <c r="C194" s="741"/>
      <c r="D194" s="663"/>
      <c r="E194" s="663"/>
      <c r="F194" s="788"/>
      <c r="G194" s="789"/>
      <c r="H194" s="789"/>
      <c r="I194" s="531"/>
      <c r="J194" s="487"/>
      <c r="K194" s="1357"/>
      <c r="L194" s="824" t="s">
        <v>227</v>
      </c>
      <c r="M194" s="487" t="s">
        <v>777</v>
      </c>
      <c r="N194" s="487" t="s">
        <v>778</v>
      </c>
      <c r="O194" s="487" t="s">
        <v>216</v>
      </c>
      <c r="P194" s="885" t="s">
        <v>688</v>
      </c>
      <c r="Q194" s="663" t="s">
        <v>779</v>
      </c>
      <c r="R194" s="663" t="s">
        <v>138</v>
      </c>
      <c r="S194" s="663" t="s">
        <v>214</v>
      </c>
      <c r="T194" s="895"/>
      <c r="U194" s="486"/>
      <c r="V194" s="415"/>
      <c r="W194" s="415"/>
      <c r="X194" s="415"/>
      <c r="Y194" s="415"/>
      <c r="Z194" s="416"/>
    </row>
    <row r="195" spans="1:26" ht="52.5" customHeight="1">
      <c r="A195" s="102"/>
      <c r="B195" s="1011"/>
      <c r="C195" s="741"/>
      <c r="D195" s="663"/>
      <c r="E195" s="663"/>
      <c r="F195" s="788"/>
      <c r="G195" s="789"/>
      <c r="H195" s="789"/>
      <c r="I195" s="531"/>
      <c r="J195" s="487"/>
      <c r="K195" s="1357"/>
      <c r="L195" s="824" t="s">
        <v>227</v>
      </c>
      <c r="M195" s="487" t="s">
        <v>780</v>
      </c>
      <c r="N195" s="487" t="s">
        <v>781</v>
      </c>
      <c r="O195" s="487" t="s">
        <v>216</v>
      </c>
      <c r="P195" s="885" t="s">
        <v>688</v>
      </c>
      <c r="Q195" s="663" t="s">
        <v>375</v>
      </c>
      <c r="R195" s="663" t="s">
        <v>131</v>
      </c>
      <c r="S195" s="663" t="s">
        <v>214</v>
      </c>
      <c r="T195" s="895"/>
      <c r="U195" s="486"/>
      <c r="V195" s="415"/>
      <c r="W195" s="415"/>
      <c r="X195" s="415"/>
      <c r="Y195" s="415"/>
      <c r="Z195" s="416"/>
    </row>
    <row r="196" spans="1:26" ht="52.5" customHeight="1">
      <c r="A196" s="102"/>
      <c r="B196" s="1011"/>
      <c r="C196" s="741"/>
      <c r="D196" s="663"/>
      <c r="E196" s="663"/>
      <c r="F196" s="788"/>
      <c r="G196" s="789"/>
      <c r="H196" s="789"/>
      <c r="I196" s="531"/>
      <c r="J196" s="487"/>
      <c r="K196" s="1357"/>
      <c r="L196" s="1375" t="s">
        <v>261</v>
      </c>
      <c r="M196" s="1374" t="s">
        <v>782</v>
      </c>
      <c r="N196" s="487" t="s">
        <v>783</v>
      </c>
      <c r="O196" s="487" t="s">
        <v>216</v>
      </c>
      <c r="P196" s="885" t="s">
        <v>700</v>
      </c>
      <c r="Q196" s="663" t="s">
        <v>784</v>
      </c>
      <c r="R196" s="663" t="s">
        <v>136</v>
      </c>
      <c r="S196" s="663" t="s">
        <v>214</v>
      </c>
      <c r="T196" s="895"/>
      <c r="U196" s="486"/>
      <c r="V196" s="415"/>
      <c r="W196" s="415"/>
      <c r="X196" s="415"/>
      <c r="Y196" s="415"/>
      <c r="Z196" s="416"/>
    </row>
    <row r="197" spans="1:26" ht="52.5" customHeight="1">
      <c r="A197" s="102"/>
      <c r="B197" s="1011"/>
      <c r="C197" s="741"/>
      <c r="D197" s="663"/>
      <c r="E197" s="663"/>
      <c r="F197" s="788"/>
      <c r="G197" s="789"/>
      <c r="H197" s="789"/>
      <c r="I197" s="531"/>
      <c r="J197" s="487"/>
      <c r="K197" s="1357"/>
      <c r="L197" s="1375"/>
      <c r="M197" s="1374"/>
      <c r="N197" s="487" t="s">
        <v>785</v>
      </c>
      <c r="O197" s="487" t="s">
        <v>216</v>
      </c>
      <c r="P197" s="885" t="s">
        <v>786</v>
      </c>
      <c r="Q197" s="663" t="s">
        <v>375</v>
      </c>
      <c r="R197" s="663" t="s">
        <v>131</v>
      </c>
      <c r="S197" s="663" t="s">
        <v>214</v>
      </c>
      <c r="T197" s="895"/>
      <c r="U197" s="486"/>
      <c r="V197" s="415"/>
      <c r="W197" s="415"/>
      <c r="X197" s="415"/>
      <c r="Y197" s="415"/>
      <c r="Z197" s="416"/>
    </row>
    <row r="198" spans="1:26" ht="74.45" customHeight="1">
      <c r="A198" s="102"/>
      <c r="B198" s="1011"/>
      <c r="C198" s="741"/>
      <c r="D198" s="663"/>
      <c r="E198" s="663"/>
      <c r="F198" s="788"/>
      <c r="G198" s="789"/>
      <c r="H198" s="789"/>
      <c r="I198" s="531"/>
      <c r="J198" s="487"/>
      <c r="K198" s="1357"/>
      <c r="L198" s="1375"/>
      <c r="M198" s="1374"/>
      <c r="N198" s="487" t="s">
        <v>787</v>
      </c>
      <c r="O198" s="487" t="s">
        <v>216</v>
      </c>
      <c r="P198" s="885" t="s">
        <v>788</v>
      </c>
      <c r="Q198" s="663" t="s">
        <v>784</v>
      </c>
      <c r="R198" s="663" t="s">
        <v>136</v>
      </c>
      <c r="S198" s="663" t="s">
        <v>214</v>
      </c>
      <c r="T198" s="895"/>
      <c r="U198" s="486"/>
      <c r="V198" s="415"/>
      <c r="W198" s="415"/>
      <c r="X198" s="415"/>
      <c r="Y198" s="415"/>
      <c r="Z198" s="416"/>
    </row>
    <row r="199" spans="1:26" ht="52.5" customHeight="1">
      <c r="A199" s="102"/>
      <c r="B199" s="1011"/>
      <c r="C199" s="741"/>
      <c r="D199" s="663"/>
      <c r="E199" s="663"/>
      <c r="F199" s="788"/>
      <c r="G199" s="789"/>
      <c r="H199" s="789"/>
      <c r="I199" s="531"/>
      <c r="J199" s="487"/>
      <c r="K199" s="1357"/>
      <c r="L199" s="824" t="s">
        <v>265</v>
      </c>
      <c r="M199" s="487" t="s">
        <v>789</v>
      </c>
      <c r="N199" s="487" t="s">
        <v>790</v>
      </c>
      <c r="O199" s="487" t="s">
        <v>216</v>
      </c>
      <c r="P199" s="885" t="s">
        <v>788</v>
      </c>
      <c r="Q199" s="663" t="s">
        <v>779</v>
      </c>
      <c r="R199" s="663" t="s">
        <v>138</v>
      </c>
      <c r="S199" s="663" t="s">
        <v>214</v>
      </c>
      <c r="T199" s="895"/>
      <c r="U199" s="486"/>
      <c r="V199" s="415"/>
      <c r="W199" s="415"/>
      <c r="X199" s="415"/>
      <c r="Y199" s="415"/>
      <c r="Z199" s="416"/>
    </row>
    <row r="200" spans="1:26" ht="69.95" customHeight="1">
      <c r="A200" s="102"/>
      <c r="B200" s="1011"/>
      <c r="C200" s="741"/>
      <c r="D200" s="663"/>
      <c r="E200" s="663"/>
      <c r="F200" s="788"/>
      <c r="G200" s="789"/>
      <c r="H200" s="789"/>
      <c r="I200" s="531"/>
      <c r="J200" s="487"/>
      <c r="K200" s="1357"/>
      <c r="L200" s="824" t="s">
        <v>265</v>
      </c>
      <c r="M200" s="487" t="s">
        <v>791</v>
      </c>
      <c r="N200" s="487" t="s">
        <v>792</v>
      </c>
      <c r="O200" s="487" t="s">
        <v>216</v>
      </c>
      <c r="P200" s="885" t="s">
        <v>700</v>
      </c>
      <c r="Q200" s="663" t="s">
        <v>375</v>
      </c>
      <c r="R200" s="663" t="s">
        <v>131</v>
      </c>
      <c r="S200" s="663" t="s">
        <v>214</v>
      </c>
      <c r="T200" s="895"/>
      <c r="U200" s="486"/>
      <c r="V200" s="415"/>
      <c r="W200" s="415"/>
      <c r="X200" s="415"/>
      <c r="Y200" s="415"/>
      <c r="Z200" s="416"/>
    </row>
    <row r="201" spans="1:26" ht="70.5" customHeight="1">
      <c r="A201" s="102"/>
      <c r="B201" s="1011"/>
      <c r="C201" s="741"/>
      <c r="D201" s="663"/>
      <c r="E201" s="663"/>
      <c r="F201" s="788"/>
      <c r="G201" s="789"/>
      <c r="H201" s="789"/>
      <c r="I201" s="531"/>
      <c r="J201" s="487"/>
      <c r="K201" s="1357"/>
      <c r="L201" s="1375" t="s">
        <v>265</v>
      </c>
      <c r="M201" s="1374" t="s">
        <v>793</v>
      </c>
      <c r="N201" s="487" t="s">
        <v>794</v>
      </c>
      <c r="O201" s="487" t="s">
        <v>795</v>
      </c>
      <c r="P201" s="885" t="s">
        <v>700</v>
      </c>
      <c r="Q201" s="663" t="s">
        <v>779</v>
      </c>
      <c r="R201" s="663" t="s">
        <v>138</v>
      </c>
      <c r="S201" s="663" t="s">
        <v>214</v>
      </c>
      <c r="T201" s="895"/>
      <c r="U201" s="486"/>
      <c r="V201" s="415"/>
      <c r="W201" s="415"/>
      <c r="X201" s="415"/>
      <c r="Y201" s="415"/>
      <c r="Z201" s="416"/>
    </row>
    <row r="202" spans="1:26" ht="52.5" customHeight="1" thickBot="1">
      <c r="A202" s="102"/>
      <c r="B202" s="1019"/>
      <c r="C202" s="911"/>
      <c r="D202" s="693"/>
      <c r="E202" s="693"/>
      <c r="F202" s="797"/>
      <c r="G202" s="798"/>
      <c r="H202" s="798"/>
      <c r="I202" s="799"/>
      <c r="J202" s="681"/>
      <c r="K202" s="1358"/>
      <c r="L202" s="1361"/>
      <c r="M202" s="1354"/>
      <c r="N202" s="681" t="s">
        <v>796</v>
      </c>
      <c r="O202" s="681" t="s">
        <v>795</v>
      </c>
      <c r="P202" s="939" t="s">
        <v>700</v>
      </c>
      <c r="Q202" s="693" t="s">
        <v>779</v>
      </c>
      <c r="R202" s="693" t="s">
        <v>138</v>
      </c>
      <c r="S202" s="693" t="s">
        <v>214</v>
      </c>
      <c r="T202" s="938"/>
      <c r="U202" s="486"/>
      <c r="V202" s="415"/>
      <c r="W202" s="415"/>
      <c r="X202" s="415"/>
      <c r="Y202" s="415"/>
      <c r="Z202" s="416"/>
    </row>
    <row r="203" spans="1:26" ht="52.5" customHeight="1">
      <c r="A203" s="102"/>
      <c r="B203" s="1010">
        <v>35</v>
      </c>
      <c r="C203" s="736" t="s">
        <v>769</v>
      </c>
      <c r="D203" s="662" t="s">
        <v>797</v>
      </c>
      <c r="E203" s="662" t="s">
        <v>67</v>
      </c>
      <c r="F203" s="784" t="s">
        <v>771</v>
      </c>
      <c r="G203" s="785" t="s">
        <v>772</v>
      </c>
      <c r="H203" s="785" t="s">
        <v>149</v>
      </c>
      <c r="I203" s="786" t="s">
        <v>798</v>
      </c>
      <c r="J203" s="786"/>
      <c r="K203" s="1368" t="s">
        <v>799</v>
      </c>
      <c r="L203" s="1371" t="s">
        <v>265</v>
      </c>
      <c r="M203" s="1369" t="s">
        <v>736</v>
      </c>
      <c r="N203" s="787" t="s">
        <v>800</v>
      </c>
      <c r="O203" s="787" t="s">
        <v>216</v>
      </c>
      <c r="P203" s="784" t="s">
        <v>801</v>
      </c>
      <c r="Q203" s="662" t="s">
        <v>307</v>
      </c>
      <c r="R203" s="659" t="s">
        <v>138</v>
      </c>
      <c r="S203" s="662" t="s">
        <v>214</v>
      </c>
      <c r="T203" s="953" t="s">
        <v>57</v>
      </c>
      <c r="U203" s="486"/>
      <c r="V203" s="415"/>
      <c r="W203" s="415"/>
      <c r="X203" s="415"/>
      <c r="Y203" s="415"/>
      <c r="Z203" s="416"/>
    </row>
    <row r="204" spans="1:26" ht="52.5" customHeight="1">
      <c r="A204" s="102"/>
      <c r="B204" s="1011"/>
      <c r="C204" s="741"/>
      <c r="D204" s="663"/>
      <c r="E204" s="663"/>
      <c r="F204" s="788"/>
      <c r="G204" s="789"/>
      <c r="H204" s="789"/>
      <c r="I204" s="531"/>
      <c r="J204" s="531"/>
      <c r="K204" s="1366"/>
      <c r="L204" s="1372"/>
      <c r="M204" s="1370"/>
      <c r="N204" s="722" t="s">
        <v>594</v>
      </c>
      <c r="O204" s="487" t="s">
        <v>216</v>
      </c>
      <c r="P204" s="788" t="s">
        <v>802</v>
      </c>
      <c r="Q204" s="663" t="s">
        <v>375</v>
      </c>
      <c r="R204" s="663" t="s">
        <v>131</v>
      </c>
      <c r="S204" s="663" t="s">
        <v>214</v>
      </c>
      <c r="T204" s="935"/>
      <c r="U204" s="486"/>
      <c r="V204" s="415"/>
      <c r="W204" s="415"/>
      <c r="X204" s="415"/>
      <c r="Y204" s="415"/>
      <c r="Z204" s="416"/>
    </row>
    <row r="205" spans="1:26" ht="52.5" customHeight="1">
      <c r="A205" s="102"/>
      <c r="B205" s="1011"/>
      <c r="C205" s="741"/>
      <c r="D205" s="663"/>
      <c r="E205" s="663"/>
      <c r="F205" s="788"/>
      <c r="G205" s="789"/>
      <c r="H205" s="789"/>
      <c r="I205" s="531"/>
      <c r="J205" s="531"/>
      <c r="K205" s="1366"/>
      <c r="L205" s="1362"/>
      <c r="M205" s="1360"/>
      <c r="N205" s="722" t="s">
        <v>742</v>
      </c>
      <c r="O205" s="487" t="s">
        <v>216</v>
      </c>
      <c r="P205" s="788" t="s">
        <v>801</v>
      </c>
      <c r="Q205" s="663" t="s">
        <v>549</v>
      </c>
      <c r="R205" s="663" t="s">
        <v>136</v>
      </c>
      <c r="S205" s="663" t="s">
        <v>214</v>
      </c>
      <c r="T205" s="935"/>
      <c r="U205" s="486"/>
      <c r="V205" s="415"/>
      <c r="W205" s="415"/>
      <c r="X205" s="415"/>
      <c r="Y205" s="415"/>
      <c r="Z205" s="416"/>
    </row>
    <row r="206" spans="1:26" ht="52.5" customHeight="1">
      <c r="A206" s="102"/>
      <c r="B206" s="1011"/>
      <c r="C206" s="741"/>
      <c r="D206" s="663"/>
      <c r="E206" s="663"/>
      <c r="F206" s="788"/>
      <c r="G206" s="789"/>
      <c r="H206" s="789"/>
      <c r="I206" s="531"/>
      <c r="J206" s="531"/>
      <c r="K206" s="1366"/>
      <c r="L206" s="824" t="s">
        <v>265</v>
      </c>
      <c r="M206" s="487" t="s">
        <v>743</v>
      </c>
      <c r="N206" s="487" t="s">
        <v>803</v>
      </c>
      <c r="O206" s="487" t="s">
        <v>216</v>
      </c>
      <c r="P206" s="788" t="s">
        <v>801</v>
      </c>
      <c r="Q206" s="663" t="s">
        <v>307</v>
      </c>
      <c r="R206" s="693" t="s">
        <v>138</v>
      </c>
      <c r="S206" s="663" t="s">
        <v>214</v>
      </c>
      <c r="T206" s="935"/>
      <c r="U206" s="486"/>
      <c r="V206" s="415"/>
      <c r="W206" s="415"/>
      <c r="X206" s="415"/>
      <c r="Y206" s="415"/>
      <c r="Z206" s="416"/>
    </row>
    <row r="207" spans="1:26" ht="52.5" customHeight="1">
      <c r="A207" s="102"/>
      <c r="B207" s="1011"/>
      <c r="C207" s="741"/>
      <c r="D207" s="663"/>
      <c r="E207" s="663"/>
      <c r="F207" s="788"/>
      <c r="G207" s="789"/>
      <c r="H207" s="789"/>
      <c r="I207" s="531"/>
      <c r="J207" s="531"/>
      <c r="K207" s="1366"/>
      <c r="L207" s="1361" t="s">
        <v>209</v>
      </c>
      <c r="M207" s="1354" t="s">
        <v>804</v>
      </c>
      <c r="N207" s="722" t="s">
        <v>805</v>
      </c>
      <c r="O207" s="487" t="s">
        <v>216</v>
      </c>
      <c r="P207" s="788" t="s">
        <v>801</v>
      </c>
      <c r="Q207" s="663" t="s">
        <v>549</v>
      </c>
      <c r="R207" s="663" t="s">
        <v>136</v>
      </c>
      <c r="S207" s="663" t="s">
        <v>214</v>
      </c>
      <c r="T207" s="935"/>
      <c r="U207" s="486"/>
      <c r="V207" s="415"/>
      <c r="W207" s="415"/>
      <c r="X207" s="415"/>
      <c r="Y207" s="415"/>
      <c r="Z207" s="416"/>
    </row>
    <row r="208" spans="1:26" ht="52.5" customHeight="1" thickBot="1">
      <c r="A208" s="102"/>
      <c r="B208" s="1012"/>
      <c r="C208" s="747"/>
      <c r="D208" s="664"/>
      <c r="E208" s="664"/>
      <c r="F208" s="790"/>
      <c r="G208" s="791"/>
      <c r="H208" s="791"/>
      <c r="I208" s="792"/>
      <c r="J208" s="792"/>
      <c r="K208" s="1367"/>
      <c r="L208" s="1373"/>
      <c r="M208" s="1355"/>
      <c r="N208" s="793" t="s">
        <v>806</v>
      </c>
      <c r="O208" s="793" t="s">
        <v>216</v>
      </c>
      <c r="P208" s="790" t="s">
        <v>802</v>
      </c>
      <c r="Q208" s="664" t="s">
        <v>375</v>
      </c>
      <c r="R208" s="664" t="s">
        <v>131</v>
      </c>
      <c r="S208" s="664" t="s">
        <v>214</v>
      </c>
      <c r="T208" s="936"/>
      <c r="U208" s="486"/>
      <c r="V208" s="415"/>
      <c r="W208" s="415"/>
      <c r="X208" s="415"/>
      <c r="Y208" s="415"/>
      <c r="Z208" s="416"/>
    </row>
    <row r="209" spans="1:26" ht="52.5" customHeight="1">
      <c r="A209" s="102"/>
      <c r="B209" s="1021">
        <v>36</v>
      </c>
      <c r="C209" s="934" t="s">
        <v>769</v>
      </c>
      <c r="D209" s="665" t="s">
        <v>807</v>
      </c>
      <c r="E209" s="665" t="s">
        <v>64</v>
      </c>
      <c r="F209" s="794" t="s">
        <v>755</v>
      </c>
      <c r="G209" s="795" t="s">
        <v>808</v>
      </c>
      <c r="H209" s="795" t="s">
        <v>146</v>
      </c>
      <c r="I209" s="796" t="s">
        <v>809</v>
      </c>
      <c r="J209" s="680"/>
      <c r="K209" s="1366" t="s">
        <v>810</v>
      </c>
      <c r="L209" s="1372" t="s">
        <v>265</v>
      </c>
      <c r="M209" s="1370" t="s">
        <v>811</v>
      </c>
      <c r="N209" s="680" t="s">
        <v>812</v>
      </c>
      <c r="O209" s="680" t="s">
        <v>216</v>
      </c>
      <c r="P209" s="794" t="s">
        <v>813</v>
      </c>
      <c r="Q209" s="665" t="s">
        <v>814</v>
      </c>
      <c r="R209" s="665" t="s">
        <v>132</v>
      </c>
      <c r="S209" s="665" t="s">
        <v>214</v>
      </c>
      <c r="T209" s="937" t="s">
        <v>57</v>
      </c>
      <c r="U209" s="486"/>
      <c r="V209" s="415"/>
      <c r="W209" s="415"/>
      <c r="X209" s="415"/>
      <c r="Y209" s="415"/>
      <c r="Z209" s="416"/>
    </row>
    <row r="210" spans="1:26" ht="52.5" customHeight="1">
      <c r="A210" s="102"/>
      <c r="B210" s="1011"/>
      <c r="C210" s="741"/>
      <c r="D210" s="663"/>
      <c r="E210" s="663"/>
      <c r="F210" s="788"/>
      <c r="G210" s="789"/>
      <c r="H210" s="789"/>
      <c r="I210" s="531"/>
      <c r="J210" s="487"/>
      <c r="K210" s="1366"/>
      <c r="L210" s="1362"/>
      <c r="M210" s="1360"/>
      <c r="N210" s="487" t="s">
        <v>815</v>
      </c>
      <c r="O210" s="487" t="s">
        <v>216</v>
      </c>
      <c r="P210" s="788" t="s">
        <v>813</v>
      </c>
      <c r="Q210" s="663" t="s">
        <v>814</v>
      </c>
      <c r="R210" s="663" t="s">
        <v>132</v>
      </c>
      <c r="S210" s="663" t="s">
        <v>214</v>
      </c>
      <c r="T210" s="895"/>
      <c r="U210" s="486"/>
      <c r="V210" s="415"/>
      <c r="W210" s="415"/>
      <c r="X210" s="415"/>
      <c r="Y210" s="415"/>
      <c r="Z210" s="416"/>
    </row>
    <row r="211" spans="1:26" ht="52.5" customHeight="1">
      <c r="A211" s="102"/>
      <c r="B211" s="1011"/>
      <c r="C211" s="741"/>
      <c r="D211" s="663"/>
      <c r="E211" s="663"/>
      <c r="F211" s="788"/>
      <c r="G211" s="789"/>
      <c r="H211" s="789"/>
      <c r="I211" s="531"/>
      <c r="J211" s="487"/>
      <c r="K211" s="1366"/>
      <c r="L211" s="1361" t="s">
        <v>265</v>
      </c>
      <c r="M211" s="1354" t="s">
        <v>816</v>
      </c>
      <c r="N211" s="487" t="s">
        <v>817</v>
      </c>
      <c r="O211" s="487" t="s">
        <v>216</v>
      </c>
      <c r="P211" s="788" t="s">
        <v>813</v>
      </c>
      <c r="Q211" s="663" t="s">
        <v>814</v>
      </c>
      <c r="R211" s="663" t="s">
        <v>132</v>
      </c>
      <c r="S211" s="663" t="s">
        <v>214</v>
      </c>
      <c r="T211" s="895"/>
      <c r="U211" s="486"/>
      <c r="V211" s="415"/>
      <c r="W211" s="415"/>
      <c r="X211" s="415"/>
      <c r="Y211" s="415"/>
      <c r="Z211" s="416"/>
    </row>
    <row r="212" spans="1:26" ht="52.5" customHeight="1">
      <c r="A212" s="102"/>
      <c r="B212" s="1011"/>
      <c r="C212" s="741"/>
      <c r="D212" s="663"/>
      <c r="E212" s="663"/>
      <c r="F212" s="788"/>
      <c r="G212" s="789"/>
      <c r="H212" s="789"/>
      <c r="I212" s="531"/>
      <c r="J212" s="487"/>
      <c r="K212" s="1366"/>
      <c r="L212" s="1362"/>
      <c r="M212" s="1360"/>
      <c r="N212" s="487" t="s">
        <v>818</v>
      </c>
      <c r="O212" s="487" t="s">
        <v>216</v>
      </c>
      <c r="P212" s="788" t="s">
        <v>813</v>
      </c>
      <c r="Q212" s="663" t="s">
        <v>814</v>
      </c>
      <c r="R212" s="663" t="s">
        <v>132</v>
      </c>
      <c r="S212" s="663" t="s">
        <v>214</v>
      </c>
      <c r="T212" s="895"/>
      <c r="U212" s="486"/>
      <c r="V212" s="415"/>
      <c r="W212" s="415"/>
      <c r="X212" s="415"/>
      <c r="Y212" s="415"/>
      <c r="Z212" s="416"/>
    </row>
    <row r="213" spans="1:26" ht="52.5" customHeight="1">
      <c r="A213" s="102"/>
      <c r="B213" s="1011"/>
      <c r="C213" s="741"/>
      <c r="D213" s="663"/>
      <c r="E213" s="663"/>
      <c r="F213" s="788"/>
      <c r="G213" s="789"/>
      <c r="H213" s="789"/>
      <c r="I213" s="531"/>
      <c r="J213" s="487"/>
      <c r="K213" s="1366"/>
      <c r="L213" s="824" t="s">
        <v>265</v>
      </c>
      <c r="M213" s="487" t="s">
        <v>819</v>
      </c>
      <c r="N213" s="487" t="s">
        <v>820</v>
      </c>
      <c r="O213" s="487" t="s">
        <v>216</v>
      </c>
      <c r="P213" s="788" t="s">
        <v>813</v>
      </c>
      <c r="Q213" s="663" t="s">
        <v>814</v>
      </c>
      <c r="R213" s="663" t="s">
        <v>132</v>
      </c>
      <c r="S213" s="663" t="s">
        <v>214</v>
      </c>
      <c r="T213" s="895"/>
      <c r="U213" s="486"/>
      <c r="V213" s="415"/>
      <c r="W213" s="415"/>
      <c r="X213" s="415"/>
      <c r="Y213" s="415"/>
      <c r="Z213" s="416"/>
    </row>
    <row r="214" spans="1:26" ht="52.5" customHeight="1">
      <c r="A214" s="102"/>
      <c r="B214" s="1011"/>
      <c r="C214" s="741"/>
      <c r="D214" s="663"/>
      <c r="E214" s="663"/>
      <c r="F214" s="788"/>
      <c r="G214" s="789"/>
      <c r="H214" s="789"/>
      <c r="I214" s="531"/>
      <c r="J214" s="487"/>
      <c r="K214" s="1366"/>
      <c r="L214" s="1361" t="s">
        <v>261</v>
      </c>
      <c r="M214" s="1354" t="s">
        <v>821</v>
      </c>
      <c r="N214" s="487" t="s">
        <v>822</v>
      </c>
      <c r="O214" s="487" t="s">
        <v>216</v>
      </c>
      <c r="P214" s="788" t="s">
        <v>813</v>
      </c>
      <c r="Q214" s="663" t="s">
        <v>814</v>
      </c>
      <c r="R214" s="663" t="s">
        <v>132</v>
      </c>
      <c r="S214" s="663" t="s">
        <v>214</v>
      </c>
      <c r="T214" s="895"/>
      <c r="U214" s="486"/>
      <c r="V214" s="415"/>
      <c r="W214" s="415"/>
      <c r="X214" s="415"/>
      <c r="Y214" s="415"/>
      <c r="Z214" s="416"/>
    </row>
    <row r="215" spans="1:26" ht="52.5" customHeight="1">
      <c r="A215" s="102"/>
      <c r="B215" s="1011"/>
      <c r="C215" s="741"/>
      <c r="D215" s="663"/>
      <c r="E215" s="663"/>
      <c r="F215" s="788"/>
      <c r="G215" s="789"/>
      <c r="H215" s="789"/>
      <c r="I215" s="531"/>
      <c r="J215" s="487"/>
      <c r="K215" s="1366"/>
      <c r="L215" s="1362"/>
      <c r="M215" s="1360"/>
      <c r="N215" s="487" t="s">
        <v>823</v>
      </c>
      <c r="O215" s="487" t="s">
        <v>216</v>
      </c>
      <c r="P215" s="788" t="s">
        <v>813</v>
      </c>
      <c r="Q215" s="663" t="s">
        <v>814</v>
      </c>
      <c r="R215" s="663" t="s">
        <v>132</v>
      </c>
      <c r="S215" s="663" t="s">
        <v>214</v>
      </c>
      <c r="T215" s="895"/>
      <c r="U215" s="486"/>
      <c r="V215" s="415"/>
      <c r="W215" s="415"/>
      <c r="X215" s="415"/>
      <c r="Y215" s="415"/>
      <c r="Z215" s="416"/>
    </row>
    <row r="216" spans="1:26" ht="52.5" customHeight="1" thickBot="1">
      <c r="A216" s="102"/>
      <c r="B216" s="1019"/>
      <c r="C216" s="911"/>
      <c r="D216" s="693"/>
      <c r="E216" s="693"/>
      <c r="F216" s="797"/>
      <c r="G216" s="798"/>
      <c r="H216" s="798"/>
      <c r="I216" s="799"/>
      <c r="J216" s="681"/>
      <c r="K216" s="1366"/>
      <c r="L216" s="835" t="s">
        <v>265</v>
      </c>
      <c r="M216" s="681" t="s">
        <v>824</v>
      </c>
      <c r="N216" s="681" t="s">
        <v>825</v>
      </c>
      <c r="O216" s="681" t="s">
        <v>216</v>
      </c>
      <c r="P216" s="797" t="s">
        <v>813</v>
      </c>
      <c r="Q216" s="693" t="s">
        <v>814</v>
      </c>
      <c r="R216" s="693" t="s">
        <v>132</v>
      </c>
      <c r="S216" s="693" t="s">
        <v>214</v>
      </c>
      <c r="T216" s="938"/>
      <c r="U216" s="486"/>
      <c r="V216" s="415"/>
      <c r="W216" s="415"/>
      <c r="X216" s="415"/>
      <c r="Y216" s="415"/>
      <c r="Z216" s="416"/>
    </row>
    <row r="217" spans="1:26" ht="52.5" customHeight="1">
      <c r="A217" s="102"/>
      <c r="B217" s="1010">
        <v>37</v>
      </c>
      <c r="C217" s="736" t="s">
        <v>769</v>
      </c>
      <c r="D217" s="662" t="s">
        <v>826</v>
      </c>
      <c r="E217" s="662" t="s">
        <v>64</v>
      </c>
      <c r="F217" s="784" t="s">
        <v>827</v>
      </c>
      <c r="G217" s="785" t="s">
        <v>828</v>
      </c>
      <c r="H217" s="785" t="s">
        <v>146</v>
      </c>
      <c r="I217" s="786" t="s">
        <v>829</v>
      </c>
      <c r="J217" s="786"/>
      <c r="K217" s="1368" t="s">
        <v>830</v>
      </c>
      <c r="L217" s="830" t="s">
        <v>209</v>
      </c>
      <c r="M217" s="787" t="s">
        <v>831</v>
      </c>
      <c r="N217" s="787" t="s">
        <v>524</v>
      </c>
      <c r="O217" s="787" t="s">
        <v>582</v>
      </c>
      <c r="P217" s="932" t="s">
        <v>832</v>
      </c>
      <c r="Q217" s="662" t="s">
        <v>833</v>
      </c>
      <c r="R217" s="662" t="s">
        <v>132</v>
      </c>
      <c r="S217" s="662" t="s">
        <v>214</v>
      </c>
      <c r="T217" s="892" t="s">
        <v>57</v>
      </c>
      <c r="U217" s="486"/>
      <c r="V217" s="415"/>
      <c r="W217" s="415"/>
      <c r="X217" s="415"/>
      <c r="Y217" s="415"/>
      <c r="Z217" s="416"/>
    </row>
    <row r="218" spans="1:26" ht="87.6">
      <c r="A218" s="102"/>
      <c r="B218" s="1011"/>
      <c r="C218" s="741"/>
      <c r="D218" s="663"/>
      <c r="E218" s="663"/>
      <c r="F218" s="788"/>
      <c r="G218" s="789"/>
      <c r="H218" s="789"/>
      <c r="I218" s="531"/>
      <c r="J218" s="531"/>
      <c r="K218" s="1366"/>
      <c r="L218" s="824" t="s">
        <v>265</v>
      </c>
      <c r="M218" s="487" t="s">
        <v>834</v>
      </c>
      <c r="N218" s="487" t="s">
        <v>576</v>
      </c>
      <c r="O218" s="487" t="s">
        <v>835</v>
      </c>
      <c r="P218" s="885" t="s">
        <v>832</v>
      </c>
      <c r="Q218" s="663" t="s">
        <v>833</v>
      </c>
      <c r="R218" s="663" t="s">
        <v>132</v>
      </c>
      <c r="S218" s="693" t="s">
        <v>214</v>
      </c>
      <c r="T218" s="895"/>
      <c r="U218" s="486"/>
      <c r="V218" s="415"/>
      <c r="W218" s="415"/>
      <c r="X218" s="415"/>
      <c r="Y218" s="415"/>
      <c r="Z218" s="416"/>
    </row>
    <row r="219" spans="1:26" ht="52.5" customHeight="1">
      <c r="A219" s="102"/>
      <c r="B219" s="1011"/>
      <c r="C219" s="741"/>
      <c r="D219" s="663"/>
      <c r="E219" s="663"/>
      <c r="F219" s="788"/>
      <c r="G219" s="789"/>
      <c r="H219" s="789"/>
      <c r="I219" s="531"/>
      <c r="J219" s="531"/>
      <c r="K219" s="1366"/>
      <c r="L219" s="835" t="s">
        <v>227</v>
      </c>
      <c r="M219" s="487" t="s">
        <v>836</v>
      </c>
      <c r="N219" s="681" t="s">
        <v>837</v>
      </c>
      <c r="O219" s="681" t="s">
        <v>216</v>
      </c>
      <c r="P219" s="939" t="s">
        <v>832</v>
      </c>
      <c r="Q219" s="693" t="s">
        <v>833</v>
      </c>
      <c r="R219" s="693" t="s">
        <v>132</v>
      </c>
      <c r="S219" s="693" t="s">
        <v>214</v>
      </c>
      <c r="T219" s="895"/>
      <c r="U219" s="486"/>
      <c r="V219" s="415"/>
      <c r="W219" s="415"/>
      <c r="X219" s="415"/>
      <c r="Y219" s="415"/>
      <c r="Z219" s="416"/>
    </row>
    <row r="220" spans="1:26" ht="52.5" customHeight="1">
      <c r="A220" s="102"/>
      <c r="B220" s="1011"/>
      <c r="C220" s="741"/>
      <c r="D220" s="663"/>
      <c r="E220" s="663"/>
      <c r="F220" s="788"/>
      <c r="G220" s="789"/>
      <c r="H220" s="789"/>
      <c r="I220" s="531"/>
      <c r="J220" s="531"/>
      <c r="K220" s="1366"/>
      <c r="L220" s="824" t="s">
        <v>265</v>
      </c>
      <c r="M220" s="487" t="s">
        <v>838</v>
      </c>
      <c r="N220" s="722" t="s">
        <v>839</v>
      </c>
      <c r="O220" s="487" t="s">
        <v>216</v>
      </c>
      <c r="P220" s="885" t="s">
        <v>832</v>
      </c>
      <c r="Q220" s="663" t="s">
        <v>840</v>
      </c>
      <c r="R220" s="663" t="s">
        <v>142</v>
      </c>
      <c r="S220" s="663" t="s">
        <v>214</v>
      </c>
      <c r="T220" s="895"/>
      <c r="U220" s="486"/>
      <c r="V220" s="415"/>
      <c r="W220" s="415"/>
      <c r="X220" s="415"/>
      <c r="Y220" s="415"/>
      <c r="Z220" s="416"/>
    </row>
    <row r="221" spans="1:26" ht="52.5" customHeight="1">
      <c r="A221" s="102"/>
      <c r="B221" s="1011"/>
      <c r="C221" s="741"/>
      <c r="D221" s="663"/>
      <c r="E221" s="663"/>
      <c r="F221" s="788"/>
      <c r="G221" s="789"/>
      <c r="H221" s="789"/>
      <c r="I221" s="531"/>
      <c r="J221" s="531"/>
      <c r="K221" s="1366"/>
      <c r="L221" s="1361" t="s">
        <v>265</v>
      </c>
      <c r="M221" s="1374" t="s">
        <v>841</v>
      </c>
      <c r="N221" s="487" t="s">
        <v>842</v>
      </c>
      <c r="O221" s="487" t="s">
        <v>216</v>
      </c>
      <c r="P221" s="788" t="s">
        <v>843</v>
      </c>
      <c r="Q221" s="663" t="s">
        <v>844</v>
      </c>
      <c r="R221" s="693" t="s">
        <v>132</v>
      </c>
      <c r="S221" s="663" t="s">
        <v>214</v>
      </c>
      <c r="T221" s="895"/>
      <c r="U221" s="486"/>
      <c r="V221" s="415"/>
      <c r="W221" s="415"/>
      <c r="X221" s="415"/>
      <c r="Y221" s="415"/>
      <c r="Z221" s="416"/>
    </row>
    <row r="222" spans="1:26" ht="52.5" customHeight="1">
      <c r="A222" s="102"/>
      <c r="B222" s="1011"/>
      <c r="C222" s="741"/>
      <c r="D222" s="663"/>
      <c r="E222" s="663"/>
      <c r="F222" s="788"/>
      <c r="G222" s="789"/>
      <c r="H222" s="789"/>
      <c r="I222" s="531"/>
      <c r="J222" s="531"/>
      <c r="K222" s="1366"/>
      <c r="L222" s="1362"/>
      <c r="M222" s="1374"/>
      <c r="N222" s="722" t="s">
        <v>845</v>
      </c>
      <c r="O222" s="487" t="s">
        <v>216</v>
      </c>
      <c r="P222" s="788" t="s">
        <v>843</v>
      </c>
      <c r="Q222" s="663" t="s">
        <v>846</v>
      </c>
      <c r="R222" s="663" t="s">
        <v>131</v>
      </c>
      <c r="S222" s="663" t="s">
        <v>214</v>
      </c>
      <c r="T222" s="895"/>
      <c r="U222" s="486"/>
      <c r="V222" s="415"/>
      <c r="W222" s="415"/>
      <c r="X222" s="415"/>
      <c r="Y222" s="415"/>
      <c r="Z222" s="416"/>
    </row>
    <row r="223" spans="1:26" ht="52.5" customHeight="1">
      <c r="A223" s="102"/>
      <c r="B223" s="1011"/>
      <c r="C223" s="741"/>
      <c r="D223" s="663"/>
      <c r="E223" s="663"/>
      <c r="F223" s="788"/>
      <c r="G223" s="789"/>
      <c r="H223" s="789"/>
      <c r="I223" s="531"/>
      <c r="J223" s="531"/>
      <c r="K223" s="1366"/>
      <c r="L223" s="1361" t="s">
        <v>209</v>
      </c>
      <c r="M223" s="1374" t="s">
        <v>847</v>
      </c>
      <c r="N223" s="487" t="s">
        <v>524</v>
      </c>
      <c r="O223" s="487" t="s">
        <v>216</v>
      </c>
      <c r="P223" s="788" t="s">
        <v>843</v>
      </c>
      <c r="Q223" s="663" t="s">
        <v>833</v>
      </c>
      <c r="R223" s="663" t="s">
        <v>132</v>
      </c>
      <c r="S223" s="663" t="s">
        <v>214</v>
      </c>
      <c r="T223" s="895"/>
      <c r="U223" s="486"/>
      <c r="V223" s="415"/>
      <c r="W223" s="415"/>
      <c r="X223" s="415"/>
      <c r="Y223" s="415"/>
      <c r="Z223" s="416"/>
    </row>
    <row r="224" spans="1:26" ht="52.5" customHeight="1">
      <c r="A224" s="102"/>
      <c r="B224" s="1011"/>
      <c r="C224" s="741"/>
      <c r="D224" s="663"/>
      <c r="E224" s="663"/>
      <c r="F224" s="788"/>
      <c r="G224" s="789"/>
      <c r="H224" s="789"/>
      <c r="I224" s="531"/>
      <c r="J224" s="531"/>
      <c r="K224" s="1366"/>
      <c r="L224" s="1362"/>
      <c r="M224" s="1374"/>
      <c r="N224" s="487" t="s">
        <v>848</v>
      </c>
      <c r="O224" s="487" t="s">
        <v>216</v>
      </c>
      <c r="P224" s="788" t="s">
        <v>843</v>
      </c>
      <c r="Q224" s="663" t="s">
        <v>833</v>
      </c>
      <c r="R224" s="663" t="s">
        <v>132</v>
      </c>
      <c r="S224" s="663" t="s">
        <v>214</v>
      </c>
      <c r="T224" s="895"/>
      <c r="U224" s="486"/>
      <c r="V224" s="415"/>
      <c r="W224" s="415"/>
      <c r="X224" s="415"/>
      <c r="Y224" s="415"/>
      <c r="Z224" s="416"/>
    </row>
    <row r="225" spans="1:26" ht="52.5" customHeight="1">
      <c r="A225" s="102"/>
      <c r="B225" s="1011"/>
      <c r="C225" s="741"/>
      <c r="D225" s="663"/>
      <c r="E225" s="663"/>
      <c r="F225" s="788"/>
      <c r="G225" s="789"/>
      <c r="H225" s="789"/>
      <c r="I225" s="531"/>
      <c r="J225" s="531"/>
      <c r="K225" s="1366"/>
      <c r="L225" s="824" t="s">
        <v>261</v>
      </c>
      <c r="M225" s="487" t="s">
        <v>849</v>
      </c>
      <c r="N225" s="487" t="s">
        <v>850</v>
      </c>
      <c r="O225" s="487" t="s">
        <v>216</v>
      </c>
      <c r="P225" s="788" t="s">
        <v>843</v>
      </c>
      <c r="Q225" s="663" t="s">
        <v>833</v>
      </c>
      <c r="R225" s="663" t="s">
        <v>132</v>
      </c>
      <c r="S225" s="663" t="s">
        <v>214</v>
      </c>
      <c r="T225" s="895"/>
      <c r="U225" s="486"/>
      <c r="V225" s="415"/>
      <c r="W225" s="415"/>
      <c r="X225" s="415"/>
      <c r="Y225" s="415"/>
      <c r="Z225" s="416"/>
    </row>
    <row r="226" spans="1:26" ht="52.5" customHeight="1" thickBot="1">
      <c r="A226" s="102"/>
      <c r="B226" s="1019"/>
      <c r="C226" s="911"/>
      <c r="D226" s="693"/>
      <c r="E226" s="693"/>
      <c r="F226" s="797"/>
      <c r="G226" s="798"/>
      <c r="H226" s="798"/>
      <c r="I226" s="799"/>
      <c r="J226" s="799"/>
      <c r="K226" s="1366"/>
      <c r="L226" s="835" t="s">
        <v>261</v>
      </c>
      <c r="M226" s="681" t="s">
        <v>851</v>
      </c>
      <c r="N226" s="681" t="s">
        <v>524</v>
      </c>
      <c r="O226" s="681" t="s">
        <v>582</v>
      </c>
      <c r="P226" s="797" t="s">
        <v>843</v>
      </c>
      <c r="Q226" s="693" t="s">
        <v>833</v>
      </c>
      <c r="R226" s="693" t="s">
        <v>132</v>
      </c>
      <c r="S226" s="693" t="s">
        <v>214</v>
      </c>
      <c r="T226" s="938"/>
      <c r="U226" s="486"/>
      <c r="V226" s="415"/>
      <c r="W226" s="415"/>
      <c r="X226" s="415"/>
      <c r="Y226" s="415"/>
      <c r="Z226" s="416"/>
    </row>
    <row r="227" spans="1:26" ht="52.5" customHeight="1">
      <c r="A227" s="102"/>
      <c r="B227" s="1010">
        <v>38</v>
      </c>
      <c r="C227" s="736" t="s">
        <v>769</v>
      </c>
      <c r="D227" s="662" t="s">
        <v>852</v>
      </c>
      <c r="E227" s="979" t="s">
        <v>64</v>
      </c>
      <c r="F227" s="784" t="s">
        <v>853</v>
      </c>
      <c r="G227" s="785" t="s">
        <v>854</v>
      </c>
      <c r="H227" s="785" t="s">
        <v>147</v>
      </c>
      <c r="I227" s="786" t="s">
        <v>855</v>
      </c>
      <c r="J227" s="787"/>
      <c r="K227" s="1368" t="s">
        <v>856</v>
      </c>
      <c r="L227" s="1371" t="s">
        <v>209</v>
      </c>
      <c r="M227" s="1369" t="s">
        <v>857</v>
      </c>
      <c r="N227" s="717" t="s">
        <v>623</v>
      </c>
      <c r="O227" s="787" t="s">
        <v>216</v>
      </c>
      <c r="P227" s="784" t="s">
        <v>858</v>
      </c>
      <c r="Q227" s="662" t="s">
        <v>213</v>
      </c>
      <c r="R227" s="662" t="s">
        <v>131</v>
      </c>
      <c r="S227" s="659" t="s">
        <v>214</v>
      </c>
      <c r="T227" s="892" t="s">
        <v>58</v>
      </c>
      <c r="U227" s="486"/>
      <c r="V227" s="415"/>
      <c r="W227" s="415"/>
      <c r="X227" s="415"/>
      <c r="Y227" s="415"/>
      <c r="Z227" s="416"/>
    </row>
    <row r="228" spans="1:26" ht="52.5" customHeight="1">
      <c r="A228" s="102"/>
      <c r="B228" s="1011"/>
      <c r="C228" s="741"/>
      <c r="D228" s="663"/>
      <c r="E228" s="663"/>
      <c r="F228" s="788"/>
      <c r="G228" s="789"/>
      <c r="H228" s="789"/>
      <c r="I228" s="531"/>
      <c r="J228" s="487"/>
      <c r="K228" s="1366"/>
      <c r="L228" s="1362"/>
      <c r="M228" s="1360"/>
      <c r="N228" s="722" t="s">
        <v>859</v>
      </c>
      <c r="O228" s="487" t="s">
        <v>216</v>
      </c>
      <c r="P228" s="788" t="s">
        <v>858</v>
      </c>
      <c r="Q228" s="663" t="s">
        <v>213</v>
      </c>
      <c r="R228" s="663" t="s">
        <v>131</v>
      </c>
      <c r="S228" s="693" t="s">
        <v>214</v>
      </c>
      <c r="T228" s="895"/>
      <c r="U228" s="486"/>
      <c r="V228" s="415"/>
      <c r="W228" s="415"/>
      <c r="X228" s="415"/>
      <c r="Y228" s="415"/>
      <c r="Z228" s="416"/>
    </row>
    <row r="229" spans="1:26" ht="52.5" customHeight="1">
      <c r="A229" s="102"/>
      <c r="B229" s="1011"/>
      <c r="C229" s="741"/>
      <c r="D229" s="663"/>
      <c r="E229" s="663"/>
      <c r="F229" s="788"/>
      <c r="G229" s="789"/>
      <c r="H229" s="789"/>
      <c r="I229" s="531"/>
      <c r="J229" s="487"/>
      <c r="K229" s="1366"/>
      <c r="L229" s="824" t="s">
        <v>227</v>
      </c>
      <c r="M229" s="487" t="s">
        <v>860</v>
      </c>
      <c r="N229" s="487" t="s">
        <v>861</v>
      </c>
      <c r="O229" s="487" t="s">
        <v>216</v>
      </c>
      <c r="P229" s="788" t="s">
        <v>858</v>
      </c>
      <c r="Q229" s="663" t="s">
        <v>213</v>
      </c>
      <c r="R229" s="663" t="s">
        <v>131</v>
      </c>
      <c r="S229" s="693" t="s">
        <v>214</v>
      </c>
      <c r="T229" s="895"/>
      <c r="U229" s="486"/>
      <c r="V229" s="415"/>
      <c r="W229" s="415"/>
      <c r="X229" s="415"/>
      <c r="Y229" s="415"/>
      <c r="Z229" s="416"/>
    </row>
    <row r="230" spans="1:26" ht="52.5" customHeight="1">
      <c r="A230" s="102"/>
      <c r="B230" s="1011"/>
      <c r="C230" s="741"/>
      <c r="D230" s="663"/>
      <c r="E230" s="663"/>
      <c r="F230" s="788"/>
      <c r="G230" s="789"/>
      <c r="H230" s="789"/>
      <c r="I230" s="531"/>
      <c r="J230" s="487"/>
      <c r="K230" s="1366"/>
      <c r="L230" s="1361" t="s">
        <v>227</v>
      </c>
      <c r="M230" s="1354" t="s">
        <v>862</v>
      </c>
      <c r="N230" s="487" t="s">
        <v>413</v>
      </c>
      <c r="O230" s="487" t="s">
        <v>216</v>
      </c>
      <c r="P230" s="788" t="s">
        <v>858</v>
      </c>
      <c r="Q230" s="663" t="s">
        <v>213</v>
      </c>
      <c r="R230" s="663" t="s">
        <v>131</v>
      </c>
      <c r="S230" s="693" t="s">
        <v>214</v>
      </c>
      <c r="T230" s="895"/>
      <c r="U230" s="486"/>
      <c r="V230" s="415"/>
      <c r="W230" s="415"/>
      <c r="X230" s="415"/>
      <c r="Y230" s="415"/>
      <c r="Z230" s="416"/>
    </row>
    <row r="231" spans="1:26" ht="52.5" customHeight="1">
      <c r="A231" s="102"/>
      <c r="B231" s="1011"/>
      <c r="C231" s="741"/>
      <c r="D231" s="663"/>
      <c r="E231" s="663"/>
      <c r="F231" s="788"/>
      <c r="G231" s="789"/>
      <c r="H231" s="789"/>
      <c r="I231" s="531"/>
      <c r="J231" s="487"/>
      <c r="K231" s="1366"/>
      <c r="L231" s="1372"/>
      <c r="M231" s="1370"/>
      <c r="N231" s="487" t="s">
        <v>863</v>
      </c>
      <c r="O231" s="487" t="s">
        <v>216</v>
      </c>
      <c r="P231" s="788" t="s">
        <v>858</v>
      </c>
      <c r="Q231" s="663" t="s">
        <v>213</v>
      </c>
      <c r="R231" s="663" t="s">
        <v>131</v>
      </c>
      <c r="S231" s="693" t="s">
        <v>214</v>
      </c>
      <c r="T231" s="895"/>
      <c r="U231" s="486"/>
      <c r="V231" s="415"/>
      <c r="W231" s="415"/>
      <c r="X231" s="415"/>
      <c r="Y231" s="415"/>
      <c r="Z231" s="416"/>
    </row>
    <row r="232" spans="1:26" ht="52.5" customHeight="1" thickBot="1">
      <c r="A232" s="102"/>
      <c r="B232" s="1012"/>
      <c r="C232" s="747"/>
      <c r="D232" s="664"/>
      <c r="E232" s="664"/>
      <c r="F232" s="790"/>
      <c r="G232" s="791"/>
      <c r="H232" s="791"/>
      <c r="I232" s="792"/>
      <c r="J232" s="793"/>
      <c r="K232" s="1367"/>
      <c r="L232" s="1373"/>
      <c r="M232" s="1355"/>
      <c r="N232" s="793" t="s">
        <v>864</v>
      </c>
      <c r="O232" s="793" t="s">
        <v>216</v>
      </c>
      <c r="P232" s="790" t="s">
        <v>858</v>
      </c>
      <c r="Q232" s="664" t="s">
        <v>213</v>
      </c>
      <c r="R232" s="664" t="s">
        <v>131</v>
      </c>
      <c r="S232" s="664" t="s">
        <v>214</v>
      </c>
      <c r="T232" s="897"/>
      <c r="U232" s="486"/>
      <c r="V232" s="415"/>
      <c r="W232" s="415"/>
      <c r="X232" s="415"/>
      <c r="Y232" s="415"/>
      <c r="Z232" s="416"/>
    </row>
    <row r="233" spans="1:26" ht="52.5" customHeight="1">
      <c r="A233" s="102"/>
      <c r="B233" s="1022">
        <v>39</v>
      </c>
      <c r="C233" s="736" t="s">
        <v>769</v>
      </c>
      <c r="D233" s="662" t="s">
        <v>865</v>
      </c>
      <c r="E233" s="662" t="s">
        <v>66</v>
      </c>
      <c r="F233" s="784" t="s">
        <v>866</v>
      </c>
      <c r="G233" s="785" t="s">
        <v>867</v>
      </c>
      <c r="H233" s="785" t="s">
        <v>146</v>
      </c>
      <c r="I233" s="786" t="s">
        <v>868</v>
      </c>
      <c r="J233" s="787"/>
      <c r="K233" s="1368" t="s">
        <v>869</v>
      </c>
      <c r="L233" s="830" t="s">
        <v>227</v>
      </c>
      <c r="M233" s="1369" t="s">
        <v>870</v>
      </c>
      <c r="N233" s="717" t="s">
        <v>871</v>
      </c>
      <c r="O233" s="487" t="s">
        <v>216</v>
      </c>
      <c r="P233" s="932" t="s">
        <v>872</v>
      </c>
      <c r="Q233" s="662" t="s">
        <v>833</v>
      </c>
      <c r="R233" s="662" t="s">
        <v>132</v>
      </c>
      <c r="S233" s="662" t="s">
        <v>214</v>
      </c>
      <c r="T233" s="892" t="s">
        <v>57</v>
      </c>
      <c r="U233" s="486"/>
      <c r="V233" s="415"/>
      <c r="W233" s="415"/>
      <c r="X233" s="415"/>
      <c r="Y233" s="415"/>
      <c r="Z233" s="416"/>
    </row>
    <row r="234" spans="1:26" ht="52.5" customHeight="1">
      <c r="A234" s="102"/>
      <c r="B234" s="1023"/>
      <c r="C234" s="741"/>
      <c r="D234" s="663"/>
      <c r="E234" s="663"/>
      <c r="F234" s="788"/>
      <c r="G234" s="789"/>
      <c r="H234" s="789"/>
      <c r="I234" s="531"/>
      <c r="J234" s="487"/>
      <c r="K234" s="1366"/>
      <c r="L234" s="824" t="s">
        <v>227</v>
      </c>
      <c r="M234" s="1360"/>
      <c r="N234" s="487" t="s">
        <v>873</v>
      </c>
      <c r="O234" s="487" t="s">
        <v>216</v>
      </c>
      <c r="P234" s="885" t="s">
        <v>872</v>
      </c>
      <c r="Q234" s="663" t="s">
        <v>833</v>
      </c>
      <c r="R234" s="663" t="s">
        <v>132</v>
      </c>
      <c r="S234" s="663" t="s">
        <v>214</v>
      </c>
      <c r="T234" s="895"/>
      <c r="U234" s="486"/>
      <c r="V234" s="415"/>
      <c r="W234" s="415"/>
      <c r="X234" s="415"/>
      <c r="Y234" s="415"/>
      <c r="Z234" s="416"/>
    </row>
    <row r="235" spans="1:26" ht="52.5" customHeight="1">
      <c r="A235" s="102"/>
      <c r="B235" s="1023"/>
      <c r="C235" s="741"/>
      <c r="D235" s="663"/>
      <c r="E235" s="663"/>
      <c r="F235" s="788"/>
      <c r="G235" s="789"/>
      <c r="H235" s="789"/>
      <c r="I235" s="531"/>
      <c r="J235" s="487"/>
      <c r="K235" s="1366"/>
      <c r="L235" s="824" t="s">
        <v>209</v>
      </c>
      <c r="M235" s="680" t="s">
        <v>874</v>
      </c>
      <c r="N235" s="487" t="s">
        <v>875</v>
      </c>
      <c r="O235" s="487" t="s">
        <v>216</v>
      </c>
      <c r="P235" s="885" t="s">
        <v>876</v>
      </c>
      <c r="Q235" s="663" t="s">
        <v>260</v>
      </c>
      <c r="R235" s="663" t="s">
        <v>136</v>
      </c>
      <c r="S235" s="663" t="s">
        <v>214</v>
      </c>
      <c r="T235" s="895"/>
      <c r="U235" s="486"/>
      <c r="V235" s="415"/>
      <c r="W235" s="415"/>
      <c r="X235" s="415"/>
      <c r="Y235" s="415"/>
      <c r="Z235" s="416"/>
    </row>
    <row r="236" spans="1:26" ht="52.5" customHeight="1">
      <c r="A236" s="102"/>
      <c r="B236" s="1023"/>
      <c r="C236" s="741"/>
      <c r="D236" s="663"/>
      <c r="E236" s="663"/>
      <c r="F236" s="788"/>
      <c r="G236" s="789"/>
      <c r="H236" s="789"/>
      <c r="I236" s="531"/>
      <c r="J236" s="487"/>
      <c r="K236" s="1366"/>
      <c r="L236" s="824" t="s">
        <v>209</v>
      </c>
      <c r="M236" s="680" t="s">
        <v>877</v>
      </c>
      <c r="N236" s="487" t="s">
        <v>878</v>
      </c>
      <c r="O236" s="487" t="s">
        <v>216</v>
      </c>
      <c r="P236" s="885" t="s">
        <v>872</v>
      </c>
      <c r="Q236" s="663" t="s">
        <v>833</v>
      </c>
      <c r="R236" s="663" t="s">
        <v>132</v>
      </c>
      <c r="S236" s="663" t="s">
        <v>214</v>
      </c>
      <c r="T236" s="895"/>
      <c r="U236" s="486"/>
      <c r="V236" s="415"/>
      <c r="W236" s="415"/>
      <c r="X236" s="415"/>
      <c r="Y236" s="415"/>
      <c r="Z236" s="416"/>
    </row>
    <row r="237" spans="1:26" ht="52.5" customHeight="1">
      <c r="A237" s="102"/>
      <c r="B237" s="1023"/>
      <c r="C237" s="741"/>
      <c r="D237" s="663"/>
      <c r="E237" s="663"/>
      <c r="F237" s="788"/>
      <c r="G237" s="789"/>
      <c r="H237" s="789"/>
      <c r="I237" s="531"/>
      <c r="J237" s="487"/>
      <c r="K237" s="1366"/>
      <c r="L237" s="824" t="s">
        <v>261</v>
      </c>
      <c r="M237" s="680" t="s">
        <v>879</v>
      </c>
      <c r="N237" s="487" t="s">
        <v>878</v>
      </c>
      <c r="O237" s="487" t="s">
        <v>216</v>
      </c>
      <c r="P237" s="885" t="s">
        <v>872</v>
      </c>
      <c r="Q237" s="663" t="s">
        <v>833</v>
      </c>
      <c r="R237" s="663" t="s">
        <v>132</v>
      </c>
      <c r="S237" s="663" t="s">
        <v>214</v>
      </c>
      <c r="T237" s="895"/>
      <c r="U237" s="486"/>
      <c r="V237" s="415"/>
      <c r="W237" s="415"/>
      <c r="X237" s="415"/>
      <c r="Y237" s="415"/>
      <c r="Z237" s="416"/>
    </row>
    <row r="238" spans="1:26" ht="52.5" customHeight="1">
      <c r="A238" s="102"/>
      <c r="B238" s="1023"/>
      <c r="C238" s="741"/>
      <c r="D238" s="663"/>
      <c r="E238" s="663"/>
      <c r="F238" s="788"/>
      <c r="G238" s="789"/>
      <c r="H238" s="789"/>
      <c r="I238" s="531"/>
      <c r="J238" s="487"/>
      <c r="K238" s="1366"/>
      <c r="L238" s="1361" t="s">
        <v>261</v>
      </c>
      <c r="M238" s="1354" t="s">
        <v>880</v>
      </c>
      <c r="N238" s="487" t="s">
        <v>881</v>
      </c>
      <c r="O238" s="487" t="s">
        <v>216</v>
      </c>
      <c r="P238" s="885" t="s">
        <v>700</v>
      </c>
      <c r="Q238" s="663" t="s">
        <v>260</v>
      </c>
      <c r="R238" s="663" t="s">
        <v>136</v>
      </c>
      <c r="S238" s="663" t="s">
        <v>214</v>
      </c>
      <c r="T238" s="895"/>
      <c r="U238" s="486"/>
      <c r="V238" s="415"/>
      <c r="W238" s="415"/>
      <c r="X238" s="415"/>
      <c r="Y238" s="415"/>
      <c r="Z238" s="416"/>
    </row>
    <row r="239" spans="1:26" ht="52.5" customHeight="1">
      <c r="A239" s="102"/>
      <c r="B239" s="1023"/>
      <c r="C239" s="741"/>
      <c r="D239" s="663"/>
      <c r="E239" s="663"/>
      <c r="F239" s="788"/>
      <c r="G239" s="789"/>
      <c r="H239" s="789"/>
      <c r="I239" s="531"/>
      <c r="J239" s="487"/>
      <c r="K239" s="1366"/>
      <c r="L239" s="1362"/>
      <c r="M239" s="1360"/>
      <c r="N239" s="487" t="s">
        <v>882</v>
      </c>
      <c r="O239" s="487" t="s">
        <v>216</v>
      </c>
      <c r="P239" s="885" t="s">
        <v>872</v>
      </c>
      <c r="Q239" s="663" t="s">
        <v>840</v>
      </c>
      <c r="R239" s="663" t="s">
        <v>142</v>
      </c>
      <c r="S239" s="663" t="s">
        <v>214</v>
      </c>
      <c r="T239" s="895"/>
      <c r="U239" s="486"/>
      <c r="V239" s="415"/>
      <c r="W239" s="415"/>
      <c r="X239" s="415"/>
      <c r="Y239" s="415"/>
      <c r="Z239" s="416"/>
    </row>
    <row r="240" spans="1:26" ht="52.5" customHeight="1">
      <c r="A240" s="102"/>
      <c r="B240" s="1023"/>
      <c r="C240" s="741"/>
      <c r="D240" s="663"/>
      <c r="E240" s="663"/>
      <c r="F240" s="788"/>
      <c r="G240" s="789"/>
      <c r="H240" s="789"/>
      <c r="I240" s="531"/>
      <c r="J240" s="487"/>
      <c r="K240" s="1366"/>
      <c r="L240" s="1361" t="s">
        <v>265</v>
      </c>
      <c r="M240" s="679" t="s">
        <v>883</v>
      </c>
      <c r="N240" s="487" t="s">
        <v>884</v>
      </c>
      <c r="O240" s="487" t="s">
        <v>216</v>
      </c>
      <c r="P240" s="885" t="s">
        <v>885</v>
      </c>
      <c r="Q240" s="663" t="s">
        <v>886</v>
      </c>
      <c r="R240" s="663" t="s">
        <v>134</v>
      </c>
      <c r="S240" s="663" t="s">
        <v>214</v>
      </c>
      <c r="T240" s="895"/>
      <c r="U240" s="486"/>
      <c r="V240" s="415"/>
      <c r="W240" s="415"/>
      <c r="X240" s="415"/>
      <c r="Y240" s="415"/>
      <c r="Z240" s="416"/>
    </row>
    <row r="241" spans="1:26" ht="52.5" customHeight="1" thickBot="1">
      <c r="A241" s="102"/>
      <c r="B241" s="1024"/>
      <c r="C241" s="747"/>
      <c r="D241" s="664"/>
      <c r="E241" s="664"/>
      <c r="F241" s="790"/>
      <c r="G241" s="791"/>
      <c r="H241" s="791"/>
      <c r="I241" s="792"/>
      <c r="J241" s="793"/>
      <c r="K241" s="1367"/>
      <c r="L241" s="1373"/>
      <c r="M241" s="711"/>
      <c r="N241" s="732" t="s">
        <v>887</v>
      </c>
      <c r="O241" s="793" t="s">
        <v>216</v>
      </c>
      <c r="P241" s="933" t="s">
        <v>700</v>
      </c>
      <c r="Q241" s="664" t="s">
        <v>249</v>
      </c>
      <c r="R241" s="676" t="s">
        <v>140</v>
      </c>
      <c r="S241" s="663" t="s">
        <v>214</v>
      </c>
      <c r="T241" s="897"/>
      <c r="U241" s="486"/>
      <c r="V241" s="415"/>
      <c r="W241" s="415"/>
      <c r="X241" s="415"/>
      <c r="Y241" s="415"/>
      <c r="Z241" s="416"/>
    </row>
    <row r="242" spans="1:26" ht="52.5" customHeight="1">
      <c r="A242" s="102"/>
      <c r="B242" s="1010">
        <v>40</v>
      </c>
      <c r="C242" s="736" t="s">
        <v>769</v>
      </c>
      <c r="D242" s="662" t="s">
        <v>888</v>
      </c>
      <c r="E242" s="662" t="s">
        <v>67</v>
      </c>
      <c r="F242" s="784" t="s">
        <v>889</v>
      </c>
      <c r="G242" s="785" t="s">
        <v>890</v>
      </c>
      <c r="H242" s="785" t="s">
        <v>146</v>
      </c>
      <c r="I242" s="786" t="s">
        <v>891</v>
      </c>
      <c r="J242" s="787"/>
      <c r="K242" s="1356" t="s">
        <v>892</v>
      </c>
      <c r="L242" s="830" t="s">
        <v>209</v>
      </c>
      <c r="M242" s="787" t="s">
        <v>893</v>
      </c>
      <c r="N242" s="787" t="s">
        <v>894</v>
      </c>
      <c r="O242" s="787" t="s">
        <v>216</v>
      </c>
      <c r="P242" s="932" t="s">
        <v>895</v>
      </c>
      <c r="Q242" s="662" t="s">
        <v>814</v>
      </c>
      <c r="R242" s="662" t="s">
        <v>132</v>
      </c>
      <c r="S242" s="662" t="s">
        <v>214</v>
      </c>
      <c r="T242" s="892" t="s">
        <v>58</v>
      </c>
      <c r="U242" s="486"/>
      <c r="V242" s="415"/>
      <c r="W242" s="415"/>
      <c r="X242" s="415"/>
      <c r="Y242" s="415"/>
      <c r="Z242" s="416"/>
    </row>
    <row r="243" spans="1:26" ht="52.5" customHeight="1">
      <c r="A243" s="102"/>
      <c r="B243" s="1011"/>
      <c r="C243" s="741"/>
      <c r="D243" s="663"/>
      <c r="E243" s="663"/>
      <c r="F243" s="788"/>
      <c r="G243" s="789"/>
      <c r="H243" s="789"/>
      <c r="I243" s="531"/>
      <c r="J243" s="487"/>
      <c r="K243" s="1357"/>
      <c r="L243" s="824" t="s">
        <v>265</v>
      </c>
      <c r="M243" s="487" t="s">
        <v>896</v>
      </c>
      <c r="N243" s="487" t="s">
        <v>897</v>
      </c>
      <c r="O243" s="487" t="s">
        <v>898</v>
      </c>
      <c r="P243" s="885" t="s">
        <v>895</v>
      </c>
      <c r="Q243" s="663" t="s">
        <v>814</v>
      </c>
      <c r="R243" s="663" t="s">
        <v>132</v>
      </c>
      <c r="S243" s="663" t="s">
        <v>214</v>
      </c>
      <c r="T243" s="895"/>
      <c r="U243" s="486"/>
      <c r="V243" s="415"/>
      <c r="W243" s="415"/>
      <c r="X243" s="415"/>
      <c r="Y243" s="415"/>
      <c r="Z243" s="416"/>
    </row>
    <row r="244" spans="1:26" ht="52.5" customHeight="1" thickBot="1">
      <c r="A244" s="102"/>
      <c r="B244" s="1012"/>
      <c r="C244" s="747"/>
      <c r="D244" s="664"/>
      <c r="E244" s="664"/>
      <c r="F244" s="790"/>
      <c r="G244" s="791"/>
      <c r="H244" s="791"/>
      <c r="I244" s="792"/>
      <c r="J244" s="793"/>
      <c r="K244" s="1359"/>
      <c r="L244" s="827" t="s">
        <v>265</v>
      </c>
      <c r="M244" s="793" t="s">
        <v>899</v>
      </c>
      <c r="N244" s="793" t="s">
        <v>900</v>
      </c>
      <c r="O244" s="793" t="s">
        <v>216</v>
      </c>
      <c r="P244" s="933" t="s">
        <v>700</v>
      </c>
      <c r="Q244" s="664" t="s">
        <v>249</v>
      </c>
      <c r="R244" s="664" t="s">
        <v>140</v>
      </c>
      <c r="S244" s="664" t="s">
        <v>214</v>
      </c>
      <c r="T244" s="897"/>
      <c r="U244" s="486"/>
      <c r="V244" s="415"/>
      <c r="W244" s="415"/>
      <c r="X244" s="415"/>
      <c r="Y244" s="415"/>
      <c r="Z244" s="416"/>
    </row>
    <row r="245" spans="1:26" ht="52.5" customHeight="1">
      <c r="A245" s="102"/>
      <c r="B245" s="1022">
        <v>41</v>
      </c>
      <c r="C245" s="736" t="s">
        <v>769</v>
      </c>
      <c r="D245" s="662" t="s">
        <v>901</v>
      </c>
      <c r="E245" s="662" t="s">
        <v>67</v>
      </c>
      <c r="F245" s="784" t="s">
        <v>902</v>
      </c>
      <c r="G245" s="739" t="s">
        <v>746</v>
      </c>
      <c r="H245" s="739" t="s">
        <v>149</v>
      </c>
      <c r="I245" s="786" t="s">
        <v>903</v>
      </c>
      <c r="J245" s="787"/>
      <c r="K245" s="1368" t="s">
        <v>904</v>
      </c>
      <c r="L245" s="830" t="s">
        <v>227</v>
      </c>
      <c r="M245" s="787" t="s">
        <v>905</v>
      </c>
      <c r="N245" s="787" t="s">
        <v>906</v>
      </c>
      <c r="O245" s="787" t="s">
        <v>216</v>
      </c>
      <c r="P245" s="932" t="s">
        <v>765</v>
      </c>
      <c r="Q245" s="662" t="s">
        <v>375</v>
      </c>
      <c r="R245" s="662" t="s">
        <v>131</v>
      </c>
      <c r="S245" s="662" t="s">
        <v>214</v>
      </c>
      <c r="T245" s="892" t="s">
        <v>58</v>
      </c>
      <c r="U245" s="491"/>
      <c r="V245" s="492"/>
      <c r="W245" s="492"/>
      <c r="X245" s="492"/>
      <c r="Y245" s="492"/>
      <c r="Z245" s="493"/>
    </row>
    <row r="246" spans="1:26" s="471" customFormat="1" ht="52.5" customHeight="1">
      <c r="A246" s="497"/>
      <c r="B246" s="1011"/>
      <c r="C246" s="741"/>
      <c r="D246" s="663"/>
      <c r="E246" s="663"/>
      <c r="F246" s="788"/>
      <c r="G246" s="744"/>
      <c r="H246" s="744"/>
      <c r="I246" s="531"/>
      <c r="J246" s="487"/>
      <c r="K246" s="1366"/>
      <c r="L246" s="824" t="s">
        <v>209</v>
      </c>
      <c r="M246" s="487" t="s">
        <v>907</v>
      </c>
      <c r="N246" s="487" t="s">
        <v>908</v>
      </c>
      <c r="O246" s="487" t="s">
        <v>216</v>
      </c>
      <c r="P246" s="885" t="s">
        <v>909</v>
      </c>
      <c r="Q246" s="663" t="s">
        <v>375</v>
      </c>
      <c r="R246" s="663" t="s">
        <v>131</v>
      </c>
      <c r="S246" s="663" t="s">
        <v>214</v>
      </c>
      <c r="T246" s="895"/>
      <c r="U246" s="496"/>
      <c r="V246" s="494"/>
      <c r="W246" s="494"/>
      <c r="X246" s="494"/>
      <c r="Y246" s="494"/>
      <c r="Z246" s="495"/>
    </row>
    <row r="247" spans="1:26" s="471" customFormat="1" ht="52.5" customHeight="1">
      <c r="A247" s="497"/>
      <c r="B247" s="1011"/>
      <c r="C247" s="741"/>
      <c r="D247" s="663"/>
      <c r="E247" s="663"/>
      <c r="F247" s="788"/>
      <c r="G247" s="744"/>
      <c r="H247" s="744"/>
      <c r="I247" s="531"/>
      <c r="J247" s="487"/>
      <c r="K247" s="1366"/>
      <c r="L247" s="1375" t="s">
        <v>261</v>
      </c>
      <c r="M247" s="487" t="s">
        <v>910</v>
      </c>
      <c r="N247" s="487" t="s">
        <v>627</v>
      </c>
      <c r="O247" s="487" t="s">
        <v>216</v>
      </c>
      <c r="P247" s="885" t="s">
        <v>700</v>
      </c>
      <c r="Q247" s="663" t="s">
        <v>596</v>
      </c>
      <c r="R247" s="663" t="s">
        <v>136</v>
      </c>
      <c r="S247" s="663" t="s">
        <v>214</v>
      </c>
      <c r="T247" s="895"/>
      <c r="U247" s="496"/>
      <c r="V247" s="494"/>
      <c r="W247" s="494"/>
      <c r="X247" s="494"/>
      <c r="Y247" s="494"/>
      <c r="Z247" s="495"/>
    </row>
    <row r="248" spans="1:26" s="471" customFormat="1" ht="52.5" customHeight="1">
      <c r="A248" s="497"/>
      <c r="B248" s="1011"/>
      <c r="C248" s="741"/>
      <c r="D248" s="663"/>
      <c r="E248" s="663"/>
      <c r="F248" s="788"/>
      <c r="G248" s="744"/>
      <c r="H248" s="744"/>
      <c r="I248" s="531"/>
      <c r="J248" s="487"/>
      <c r="K248" s="1366"/>
      <c r="L248" s="1375"/>
      <c r="M248" s="487" t="s">
        <v>910</v>
      </c>
      <c r="N248" s="487" t="s">
        <v>911</v>
      </c>
      <c r="O248" s="487" t="s">
        <v>216</v>
      </c>
      <c r="P248" s="885" t="s">
        <v>909</v>
      </c>
      <c r="Q248" s="663" t="s">
        <v>375</v>
      </c>
      <c r="R248" s="663" t="s">
        <v>131</v>
      </c>
      <c r="S248" s="663" t="s">
        <v>214</v>
      </c>
      <c r="T248" s="895"/>
      <c r="U248" s="496"/>
      <c r="V248" s="494"/>
      <c r="W248" s="494"/>
      <c r="X248" s="494"/>
      <c r="Y248" s="494"/>
      <c r="Z248" s="495"/>
    </row>
    <row r="249" spans="1:26" s="471" customFormat="1" ht="52.5" customHeight="1" thickBot="1">
      <c r="A249" s="497"/>
      <c r="B249" s="1019"/>
      <c r="C249" s="911"/>
      <c r="D249" s="693"/>
      <c r="E249" s="693"/>
      <c r="F249" s="797"/>
      <c r="G249" s="914"/>
      <c r="H249" s="914"/>
      <c r="I249" s="799"/>
      <c r="J249" s="681"/>
      <c r="K249" s="1367"/>
      <c r="L249" s="835" t="s">
        <v>265</v>
      </c>
      <c r="M249" s="681" t="s">
        <v>912</v>
      </c>
      <c r="N249" s="681" t="s">
        <v>913</v>
      </c>
      <c r="O249" s="681" t="s">
        <v>216</v>
      </c>
      <c r="P249" s="939" t="s">
        <v>700</v>
      </c>
      <c r="Q249" s="693" t="s">
        <v>375</v>
      </c>
      <c r="R249" s="693" t="s">
        <v>131</v>
      </c>
      <c r="S249" s="693" t="s">
        <v>214</v>
      </c>
      <c r="T249" s="938"/>
      <c r="U249" s="501"/>
      <c r="V249" s="502"/>
      <c r="W249" s="502"/>
      <c r="X249" s="502"/>
      <c r="Y249" s="502"/>
      <c r="Z249" s="503"/>
    </row>
    <row r="250" spans="1:26" ht="52.5" customHeight="1">
      <c r="A250" s="102"/>
      <c r="B250" s="1010">
        <v>42</v>
      </c>
      <c r="C250" s="736" t="s">
        <v>769</v>
      </c>
      <c r="D250" s="662" t="s">
        <v>914</v>
      </c>
      <c r="E250" s="662" t="s">
        <v>64</v>
      </c>
      <c r="F250" s="784" t="s">
        <v>915</v>
      </c>
      <c r="G250" s="739" t="s">
        <v>916</v>
      </c>
      <c r="H250" s="739" t="s">
        <v>157</v>
      </c>
      <c r="I250" s="786" t="s">
        <v>917</v>
      </c>
      <c r="J250" s="787"/>
      <c r="K250" s="1368" t="s">
        <v>918</v>
      </c>
      <c r="L250" s="1525" t="s">
        <v>209</v>
      </c>
      <c r="M250" s="787" t="s">
        <v>919</v>
      </c>
      <c r="N250" s="787" t="s">
        <v>920</v>
      </c>
      <c r="O250" s="787" t="s">
        <v>216</v>
      </c>
      <c r="P250" s="932" t="s">
        <v>921</v>
      </c>
      <c r="Q250" s="662" t="s">
        <v>922</v>
      </c>
      <c r="R250" s="671" t="s">
        <v>138</v>
      </c>
      <c r="S250" s="662" t="s">
        <v>214</v>
      </c>
      <c r="T250" s="892" t="s">
        <v>57</v>
      </c>
      <c r="U250" s="496"/>
      <c r="V250" s="494"/>
      <c r="W250" s="494"/>
      <c r="X250" s="494"/>
      <c r="Y250" s="494"/>
      <c r="Z250" s="495"/>
    </row>
    <row r="251" spans="1:26" ht="52.5" customHeight="1">
      <c r="A251" s="102"/>
      <c r="B251" s="1011"/>
      <c r="C251" s="741"/>
      <c r="D251" s="663"/>
      <c r="E251" s="663"/>
      <c r="F251" s="788"/>
      <c r="G251" s="744"/>
      <c r="H251" s="744"/>
      <c r="I251" s="531"/>
      <c r="J251" s="487"/>
      <c r="K251" s="1366"/>
      <c r="L251" s="1375"/>
      <c r="M251" s="487" t="s">
        <v>919</v>
      </c>
      <c r="N251" s="487" t="s">
        <v>923</v>
      </c>
      <c r="O251" s="487" t="s">
        <v>216</v>
      </c>
      <c r="P251" s="885" t="s">
        <v>921</v>
      </c>
      <c r="Q251" s="663" t="s">
        <v>922</v>
      </c>
      <c r="R251" s="663" t="s">
        <v>138</v>
      </c>
      <c r="S251" s="663" t="s">
        <v>214</v>
      </c>
      <c r="T251" s="895"/>
      <c r="U251" s="496"/>
      <c r="V251" s="494"/>
      <c r="W251" s="494"/>
      <c r="X251" s="494"/>
      <c r="Y251" s="494"/>
      <c r="Z251" s="495"/>
    </row>
    <row r="252" spans="1:26" ht="52.5" customHeight="1">
      <c r="A252" s="102"/>
      <c r="B252" s="1011"/>
      <c r="C252" s="741"/>
      <c r="D252" s="663"/>
      <c r="E252" s="663"/>
      <c r="F252" s="788"/>
      <c r="G252" s="744"/>
      <c r="H252" s="744"/>
      <c r="I252" s="531"/>
      <c r="J252" s="487"/>
      <c r="K252" s="1366"/>
      <c r="L252" s="824" t="s">
        <v>227</v>
      </c>
      <c r="M252" s="487" t="s">
        <v>924</v>
      </c>
      <c r="N252" s="487" t="s">
        <v>925</v>
      </c>
      <c r="O252" s="487" t="s">
        <v>216</v>
      </c>
      <c r="P252" s="885" t="s">
        <v>895</v>
      </c>
      <c r="Q252" s="663" t="s">
        <v>922</v>
      </c>
      <c r="R252" s="663" t="s">
        <v>138</v>
      </c>
      <c r="S252" s="663" t="s">
        <v>214</v>
      </c>
      <c r="T252" s="895"/>
      <c r="U252" s="496"/>
      <c r="V252" s="494"/>
      <c r="W252" s="494"/>
      <c r="X252" s="494"/>
      <c r="Y252" s="494"/>
      <c r="Z252" s="495"/>
    </row>
    <row r="253" spans="1:26" ht="52.5" customHeight="1">
      <c r="A253" s="102"/>
      <c r="B253" s="1011"/>
      <c r="C253" s="741"/>
      <c r="D253" s="663"/>
      <c r="E253" s="663"/>
      <c r="F253" s="788"/>
      <c r="G253" s="744"/>
      <c r="H253" s="744"/>
      <c r="I253" s="531"/>
      <c r="J253" s="487"/>
      <c r="K253" s="1366"/>
      <c r="L253" s="1375" t="s">
        <v>265</v>
      </c>
      <c r="M253" s="487" t="s">
        <v>926</v>
      </c>
      <c r="N253" s="487" t="s">
        <v>927</v>
      </c>
      <c r="O253" s="487" t="s">
        <v>216</v>
      </c>
      <c r="P253" s="885" t="s">
        <v>921</v>
      </c>
      <c r="Q253" s="663" t="s">
        <v>922</v>
      </c>
      <c r="R253" s="663" t="s">
        <v>138</v>
      </c>
      <c r="S253" s="663" t="s">
        <v>214</v>
      </c>
      <c r="T253" s="895"/>
      <c r="U253" s="496"/>
      <c r="V253" s="494"/>
      <c r="W253" s="494"/>
      <c r="X253" s="494"/>
      <c r="Y253" s="494"/>
      <c r="Z253" s="495"/>
    </row>
    <row r="254" spans="1:26" ht="52.5" customHeight="1">
      <c r="A254" s="102"/>
      <c r="B254" s="1011"/>
      <c r="C254" s="741"/>
      <c r="D254" s="663"/>
      <c r="E254" s="663"/>
      <c r="F254" s="788"/>
      <c r="G254" s="744"/>
      <c r="H254" s="744"/>
      <c r="I254" s="531"/>
      <c r="J254" s="487"/>
      <c r="K254" s="1366"/>
      <c r="L254" s="1375"/>
      <c r="M254" s="487" t="s">
        <v>926</v>
      </c>
      <c r="N254" s="487" t="s">
        <v>928</v>
      </c>
      <c r="O254" s="487" t="s">
        <v>216</v>
      </c>
      <c r="P254" s="885" t="s">
        <v>921</v>
      </c>
      <c r="Q254" s="663" t="s">
        <v>922</v>
      </c>
      <c r="R254" s="663" t="s">
        <v>138</v>
      </c>
      <c r="S254" s="663" t="s">
        <v>214</v>
      </c>
      <c r="T254" s="895"/>
      <c r="U254" s="496"/>
      <c r="V254" s="494"/>
      <c r="W254" s="494"/>
      <c r="X254" s="494"/>
      <c r="Y254" s="494"/>
      <c r="Z254" s="495"/>
    </row>
    <row r="255" spans="1:26" ht="52.5" customHeight="1">
      <c r="A255" s="102"/>
      <c r="B255" s="1011"/>
      <c r="C255" s="741"/>
      <c r="D255" s="663"/>
      <c r="E255" s="663"/>
      <c r="F255" s="788"/>
      <c r="G255" s="744"/>
      <c r="H255" s="744"/>
      <c r="I255" s="531"/>
      <c r="J255" s="487"/>
      <c r="K255" s="1366"/>
      <c r="L255" s="824" t="s">
        <v>227</v>
      </c>
      <c r="M255" s="940" t="s">
        <v>929</v>
      </c>
      <c r="N255" s="487" t="s">
        <v>930</v>
      </c>
      <c r="O255" s="487" t="s">
        <v>216</v>
      </c>
      <c r="P255" s="885" t="s">
        <v>895</v>
      </c>
      <c r="Q255" s="663" t="s">
        <v>840</v>
      </c>
      <c r="R255" s="663" t="s">
        <v>142</v>
      </c>
      <c r="S255" s="663" t="s">
        <v>214</v>
      </c>
      <c r="T255" s="895"/>
      <c r="U255" s="496"/>
      <c r="V255" s="494"/>
      <c r="W255" s="494"/>
      <c r="X255" s="494"/>
      <c r="Y255" s="494"/>
      <c r="Z255" s="495"/>
    </row>
    <row r="256" spans="1:26" ht="52.5" customHeight="1">
      <c r="A256" s="102"/>
      <c r="B256" s="1011"/>
      <c r="C256" s="741"/>
      <c r="D256" s="663"/>
      <c r="E256" s="663"/>
      <c r="F256" s="788"/>
      <c r="G256" s="744"/>
      <c r="H256" s="744"/>
      <c r="I256" s="531"/>
      <c r="J256" s="487"/>
      <c r="K256" s="1366"/>
      <c r="L256" s="1375" t="s">
        <v>261</v>
      </c>
      <c r="M256" s="487" t="s">
        <v>931</v>
      </c>
      <c r="N256" s="487" t="s">
        <v>920</v>
      </c>
      <c r="O256" s="487" t="s">
        <v>216</v>
      </c>
      <c r="P256" s="885" t="s">
        <v>932</v>
      </c>
      <c r="Q256" s="663" t="s">
        <v>922</v>
      </c>
      <c r="R256" s="663" t="s">
        <v>138</v>
      </c>
      <c r="S256" s="663" t="s">
        <v>214</v>
      </c>
      <c r="T256" s="895"/>
      <c r="U256" s="496"/>
      <c r="V256" s="494"/>
      <c r="W256" s="494"/>
      <c r="X256" s="494"/>
      <c r="Y256" s="494"/>
      <c r="Z256" s="495"/>
    </row>
    <row r="257" spans="1:33" ht="52.5" customHeight="1">
      <c r="A257" s="102"/>
      <c r="B257" s="1011"/>
      <c r="C257" s="741"/>
      <c r="D257" s="663"/>
      <c r="E257" s="663"/>
      <c r="F257" s="788"/>
      <c r="G257" s="744"/>
      <c r="H257" s="744"/>
      <c r="I257" s="531"/>
      <c r="J257" s="487"/>
      <c r="K257" s="1366"/>
      <c r="L257" s="1375"/>
      <c r="M257" s="487" t="s">
        <v>931</v>
      </c>
      <c r="N257" s="487" t="s">
        <v>933</v>
      </c>
      <c r="O257" s="487" t="s">
        <v>216</v>
      </c>
      <c r="P257" s="885" t="s">
        <v>934</v>
      </c>
      <c r="Q257" s="663" t="s">
        <v>935</v>
      </c>
      <c r="R257" s="663" t="s">
        <v>142</v>
      </c>
      <c r="S257" s="663" t="s">
        <v>214</v>
      </c>
      <c r="T257" s="895"/>
      <c r="U257" s="496"/>
      <c r="V257" s="494"/>
      <c r="W257" s="494"/>
      <c r="X257" s="494"/>
      <c r="Y257" s="494"/>
      <c r="Z257" s="495"/>
    </row>
    <row r="258" spans="1:33" ht="52.5" customHeight="1">
      <c r="A258" s="102"/>
      <c r="B258" s="1011"/>
      <c r="C258" s="741"/>
      <c r="D258" s="663"/>
      <c r="E258" s="663"/>
      <c r="F258" s="788"/>
      <c r="G258" s="744"/>
      <c r="H258" s="744"/>
      <c r="I258" s="531"/>
      <c r="J258" s="487"/>
      <c r="K258" s="1366"/>
      <c r="L258" s="1375"/>
      <c r="M258" s="487" t="s">
        <v>931</v>
      </c>
      <c r="N258" s="487" t="s">
        <v>936</v>
      </c>
      <c r="O258" s="487" t="s">
        <v>216</v>
      </c>
      <c r="P258" s="885" t="s">
        <v>937</v>
      </c>
      <c r="Q258" s="663" t="s">
        <v>922</v>
      </c>
      <c r="R258" s="663" t="s">
        <v>138</v>
      </c>
      <c r="S258" s="663" t="s">
        <v>214</v>
      </c>
      <c r="T258" s="895"/>
      <c r="U258" s="496"/>
      <c r="V258" s="494"/>
      <c r="W258" s="494"/>
      <c r="X258" s="494"/>
      <c r="Y258" s="494"/>
      <c r="Z258" s="495"/>
    </row>
    <row r="259" spans="1:33" ht="52.5" customHeight="1">
      <c r="A259" s="102"/>
      <c r="B259" s="1011"/>
      <c r="C259" s="741"/>
      <c r="D259" s="663"/>
      <c r="E259" s="663"/>
      <c r="F259" s="788"/>
      <c r="G259" s="744"/>
      <c r="H259" s="744"/>
      <c r="I259" s="531"/>
      <c r="J259" s="487"/>
      <c r="K259" s="1366"/>
      <c r="L259" s="824" t="s">
        <v>227</v>
      </c>
      <c r="M259" s="487" t="s">
        <v>938</v>
      </c>
      <c r="N259" s="487" t="s">
        <v>939</v>
      </c>
      <c r="O259" s="487" t="s">
        <v>216</v>
      </c>
      <c r="P259" s="885" t="s">
        <v>940</v>
      </c>
      <c r="Q259" s="663" t="s">
        <v>922</v>
      </c>
      <c r="R259" s="663" t="s">
        <v>138</v>
      </c>
      <c r="S259" s="663" t="s">
        <v>214</v>
      </c>
      <c r="T259" s="895"/>
      <c r="U259" s="496"/>
      <c r="V259" s="494"/>
      <c r="W259" s="494"/>
      <c r="X259" s="494"/>
      <c r="Y259" s="494"/>
      <c r="Z259" s="495"/>
    </row>
    <row r="260" spans="1:33" ht="52.5" customHeight="1">
      <c r="A260" s="102"/>
      <c r="B260" s="1011"/>
      <c r="C260" s="741"/>
      <c r="D260" s="663"/>
      <c r="E260" s="663"/>
      <c r="F260" s="788"/>
      <c r="G260" s="744"/>
      <c r="H260" s="744"/>
      <c r="I260" s="531"/>
      <c r="J260" s="487"/>
      <c r="K260" s="1366"/>
      <c r="L260" s="824" t="s">
        <v>265</v>
      </c>
      <c r="M260" s="487" t="s">
        <v>941</v>
      </c>
      <c r="N260" s="487" t="s">
        <v>942</v>
      </c>
      <c r="O260" s="487" t="s">
        <v>216</v>
      </c>
      <c r="P260" s="885" t="s">
        <v>943</v>
      </c>
      <c r="Q260" s="663" t="s">
        <v>944</v>
      </c>
      <c r="R260" s="672" t="s">
        <v>140</v>
      </c>
      <c r="S260" s="663" t="s">
        <v>214</v>
      </c>
      <c r="T260" s="895"/>
      <c r="U260" s="496"/>
      <c r="V260" s="494"/>
      <c r="W260" s="494"/>
      <c r="X260" s="494"/>
      <c r="Y260" s="494"/>
      <c r="Z260" s="495"/>
    </row>
    <row r="261" spans="1:33" ht="52.5" customHeight="1">
      <c r="A261" s="102"/>
      <c r="B261" s="1011"/>
      <c r="C261" s="741"/>
      <c r="D261" s="663"/>
      <c r="E261" s="663"/>
      <c r="F261" s="788"/>
      <c r="G261" s="744"/>
      <c r="H261" s="744"/>
      <c r="I261" s="531"/>
      <c r="J261" s="487"/>
      <c r="K261" s="1366"/>
      <c r="L261" s="1375" t="s">
        <v>265</v>
      </c>
      <c r="M261" s="487" t="s">
        <v>945</v>
      </c>
      <c r="N261" s="487" t="s">
        <v>946</v>
      </c>
      <c r="O261" s="487" t="s">
        <v>216</v>
      </c>
      <c r="P261" s="885" t="s">
        <v>943</v>
      </c>
      <c r="Q261" s="663" t="s">
        <v>371</v>
      </c>
      <c r="R261" s="663" t="s">
        <v>138</v>
      </c>
      <c r="S261" s="663" t="s">
        <v>214</v>
      </c>
      <c r="T261" s="895"/>
      <c r="U261" s="496"/>
      <c r="V261" s="494"/>
      <c r="W261" s="494"/>
      <c r="X261" s="494"/>
      <c r="Y261" s="494"/>
      <c r="Z261" s="495"/>
    </row>
    <row r="262" spans="1:33" ht="52.5" customHeight="1">
      <c r="A262" s="102"/>
      <c r="B262" s="1011"/>
      <c r="C262" s="741"/>
      <c r="D262" s="663"/>
      <c r="E262" s="663"/>
      <c r="F262" s="788"/>
      <c r="G262" s="744"/>
      <c r="H262" s="744"/>
      <c r="I262" s="531"/>
      <c r="J262" s="487"/>
      <c r="K262" s="1366"/>
      <c r="L262" s="1375"/>
      <c r="M262" s="487" t="s">
        <v>945</v>
      </c>
      <c r="N262" s="487" t="s">
        <v>947</v>
      </c>
      <c r="O262" s="487" t="s">
        <v>216</v>
      </c>
      <c r="P262" s="885" t="s">
        <v>934</v>
      </c>
      <c r="Q262" s="663" t="s">
        <v>371</v>
      </c>
      <c r="R262" s="663" t="s">
        <v>138</v>
      </c>
      <c r="S262" s="663" t="s">
        <v>214</v>
      </c>
      <c r="T262" s="895"/>
      <c r="U262" s="496"/>
      <c r="V262" s="494"/>
      <c r="W262" s="494"/>
      <c r="X262" s="494"/>
      <c r="Y262" s="494"/>
      <c r="Z262" s="495"/>
    </row>
    <row r="263" spans="1:33" ht="52.5" customHeight="1" thickBot="1">
      <c r="A263" s="102"/>
      <c r="B263" s="1012"/>
      <c r="C263" s="747"/>
      <c r="D263" s="664"/>
      <c r="E263" s="664"/>
      <c r="F263" s="790"/>
      <c r="G263" s="750"/>
      <c r="H263" s="750"/>
      <c r="I263" s="792"/>
      <c r="J263" s="793"/>
      <c r="K263" s="1367"/>
      <c r="L263" s="1427"/>
      <c r="M263" s="793" t="s">
        <v>945</v>
      </c>
      <c r="N263" s="793" t="s">
        <v>948</v>
      </c>
      <c r="O263" s="793" t="s">
        <v>216</v>
      </c>
      <c r="P263" s="933" t="s">
        <v>949</v>
      </c>
      <c r="Q263" s="664" t="s">
        <v>371</v>
      </c>
      <c r="R263" s="664" t="s">
        <v>138</v>
      </c>
      <c r="S263" s="664" t="s">
        <v>214</v>
      </c>
      <c r="T263" s="897"/>
      <c r="U263" s="496"/>
      <c r="V263" s="494"/>
      <c r="W263" s="494"/>
      <c r="X263" s="494"/>
      <c r="Y263" s="494"/>
      <c r="Z263" s="495"/>
    </row>
    <row r="264" spans="1:33" ht="52.5" customHeight="1">
      <c r="A264" s="102"/>
      <c r="B264" s="1010">
        <v>43</v>
      </c>
      <c r="C264" s="736" t="s">
        <v>769</v>
      </c>
      <c r="D264" s="662" t="s">
        <v>950</v>
      </c>
      <c r="E264" s="662" t="s">
        <v>67</v>
      </c>
      <c r="F264" s="784" t="s">
        <v>915</v>
      </c>
      <c r="G264" s="739" t="s">
        <v>540</v>
      </c>
      <c r="H264" s="739" t="s">
        <v>149</v>
      </c>
      <c r="I264" s="786" t="s">
        <v>951</v>
      </c>
      <c r="J264" s="787"/>
      <c r="K264" s="1368" t="s">
        <v>952</v>
      </c>
      <c r="L264" s="830" t="s">
        <v>209</v>
      </c>
      <c r="M264" s="787" t="s">
        <v>953</v>
      </c>
      <c r="N264" s="787" t="s">
        <v>954</v>
      </c>
      <c r="O264" s="787" t="s">
        <v>216</v>
      </c>
      <c r="P264" s="932" t="s">
        <v>921</v>
      </c>
      <c r="Q264" s="662" t="s">
        <v>922</v>
      </c>
      <c r="R264" s="671" t="s">
        <v>138</v>
      </c>
      <c r="S264" s="662" t="s">
        <v>214</v>
      </c>
      <c r="T264" s="892" t="s">
        <v>57</v>
      </c>
      <c r="U264" s="496"/>
      <c r="V264" s="494"/>
      <c r="W264" s="494"/>
      <c r="X264" s="494"/>
      <c r="Y264" s="494"/>
      <c r="Z264" s="495"/>
    </row>
    <row r="265" spans="1:33" ht="52.5" customHeight="1">
      <c r="A265" s="102"/>
      <c r="B265" s="1011"/>
      <c r="C265" s="741"/>
      <c r="D265" s="663"/>
      <c r="E265" s="663"/>
      <c r="F265" s="788"/>
      <c r="G265" s="744"/>
      <c r="H265" s="744"/>
      <c r="I265" s="531"/>
      <c r="J265" s="487"/>
      <c r="K265" s="1366"/>
      <c r="L265" s="824" t="s">
        <v>261</v>
      </c>
      <c r="M265" s="487" t="s">
        <v>953</v>
      </c>
      <c r="N265" s="487" t="s">
        <v>955</v>
      </c>
      <c r="O265" s="487" t="s">
        <v>216</v>
      </c>
      <c r="P265" s="885" t="s">
        <v>921</v>
      </c>
      <c r="Q265" s="663" t="s">
        <v>922</v>
      </c>
      <c r="R265" s="663" t="s">
        <v>138</v>
      </c>
      <c r="S265" s="663" t="s">
        <v>214</v>
      </c>
      <c r="T265" s="895"/>
      <c r="U265" s="496"/>
      <c r="V265" s="494"/>
      <c r="W265" s="494"/>
      <c r="X265" s="494"/>
      <c r="Y265" s="494"/>
      <c r="Z265" s="495"/>
    </row>
    <row r="266" spans="1:33" ht="52.5" customHeight="1">
      <c r="A266" s="102"/>
      <c r="B266" s="1011"/>
      <c r="C266" s="741"/>
      <c r="D266" s="663"/>
      <c r="E266" s="663"/>
      <c r="F266" s="788"/>
      <c r="G266" s="744"/>
      <c r="H266" s="744"/>
      <c r="I266" s="531"/>
      <c r="J266" s="487"/>
      <c r="K266" s="1366"/>
      <c r="L266" s="824" t="s">
        <v>209</v>
      </c>
      <c r="M266" s="487" t="s">
        <v>956</v>
      </c>
      <c r="N266" s="487" t="s">
        <v>957</v>
      </c>
      <c r="O266" s="487" t="s">
        <v>216</v>
      </c>
      <c r="P266" s="885" t="s">
        <v>921</v>
      </c>
      <c r="Q266" s="663" t="s">
        <v>922</v>
      </c>
      <c r="R266" s="663" t="s">
        <v>138</v>
      </c>
      <c r="S266" s="663" t="s">
        <v>214</v>
      </c>
      <c r="T266" s="895"/>
      <c r="U266" s="496"/>
      <c r="V266" s="494"/>
      <c r="W266" s="494"/>
      <c r="X266" s="494"/>
      <c r="Y266" s="494"/>
      <c r="Z266" s="495"/>
    </row>
    <row r="267" spans="1:33" ht="52.5" customHeight="1">
      <c r="A267" s="102"/>
      <c r="B267" s="1007"/>
      <c r="C267" s="718"/>
      <c r="D267" s="663"/>
      <c r="E267" s="663"/>
      <c r="F267" s="800"/>
      <c r="G267" s="789"/>
      <c r="H267" s="789"/>
      <c r="I267" s="531"/>
      <c r="J267" s="487"/>
      <c r="K267" s="1366"/>
      <c r="L267" s="824" t="s">
        <v>261</v>
      </c>
      <c r="M267" s="941" t="s">
        <v>958</v>
      </c>
      <c r="N267" s="487" t="s">
        <v>923</v>
      </c>
      <c r="O267" s="487" t="s">
        <v>216</v>
      </c>
      <c r="P267" s="885" t="s">
        <v>921</v>
      </c>
      <c r="Q267" s="663" t="s">
        <v>922</v>
      </c>
      <c r="R267" s="663" t="s">
        <v>138</v>
      </c>
      <c r="S267" s="663" t="s">
        <v>214</v>
      </c>
      <c r="T267" s="895"/>
      <c r="U267" s="496"/>
      <c r="V267" s="494"/>
      <c r="W267" s="494"/>
      <c r="X267" s="494"/>
      <c r="Y267" s="494"/>
      <c r="Z267" s="495"/>
    </row>
    <row r="268" spans="1:33" ht="69.95">
      <c r="B268" s="1007"/>
      <c r="C268" s="718"/>
      <c r="D268" s="663"/>
      <c r="E268" s="663"/>
      <c r="F268" s="800"/>
      <c r="G268" s="789"/>
      <c r="H268" s="789"/>
      <c r="I268" s="531"/>
      <c r="J268" s="487"/>
      <c r="K268" s="1366"/>
      <c r="L268" s="824" t="s">
        <v>227</v>
      </c>
      <c r="M268" s="487" t="s">
        <v>959</v>
      </c>
      <c r="N268" s="487" t="s">
        <v>960</v>
      </c>
      <c r="O268" s="487" t="s">
        <v>216</v>
      </c>
      <c r="P268" s="885" t="s">
        <v>940</v>
      </c>
      <c r="Q268" s="663" t="s">
        <v>935</v>
      </c>
      <c r="R268" s="663" t="s">
        <v>142</v>
      </c>
      <c r="S268" s="942" t="s">
        <v>214</v>
      </c>
      <c r="T268" s="895"/>
      <c r="U268" s="496"/>
      <c r="V268" s="494"/>
      <c r="W268" s="494"/>
      <c r="X268" s="494"/>
      <c r="Y268" s="494"/>
      <c r="Z268" s="495"/>
    </row>
    <row r="269" spans="1:33" s="274" customFormat="1" ht="50.1" customHeight="1">
      <c r="B269" s="1007"/>
      <c r="C269" s="718"/>
      <c r="D269" s="663"/>
      <c r="E269" s="663"/>
      <c r="F269" s="800"/>
      <c r="G269" s="789"/>
      <c r="H269" s="789"/>
      <c r="I269" s="531"/>
      <c r="J269" s="487"/>
      <c r="K269" s="1366"/>
      <c r="L269" s="824" t="s">
        <v>265</v>
      </c>
      <c r="M269" s="487" t="s">
        <v>961</v>
      </c>
      <c r="N269" s="487" t="s">
        <v>962</v>
      </c>
      <c r="O269" s="487" t="s">
        <v>216</v>
      </c>
      <c r="P269" s="885" t="s">
        <v>921</v>
      </c>
      <c r="Q269" s="663" t="s">
        <v>922</v>
      </c>
      <c r="R269" s="663" t="s">
        <v>138</v>
      </c>
      <c r="S269" s="663" t="s">
        <v>214</v>
      </c>
      <c r="T269" s="895"/>
      <c r="U269" s="496"/>
      <c r="V269" s="494"/>
      <c r="W269" s="494"/>
      <c r="X269" s="494"/>
      <c r="Y269" s="494"/>
      <c r="Z269" s="495"/>
      <c r="AA269" s="275"/>
      <c r="AB269" s="275"/>
      <c r="AC269" s="275"/>
      <c r="AD269" s="275"/>
      <c r="AE269" s="275"/>
      <c r="AF269" s="275"/>
      <c r="AG269" s="476"/>
    </row>
    <row r="270" spans="1:33" s="274" customFormat="1" ht="50.1" customHeight="1" thickBot="1">
      <c r="B270" s="1008"/>
      <c r="C270" s="723"/>
      <c r="D270" s="693"/>
      <c r="E270" s="693"/>
      <c r="F270" s="801"/>
      <c r="G270" s="798"/>
      <c r="H270" s="798"/>
      <c r="I270" s="799"/>
      <c r="J270" s="681"/>
      <c r="K270" s="1366"/>
      <c r="L270" s="835" t="s">
        <v>265</v>
      </c>
      <c r="M270" s="681" t="s">
        <v>963</v>
      </c>
      <c r="N270" s="681" t="s">
        <v>964</v>
      </c>
      <c r="O270" s="681" t="s">
        <v>582</v>
      </c>
      <c r="P270" s="939" t="s">
        <v>943</v>
      </c>
      <c r="Q270" s="693" t="s">
        <v>922</v>
      </c>
      <c r="R270" s="693" t="s">
        <v>138</v>
      </c>
      <c r="S270" s="693" t="s">
        <v>214</v>
      </c>
      <c r="T270" s="895"/>
      <c r="U270" s="496"/>
      <c r="V270" s="494"/>
      <c r="W270" s="494"/>
      <c r="X270" s="494"/>
      <c r="Y270" s="494"/>
      <c r="Z270" s="495"/>
      <c r="AA270" s="275"/>
      <c r="AB270" s="275"/>
      <c r="AC270" s="275"/>
      <c r="AD270" s="275"/>
      <c r="AE270" s="275"/>
      <c r="AF270" s="275"/>
      <c r="AG270" s="476"/>
    </row>
    <row r="271" spans="1:33" ht="52.5" customHeight="1">
      <c r="A271" s="102"/>
      <c r="B271" s="1010">
        <v>44</v>
      </c>
      <c r="C271" s="736" t="s">
        <v>116</v>
      </c>
      <c r="D271" s="662" t="s">
        <v>965</v>
      </c>
      <c r="E271" s="662" t="s">
        <v>64</v>
      </c>
      <c r="F271" s="784" t="s">
        <v>966</v>
      </c>
      <c r="G271" s="785" t="s">
        <v>967</v>
      </c>
      <c r="H271" s="785" t="s">
        <v>150</v>
      </c>
      <c r="I271" s="786" t="s">
        <v>968</v>
      </c>
      <c r="J271" s="787"/>
      <c r="K271" s="1391" t="s">
        <v>969</v>
      </c>
      <c r="L271" s="1371" t="s">
        <v>209</v>
      </c>
      <c r="M271" s="1369" t="s">
        <v>970</v>
      </c>
      <c r="N271" s="787" t="s">
        <v>971</v>
      </c>
      <c r="O271" s="787" t="s">
        <v>216</v>
      </c>
      <c r="P271" s="932" t="s">
        <v>972</v>
      </c>
      <c r="Q271" s="662" t="s">
        <v>846</v>
      </c>
      <c r="R271" s="662" t="s">
        <v>131</v>
      </c>
      <c r="S271" s="662" t="s">
        <v>214</v>
      </c>
      <c r="T271" s="892" t="s">
        <v>58</v>
      </c>
      <c r="U271" s="486"/>
      <c r="V271" s="415"/>
      <c r="W271" s="415"/>
      <c r="X271" s="415"/>
      <c r="Y271" s="415"/>
      <c r="Z271" s="416"/>
    </row>
    <row r="272" spans="1:33" ht="52.5" customHeight="1">
      <c r="A272" s="102"/>
      <c r="B272" s="1011"/>
      <c r="C272" s="741"/>
      <c r="D272" s="663"/>
      <c r="E272" s="663"/>
      <c r="F272" s="788"/>
      <c r="G272" s="789"/>
      <c r="H272" s="789"/>
      <c r="I272" s="531"/>
      <c r="J272" s="487"/>
      <c r="K272" s="1392"/>
      <c r="L272" s="1372"/>
      <c r="M272" s="1370"/>
      <c r="N272" s="487" t="s">
        <v>973</v>
      </c>
      <c r="O272" s="487" t="s">
        <v>216</v>
      </c>
      <c r="P272" s="885" t="s">
        <v>974</v>
      </c>
      <c r="Q272" s="663" t="s">
        <v>844</v>
      </c>
      <c r="R272" s="663" t="s">
        <v>131</v>
      </c>
      <c r="S272" s="663" t="s">
        <v>214</v>
      </c>
      <c r="T272" s="895"/>
      <c r="U272" s="486"/>
      <c r="V272" s="415"/>
      <c r="W272" s="415"/>
      <c r="X272" s="415"/>
      <c r="Y272" s="415"/>
      <c r="Z272" s="416"/>
    </row>
    <row r="273" spans="1:26" ht="52.5" customHeight="1">
      <c r="A273" s="102"/>
      <c r="B273" s="1011"/>
      <c r="C273" s="741"/>
      <c r="D273" s="663"/>
      <c r="E273" s="663"/>
      <c r="F273" s="788"/>
      <c r="G273" s="789"/>
      <c r="H273" s="789"/>
      <c r="I273" s="531"/>
      <c r="J273" s="487"/>
      <c r="K273" s="1392"/>
      <c r="L273" s="1362"/>
      <c r="M273" s="1360"/>
      <c r="N273" s="487" t="s">
        <v>975</v>
      </c>
      <c r="O273" s="487" t="s">
        <v>216</v>
      </c>
      <c r="P273" s="885" t="s">
        <v>976</v>
      </c>
      <c r="Q273" s="663" t="s">
        <v>143</v>
      </c>
      <c r="R273" s="663" t="s">
        <v>143</v>
      </c>
      <c r="S273" s="663" t="s">
        <v>214</v>
      </c>
      <c r="T273" s="895"/>
      <c r="U273" s="486"/>
      <c r="V273" s="415"/>
      <c r="W273" s="415"/>
      <c r="X273" s="415"/>
      <c r="Y273" s="415"/>
      <c r="Z273" s="416"/>
    </row>
    <row r="274" spans="1:26" ht="52.5" customHeight="1">
      <c r="A274" s="102"/>
      <c r="B274" s="1011"/>
      <c r="C274" s="741"/>
      <c r="D274" s="663"/>
      <c r="E274" s="663"/>
      <c r="F274" s="788"/>
      <c r="G274" s="789"/>
      <c r="H274" s="789"/>
      <c r="I274" s="531"/>
      <c r="J274" s="487"/>
      <c r="K274" s="1392"/>
      <c r="L274" s="824" t="s">
        <v>265</v>
      </c>
      <c r="M274" s="487" t="s">
        <v>977</v>
      </c>
      <c r="N274" s="487" t="s">
        <v>978</v>
      </c>
      <c r="O274" s="487" t="s">
        <v>216</v>
      </c>
      <c r="P274" s="885" t="s">
        <v>909</v>
      </c>
      <c r="Q274" s="663" t="s">
        <v>844</v>
      </c>
      <c r="R274" s="663" t="s">
        <v>131</v>
      </c>
      <c r="S274" s="663" t="s">
        <v>214</v>
      </c>
      <c r="T274" s="895"/>
      <c r="U274" s="486"/>
      <c r="V274" s="415"/>
      <c r="W274" s="415"/>
      <c r="X274" s="415"/>
      <c r="Y274" s="415"/>
      <c r="Z274" s="416"/>
    </row>
    <row r="275" spans="1:26" ht="52.5" customHeight="1">
      <c r="A275" s="102"/>
      <c r="B275" s="1011"/>
      <c r="C275" s="741"/>
      <c r="D275" s="663"/>
      <c r="E275" s="663"/>
      <c r="F275" s="788"/>
      <c r="G275" s="789"/>
      <c r="H275" s="789"/>
      <c r="I275" s="531"/>
      <c r="J275" s="487"/>
      <c r="K275" s="1392"/>
      <c r="L275" s="824" t="s">
        <v>265</v>
      </c>
      <c r="M275" s="487" t="s">
        <v>979</v>
      </c>
      <c r="N275" s="487" t="s">
        <v>980</v>
      </c>
      <c r="O275" s="487" t="s">
        <v>216</v>
      </c>
      <c r="P275" s="885" t="s">
        <v>981</v>
      </c>
      <c r="Q275" s="663" t="s">
        <v>143</v>
      </c>
      <c r="R275" s="663" t="s">
        <v>143</v>
      </c>
      <c r="S275" s="663" t="s">
        <v>214</v>
      </c>
      <c r="T275" s="895"/>
      <c r="U275" s="486"/>
      <c r="V275" s="415"/>
      <c r="W275" s="415"/>
      <c r="X275" s="415"/>
      <c r="Y275" s="415"/>
      <c r="Z275" s="416"/>
    </row>
    <row r="276" spans="1:26" ht="52.5" customHeight="1">
      <c r="A276" s="102"/>
      <c r="B276" s="1011"/>
      <c r="C276" s="741"/>
      <c r="D276" s="663"/>
      <c r="E276" s="663"/>
      <c r="F276" s="788"/>
      <c r="G276" s="789"/>
      <c r="H276" s="789"/>
      <c r="I276" s="531"/>
      <c r="J276" s="487"/>
      <c r="K276" s="1392"/>
      <c r="L276" s="824" t="s">
        <v>265</v>
      </c>
      <c r="M276" s="487" t="s">
        <v>982</v>
      </c>
      <c r="N276" s="487" t="s">
        <v>983</v>
      </c>
      <c r="O276" s="487" t="s">
        <v>216</v>
      </c>
      <c r="P276" s="885" t="s">
        <v>984</v>
      </c>
      <c r="Q276" s="663" t="s">
        <v>260</v>
      </c>
      <c r="R276" s="663" t="s">
        <v>136</v>
      </c>
      <c r="S276" s="663" t="s">
        <v>214</v>
      </c>
      <c r="T276" s="895"/>
      <c r="U276" s="486"/>
      <c r="V276" s="415"/>
      <c r="W276" s="415"/>
      <c r="X276" s="415"/>
      <c r="Y276" s="415"/>
      <c r="Z276" s="416"/>
    </row>
    <row r="277" spans="1:26" ht="52.5" customHeight="1" thickBot="1">
      <c r="A277" s="102"/>
      <c r="B277" s="1012"/>
      <c r="C277" s="747"/>
      <c r="D277" s="664"/>
      <c r="E277" s="664"/>
      <c r="F277" s="790"/>
      <c r="G277" s="791"/>
      <c r="H277" s="791"/>
      <c r="I277" s="792"/>
      <c r="J277" s="793"/>
      <c r="K277" s="1393"/>
      <c r="L277" s="827" t="s">
        <v>265</v>
      </c>
      <c r="M277" s="793" t="s">
        <v>985</v>
      </c>
      <c r="N277" s="793" t="s">
        <v>978</v>
      </c>
      <c r="O277" s="793" t="s">
        <v>216</v>
      </c>
      <c r="P277" s="933" t="s">
        <v>909</v>
      </c>
      <c r="Q277" s="664" t="s">
        <v>844</v>
      </c>
      <c r="R277" s="664" t="s">
        <v>131</v>
      </c>
      <c r="S277" s="664" t="s">
        <v>214</v>
      </c>
      <c r="T277" s="897"/>
      <c r="U277" s="486"/>
      <c r="V277" s="415"/>
      <c r="W277" s="415"/>
      <c r="X277" s="415"/>
      <c r="Y277" s="415"/>
      <c r="Z277" s="416"/>
    </row>
    <row r="278" spans="1:26" ht="71.45" customHeight="1">
      <c r="A278" s="102"/>
      <c r="B278" s="1021">
        <v>45</v>
      </c>
      <c r="C278" s="934" t="s">
        <v>116</v>
      </c>
      <c r="D278" s="665" t="s">
        <v>986</v>
      </c>
      <c r="E278" s="665" t="s">
        <v>67</v>
      </c>
      <c r="F278" s="794" t="s">
        <v>987</v>
      </c>
      <c r="G278" s="795" t="s">
        <v>988</v>
      </c>
      <c r="H278" s="795" t="s">
        <v>146</v>
      </c>
      <c r="I278" s="796" t="s">
        <v>989</v>
      </c>
      <c r="J278" s="680"/>
      <c r="K278" s="1366" t="s">
        <v>990</v>
      </c>
      <c r="L278" s="820" t="s">
        <v>265</v>
      </c>
      <c r="M278" s="680" t="s">
        <v>991</v>
      </c>
      <c r="N278" s="680" t="s">
        <v>992</v>
      </c>
      <c r="O278" s="680" t="s">
        <v>216</v>
      </c>
      <c r="P278" s="943" t="s">
        <v>984</v>
      </c>
      <c r="Q278" s="944" t="s">
        <v>833</v>
      </c>
      <c r="R278" s="665" t="s">
        <v>132</v>
      </c>
      <c r="S278" s="660" t="s">
        <v>214</v>
      </c>
      <c r="T278" s="937" t="s">
        <v>58</v>
      </c>
      <c r="U278" s="486"/>
      <c r="V278" s="415"/>
      <c r="W278" s="415"/>
      <c r="X278" s="415"/>
      <c r="Y278" s="415"/>
      <c r="Z278" s="416"/>
    </row>
    <row r="279" spans="1:26" ht="71.45" customHeight="1">
      <c r="A279" s="102"/>
      <c r="B279" s="1011"/>
      <c r="C279" s="741"/>
      <c r="D279" s="663"/>
      <c r="E279" s="663"/>
      <c r="F279" s="788"/>
      <c r="G279" s="789"/>
      <c r="H279" s="789"/>
      <c r="I279" s="531"/>
      <c r="J279" s="487"/>
      <c r="K279" s="1366"/>
      <c r="L279" s="824" t="s">
        <v>265</v>
      </c>
      <c r="M279" s="487" t="s">
        <v>993</v>
      </c>
      <c r="N279" s="487" t="s">
        <v>994</v>
      </c>
      <c r="O279" s="487" t="s">
        <v>216</v>
      </c>
      <c r="P279" s="885" t="s">
        <v>984</v>
      </c>
      <c r="Q279" s="945" t="s">
        <v>833</v>
      </c>
      <c r="R279" s="663" t="s">
        <v>132</v>
      </c>
      <c r="S279" s="693" t="s">
        <v>214</v>
      </c>
      <c r="T279" s="895"/>
      <c r="U279" s="486"/>
      <c r="V279" s="415"/>
      <c r="W279" s="415"/>
      <c r="X279" s="415"/>
      <c r="Y279" s="415"/>
      <c r="Z279" s="416"/>
    </row>
    <row r="280" spans="1:26" ht="71.45" customHeight="1" thickBot="1">
      <c r="A280" s="102"/>
      <c r="B280" s="1019"/>
      <c r="C280" s="911"/>
      <c r="D280" s="693"/>
      <c r="E280" s="693"/>
      <c r="F280" s="797"/>
      <c r="G280" s="798"/>
      <c r="H280" s="798"/>
      <c r="I280" s="799"/>
      <c r="J280" s="681"/>
      <c r="K280" s="1366"/>
      <c r="L280" s="835" t="s">
        <v>227</v>
      </c>
      <c r="M280" s="681" t="s">
        <v>995</v>
      </c>
      <c r="N280" s="681" t="s">
        <v>996</v>
      </c>
      <c r="O280" s="681" t="s">
        <v>216</v>
      </c>
      <c r="P280" s="939" t="s">
        <v>984</v>
      </c>
      <c r="Q280" s="946" t="s">
        <v>833</v>
      </c>
      <c r="R280" s="693" t="s">
        <v>132</v>
      </c>
      <c r="S280" s="693" t="s">
        <v>214</v>
      </c>
      <c r="T280" s="938"/>
      <c r="U280" s="486"/>
      <c r="V280" s="415"/>
      <c r="W280" s="415"/>
      <c r="X280" s="415"/>
      <c r="Y280" s="415"/>
      <c r="Z280" s="416"/>
    </row>
    <row r="281" spans="1:26" ht="52.5" customHeight="1">
      <c r="A281" s="102"/>
      <c r="B281" s="1020">
        <v>46</v>
      </c>
      <c r="C281" s="919" t="s">
        <v>116</v>
      </c>
      <c r="D281" s="659" t="s">
        <v>997</v>
      </c>
      <c r="E281" s="659" t="s">
        <v>64</v>
      </c>
      <c r="F281" s="669" t="s">
        <v>987</v>
      </c>
      <c r="G281" s="394" t="s">
        <v>998</v>
      </c>
      <c r="H281" s="394" t="s">
        <v>147</v>
      </c>
      <c r="I281" s="530" t="s">
        <v>999</v>
      </c>
      <c r="J281" s="712"/>
      <c r="K281" s="1368" t="s">
        <v>1000</v>
      </c>
      <c r="L281" s="1371" t="s">
        <v>209</v>
      </c>
      <c r="M281" s="1369" t="s">
        <v>1001</v>
      </c>
      <c r="N281" s="712" t="s">
        <v>1002</v>
      </c>
      <c r="O281" s="712" t="s">
        <v>582</v>
      </c>
      <c r="P281" s="947" t="s">
        <v>1003</v>
      </c>
      <c r="Q281" s="659" t="s">
        <v>226</v>
      </c>
      <c r="R281" s="659" t="s">
        <v>131</v>
      </c>
      <c r="S281" s="659" t="s">
        <v>214</v>
      </c>
      <c r="T281" s="948" t="s">
        <v>57</v>
      </c>
      <c r="U281" s="486"/>
      <c r="V281" s="415"/>
      <c r="W281" s="415"/>
      <c r="X281" s="415"/>
      <c r="Y281" s="415"/>
      <c r="Z281" s="416"/>
    </row>
    <row r="282" spans="1:26" ht="52.5" customHeight="1">
      <c r="A282" s="102"/>
      <c r="B282" s="1011"/>
      <c r="C282" s="741"/>
      <c r="D282" s="663"/>
      <c r="E282" s="663"/>
      <c r="F282" s="788"/>
      <c r="G282" s="789"/>
      <c r="H282" s="789"/>
      <c r="I282" s="531"/>
      <c r="J282" s="487"/>
      <c r="K282" s="1366"/>
      <c r="L282" s="1362"/>
      <c r="M282" s="1360"/>
      <c r="N282" s="487" t="s">
        <v>1004</v>
      </c>
      <c r="O282" s="487" t="s">
        <v>216</v>
      </c>
      <c r="P282" s="885" t="s">
        <v>1003</v>
      </c>
      <c r="Q282" s="663" t="s">
        <v>226</v>
      </c>
      <c r="R282" s="663" t="s">
        <v>131</v>
      </c>
      <c r="S282" s="663" t="s">
        <v>214</v>
      </c>
      <c r="T282" s="895"/>
      <c r="U282" s="486"/>
      <c r="V282" s="415"/>
      <c r="W282" s="415"/>
      <c r="X282" s="415"/>
      <c r="Y282" s="415"/>
      <c r="Z282" s="416"/>
    </row>
    <row r="283" spans="1:26" ht="52.5" customHeight="1">
      <c r="A283" s="102"/>
      <c r="B283" s="1011"/>
      <c r="C283" s="741"/>
      <c r="D283" s="663"/>
      <c r="E283" s="663"/>
      <c r="F283" s="788"/>
      <c r="G283" s="789"/>
      <c r="H283" s="789"/>
      <c r="I283" s="531"/>
      <c r="J283" s="487"/>
      <c r="K283" s="1366"/>
      <c r="L283" s="824" t="s">
        <v>261</v>
      </c>
      <c r="M283" s="487" t="s">
        <v>1005</v>
      </c>
      <c r="N283" s="487" t="s">
        <v>1006</v>
      </c>
      <c r="O283" s="487" t="s">
        <v>216</v>
      </c>
      <c r="P283" s="885" t="s">
        <v>1003</v>
      </c>
      <c r="Q283" s="663" t="s">
        <v>935</v>
      </c>
      <c r="R283" s="663" t="s">
        <v>142</v>
      </c>
      <c r="S283" s="663" t="s">
        <v>214</v>
      </c>
      <c r="T283" s="895"/>
      <c r="U283" s="486"/>
      <c r="V283" s="415"/>
      <c r="W283" s="415"/>
      <c r="X283" s="415"/>
      <c r="Y283" s="415"/>
      <c r="Z283" s="416"/>
    </row>
    <row r="284" spans="1:26" ht="52.5" customHeight="1">
      <c r="A284" s="102"/>
      <c r="B284" s="1011"/>
      <c r="C284" s="741"/>
      <c r="D284" s="663"/>
      <c r="E284" s="663"/>
      <c r="F284" s="788"/>
      <c r="G284" s="789"/>
      <c r="H284" s="789"/>
      <c r="I284" s="531"/>
      <c r="J284" s="487"/>
      <c r="K284" s="1366"/>
      <c r="L284" s="824" t="s">
        <v>261</v>
      </c>
      <c r="M284" s="487" t="s">
        <v>1007</v>
      </c>
      <c r="N284" s="487" t="s">
        <v>1002</v>
      </c>
      <c r="O284" s="487" t="s">
        <v>582</v>
      </c>
      <c r="P284" s="885" t="s">
        <v>1003</v>
      </c>
      <c r="Q284" s="663" t="s">
        <v>375</v>
      </c>
      <c r="R284" s="663" t="s">
        <v>131</v>
      </c>
      <c r="S284" s="663" t="s">
        <v>214</v>
      </c>
      <c r="T284" s="895"/>
      <c r="U284" s="486"/>
      <c r="V284" s="415"/>
      <c r="W284" s="415"/>
      <c r="X284" s="415"/>
      <c r="Y284" s="415"/>
      <c r="Z284" s="416"/>
    </row>
    <row r="285" spans="1:26" ht="52.5" customHeight="1">
      <c r="A285" s="102"/>
      <c r="B285" s="1011"/>
      <c r="C285" s="741"/>
      <c r="D285" s="663"/>
      <c r="E285" s="663"/>
      <c r="F285" s="788"/>
      <c r="G285" s="789"/>
      <c r="H285" s="789"/>
      <c r="I285" s="531"/>
      <c r="J285" s="487"/>
      <c r="K285" s="1366"/>
      <c r="L285" s="1361" t="s">
        <v>265</v>
      </c>
      <c r="M285" s="1354" t="s">
        <v>1008</v>
      </c>
      <c r="N285" s="487" t="s">
        <v>1009</v>
      </c>
      <c r="O285" s="487" t="s">
        <v>402</v>
      </c>
      <c r="P285" s="885" t="s">
        <v>1003</v>
      </c>
      <c r="Q285" s="663" t="s">
        <v>375</v>
      </c>
      <c r="R285" s="663" t="s">
        <v>131</v>
      </c>
      <c r="S285" s="663" t="s">
        <v>214</v>
      </c>
      <c r="T285" s="895"/>
      <c r="U285" s="486"/>
      <c r="V285" s="415"/>
      <c r="W285" s="415"/>
      <c r="X285" s="415"/>
      <c r="Y285" s="415"/>
      <c r="Z285" s="416"/>
    </row>
    <row r="286" spans="1:26" ht="52.5" customHeight="1">
      <c r="A286" s="102"/>
      <c r="B286" s="1011"/>
      <c r="C286" s="741"/>
      <c r="D286" s="663"/>
      <c r="E286" s="663"/>
      <c r="F286" s="788"/>
      <c r="G286" s="789"/>
      <c r="H286" s="789"/>
      <c r="I286" s="531"/>
      <c r="J286" s="487"/>
      <c r="K286" s="1366"/>
      <c r="L286" s="1362"/>
      <c r="M286" s="1360"/>
      <c r="N286" s="722" t="s">
        <v>1010</v>
      </c>
      <c r="O286" s="487" t="s">
        <v>402</v>
      </c>
      <c r="P286" s="885" t="s">
        <v>1003</v>
      </c>
      <c r="Q286" s="663" t="s">
        <v>375</v>
      </c>
      <c r="R286" s="663" t="s">
        <v>131</v>
      </c>
      <c r="S286" s="663" t="s">
        <v>214</v>
      </c>
      <c r="T286" s="895"/>
      <c r="U286" s="486"/>
      <c r="V286" s="415"/>
      <c r="W286" s="415"/>
      <c r="X286" s="415"/>
      <c r="Y286" s="415"/>
      <c r="Z286" s="416"/>
    </row>
    <row r="287" spans="1:26" ht="78.75" customHeight="1">
      <c r="A287" s="102"/>
      <c r="B287" s="1011"/>
      <c r="C287" s="741"/>
      <c r="D287" s="663"/>
      <c r="E287" s="663"/>
      <c r="F287" s="788"/>
      <c r="G287" s="789"/>
      <c r="H287" s="789"/>
      <c r="I287" s="531"/>
      <c r="J287" s="487"/>
      <c r="K287" s="1366"/>
      <c r="L287" s="824" t="s">
        <v>1011</v>
      </c>
      <c r="M287" s="487" t="s">
        <v>1012</v>
      </c>
      <c r="N287" s="722" t="s">
        <v>1013</v>
      </c>
      <c r="O287" s="487" t="s">
        <v>1014</v>
      </c>
      <c r="P287" s="885" t="s">
        <v>1003</v>
      </c>
      <c r="Q287" s="663" t="s">
        <v>1015</v>
      </c>
      <c r="R287" s="663" t="s">
        <v>131</v>
      </c>
      <c r="S287" s="663" t="s">
        <v>214</v>
      </c>
      <c r="T287" s="895"/>
      <c r="U287" s="486"/>
      <c r="V287" s="415"/>
      <c r="W287" s="415"/>
      <c r="X287" s="415"/>
      <c r="Y287" s="415"/>
      <c r="Z287" s="416"/>
    </row>
    <row r="288" spans="1:26" ht="82.5" customHeight="1">
      <c r="A288" s="102"/>
      <c r="B288" s="1011"/>
      <c r="C288" s="741"/>
      <c r="D288" s="663"/>
      <c r="E288" s="663"/>
      <c r="F288" s="788"/>
      <c r="G288" s="789"/>
      <c r="H288" s="789"/>
      <c r="I288" s="531"/>
      <c r="J288" s="487"/>
      <c r="K288" s="1366"/>
      <c r="L288" s="824" t="s">
        <v>265</v>
      </c>
      <c r="M288" s="487" t="s">
        <v>1016</v>
      </c>
      <c r="N288" s="487" t="s">
        <v>1017</v>
      </c>
      <c r="O288" s="487" t="s">
        <v>1018</v>
      </c>
      <c r="P288" s="885" t="s">
        <v>1019</v>
      </c>
      <c r="Q288" s="663" t="s">
        <v>249</v>
      </c>
      <c r="R288" s="663" t="s">
        <v>140</v>
      </c>
      <c r="S288" s="663" t="s">
        <v>214</v>
      </c>
      <c r="T288" s="895"/>
      <c r="U288" s="486"/>
      <c r="V288" s="415"/>
      <c r="W288" s="415"/>
      <c r="X288" s="415"/>
      <c r="Y288" s="415"/>
      <c r="Z288" s="416"/>
    </row>
    <row r="289" spans="1:26" ht="52.5" customHeight="1" thickBot="1">
      <c r="A289" s="102"/>
      <c r="B289" s="1025"/>
      <c r="C289" s="950"/>
      <c r="D289" s="661"/>
      <c r="E289" s="661"/>
      <c r="F289" s="802"/>
      <c r="G289" s="678"/>
      <c r="H289" s="678"/>
      <c r="I289" s="417"/>
      <c r="J289" s="711"/>
      <c r="K289" s="1367"/>
      <c r="L289" s="687" t="s">
        <v>265</v>
      </c>
      <c r="M289" s="711" t="s">
        <v>1020</v>
      </c>
      <c r="N289" s="711" t="s">
        <v>1021</v>
      </c>
      <c r="O289" s="711" t="s">
        <v>216</v>
      </c>
      <c r="P289" s="675" t="s">
        <v>1003</v>
      </c>
      <c r="Q289" s="661" t="s">
        <v>935</v>
      </c>
      <c r="R289" s="661" t="s">
        <v>142</v>
      </c>
      <c r="S289" s="661" t="s">
        <v>214</v>
      </c>
      <c r="T289" s="951"/>
      <c r="U289" s="486"/>
      <c r="V289" s="415"/>
      <c r="W289" s="415"/>
      <c r="X289" s="415"/>
      <c r="Y289" s="415"/>
      <c r="Z289" s="416"/>
    </row>
    <row r="290" spans="1:26" ht="52.5" customHeight="1">
      <c r="A290" s="102"/>
      <c r="B290" s="1020">
        <v>47</v>
      </c>
      <c r="C290" s="919" t="s">
        <v>116</v>
      </c>
      <c r="D290" s="659" t="s">
        <v>1022</v>
      </c>
      <c r="E290" s="659" t="s">
        <v>67</v>
      </c>
      <c r="F290" s="669">
        <v>44723</v>
      </c>
      <c r="G290" s="394" t="s">
        <v>1023</v>
      </c>
      <c r="H290" s="394" t="s">
        <v>148</v>
      </c>
      <c r="I290" s="530" t="s">
        <v>1024</v>
      </c>
      <c r="J290" s="712"/>
      <c r="K290" s="1368" t="s">
        <v>1025</v>
      </c>
      <c r="L290" s="1371" t="s">
        <v>227</v>
      </c>
      <c r="M290" s="1369" t="s">
        <v>650</v>
      </c>
      <c r="N290" s="712" t="s">
        <v>1026</v>
      </c>
      <c r="O290" s="712" t="s">
        <v>216</v>
      </c>
      <c r="P290" s="947" t="s">
        <v>1027</v>
      </c>
      <c r="Q290" s="659" t="s">
        <v>307</v>
      </c>
      <c r="R290" s="659" t="s">
        <v>138</v>
      </c>
      <c r="S290" s="659" t="s">
        <v>214</v>
      </c>
      <c r="T290" s="948" t="s">
        <v>58</v>
      </c>
      <c r="U290" s="486"/>
      <c r="V290" s="415"/>
      <c r="W290" s="415"/>
      <c r="X290" s="415"/>
      <c r="Y290" s="415"/>
      <c r="Z290" s="416"/>
    </row>
    <row r="291" spans="1:26" ht="52.5" customHeight="1">
      <c r="A291" s="102"/>
      <c r="B291" s="1011"/>
      <c r="C291" s="741"/>
      <c r="D291" s="663"/>
      <c r="E291" s="663"/>
      <c r="F291" s="788"/>
      <c r="G291" s="789"/>
      <c r="H291" s="789"/>
      <c r="I291" s="531"/>
      <c r="J291" s="487"/>
      <c r="K291" s="1366"/>
      <c r="L291" s="1372"/>
      <c r="M291" s="1370"/>
      <c r="N291" s="487" t="s">
        <v>1028</v>
      </c>
      <c r="O291" s="487" t="s">
        <v>402</v>
      </c>
      <c r="P291" s="885" t="s">
        <v>1027</v>
      </c>
      <c r="Q291" s="663" t="s">
        <v>307</v>
      </c>
      <c r="R291" s="663" t="s">
        <v>138</v>
      </c>
      <c r="S291" s="663" t="s">
        <v>214</v>
      </c>
      <c r="T291" s="895"/>
      <c r="U291" s="486"/>
      <c r="V291" s="415"/>
      <c r="W291" s="415"/>
      <c r="X291" s="415"/>
      <c r="Y291" s="415"/>
      <c r="Z291" s="416"/>
    </row>
    <row r="292" spans="1:26" ht="52.5" customHeight="1">
      <c r="A292" s="102"/>
      <c r="B292" s="1011"/>
      <c r="C292" s="741"/>
      <c r="D292" s="663"/>
      <c r="E292" s="663"/>
      <c r="F292" s="788"/>
      <c r="G292" s="789"/>
      <c r="H292" s="789"/>
      <c r="I292" s="531"/>
      <c r="J292" s="487"/>
      <c r="K292" s="1366"/>
      <c r="L292" s="1362"/>
      <c r="M292" s="1360"/>
      <c r="N292" s="487" t="s">
        <v>1029</v>
      </c>
      <c r="O292" s="487" t="s">
        <v>216</v>
      </c>
      <c r="P292" s="885" t="s">
        <v>909</v>
      </c>
      <c r="Q292" s="663" t="s">
        <v>375</v>
      </c>
      <c r="R292" s="663" t="s">
        <v>131</v>
      </c>
      <c r="S292" s="663" t="s">
        <v>214</v>
      </c>
      <c r="T292" s="895"/>
      <c r="U292" s="486"/>
      <c r="V292" s="415"/>
      <c r="W292" s="415"/>
      <c r="X292" s="415"/>
      <c r="Y292" s="415"/>
      <c r="Z292" s="416"/>
    </row>
    <row r="293" spans="1:26" ht="52.5" customHeight="1">
      <c r="A293" s="102"/>
      <c r="B293" s="1011"/>
      <c r="C293" s="741"/>
      <c r="D293" s="663"/>
      <c r="E293" s="663"/>
      <c r="F293" s="788"/>
      <c r="G293" s="789"/>
      <c r="H293" s="789"/>
      <c r="I293" s="531"/>
      <c r="J293" s="487"/>
      <c r="K293" s="1366"/>
      <c r="L293" s="824" t="s">
        <v>209</v>
      </c>
      <c r="M293" s="487" t="s">
        <v>1030</v>
      </c>
      <c r="N293" s="487" t="s">
        <v>1031</v>
      </c>
      <c r="O293" s="487" t="s">
        <v>402</v>
      </c>
      <c r="P293" s="670" t="s">
        <v>700</v>
      </c>
      <c r="Q293" s="663" t="s">
        <v>596</v>
      </c>
      <c r="R293" s="663" t="s">
        <v>140</v>
      </c>
      <c r="S293" s="663" t="s">
        <v>214</v>
      </c>
      <c r="T293" s="895"/>
      <c r="U293" s="486"/>
      <c r="V293" s="415"/>
      <c r="W293" s="415"/>
      <c r="X293" s="415"/>
      <c r="Y293" s="415"/>
      <c r="Z293" s="416"/>
    </row>
    <row r="294" spans="1:26" ht="52.5" customHeight="1">
      <c r="A294" s="102"/>
      <c r="B294" s="1011"/>
      <c r="C294" s="741"/>
      <c r="D294" s="663"/>
      <c r="E294" s="663"/>
      <c r="F294" s="788"/>
      <c r="G294" s="789"/>
      <c r="H294" s="789"/>
      <c r="I294" s="531"/>
      <c r="J294" s="487"/>
      <c r="K294" s="1366"/>
      <c r="L294" s="1361" t="s">
        <v>261</v>
      </c>
      <c r="M294" s="1354" t="s">
        <v>1032</v>
      </c>
      <c r="N294" s="487" t="s">
        <v>1033</v>
      </c>
      <c r="O294" s="487" t="s">
        <v>402</v>
      </c>
      <c r="P294" s="885" t="s">
        <v>1027</v>
      </c>
      <c r="Q294" s="663" t="s">
        <v>739</v>
      </c>
      <c r="R294" s="663" t="s">
        <v>138</v>
      </c>
      <c r="S294" s="663" t="s">
        <v>214</v>
      </c>
      <c r="T294" s="895"/>
      <c r="U294" s="486"/>
      <c r="V294" s="415"/>
      <c r="W294" s="415"/>
      <c r="X294" s="415"/>
      <c r="Y294" s="415"/>
      <c r="Z294" s="416"/>
    </row>
    <row r="295" spans="1:26" ht="52.5" customHeight="1">
      <c r="A295" s="102"/>
      <c r="B295" s="1011"/>
      <c r="C295" s="741"/>
      <c r="D295" s="663"/>
      <c r="E295" s="663"/>
      <c r="F295" s="788"/>
      <c r="G295" s="789"/>
      <c r="H295" s="789"/>
      <c r="I295" s="531"/>
      <c r="J295" s="487"/>
      <c r="K295" s="1366"/>
      <c r="L295" s="1362"/>
      <c r="M295" s="1360"/>
      <c r="N295" s="487" t="s">
        <v>1034</v>
      </c>
      <c r="O295" s="487" t="s">
        <v>402</v>
      </c>
      <c r="P295" s="885" t="s">
        <v>1019</v>
      </c>
      <c r="Q295" s="663" t="s">
        <v>385</v>
      </c>
      <c r="R295" s="663" t="s">
        <v>138</v>
      </c>
      <c r="S295" s="663" t="s">
        <v>214</v>
      </c>
      <c r="T295" s="895"/>
      <c r="U295" s="486"/>
      <c r="V295" s="415"/>
      <c r="W295" s="415"/>
      <c r="X295" s="415"/>
      <c r="Y295" s="415"/>
      <c r="Z295" s="416"/>
    </row>
    <row r="296" spans="1:26" ht="52.5" customHeight="1">
      <c r="A296" s="102"/>
      <c r="B296" s="1011"/>
      <c r="C296" s="741"/>
      <c r="D296" s="663"/>
      <c r="E296" s="663"/>
      <c r="F296" s="788"/>
      <c r="G296" s="789"/>
      <c r="H296" s="789"/>
      <c r="I296" s="531"/>
      <c r="J296" s="487"/>
      <c r="K296" s="1366"/>
      <c r="L296" s="824" t="s">
        <v>265</v>
      </c>
      <c r="M296" s="487" t="s">
        <v>1035</v>
      </c>
      <c r="N296" s="487" t="s">
        <v>1036</v>
      </c>
      <c r="O296" s="487" t="s">
        <v>402</v>
      </c>
      <c r="P296" s="885" t="s">
        <v>1027</v>
      </c>
      <c r="Q296" s="663" t="s">
        <v>739</v>
      </c>
      <c r="R296" s="663" t="s">
        <v>138</v>
      </c>
      <c r="S296" s="663" t="s">
        <v>214</v>
      </c>
      <c r="T296" s="895"/>
      <c r="U296" s="486"/>
      <c r="V296" s="415"/>
      <c r="W296" s="415"/>
      <c r="X296" s="415"/>
      <c r="Y296" s="415"/>
      <c r="Z296" s="416"/>
    </row>
    <row r="297" spans="1:26" ht="52.5" customHeight="1" thickBot="1">
      <c r="A297" s="102"/>
      <c r="B297" s="1011"/>
      <c r="C297" s="741"/>
      <c r="D297" s="663"/>
      <c r="E297" s="663"/>
      <c r="F297" s="788"/>
      <c r="G297" s="789"/>
      <c r="H297" s="789"/>
      <c r="I297" s="531"/>
      <c r="J297" s="487"/>
      <c r="K297" s="1367"/>
      <c r="L297" s="824" t="s">
        <v>261</v>
      </c>
      <c r="M297" s="487" t="s">
        <v>1037</v>
      </c>
      <c r="N297" s="487" t="s">
        <v>1038</v>
      </c>
      <c r="O297" s="487" t="s">
        <v>216</v>
      </c>
      <c r="P297" s="885" t="s">
        <v>700</v>
      </c>
      <c r="Q297" s="663" t="s">
        <v>375</v>
      </c>
      <c r="R297" s="663" t="s">
        <v>131</v>
      </c>
      <c r="S297" s="663" t="s">
        <v>214</v>
      </c>
      <c r="T297" s="895"/>
      <c r="U297" s="486"/>
      <c r="V297" s="415"/>
      <c r="W297" s="415"/>
      <c r="X297" s="415"/>
      <c r="Y297" s="415"/>
      <c r="Z297" s="416"/>
    </row>
    <row r="298" spans="1:26" ht="84.75" customHeight="1">
      <c r="A298" s="102"/>
      <c r="B298" s="1020">
        <v>48</v>
      </c>
      <c r="C298" s="919" t="s">
        <v>116</v>
      </c>
      <c r="D298" s="659" t="s">
        <v>1039</v>
      </c>
      <c r="E298" s="659" t="s">
        <v>64</v>
      </c>
      <c r="F298" s="669">
        <v>44724</v>
      </c>
      <c r="G298" s="394" t="s">
        <v>1040</v>
      </c>
      <c r="H298" s="394" t="s">
        <v>149</v>
      </c>
      <c r="I298" s="530" t="s">
        <v>1041</v>
      </c>
      <c r="J298" s="712"/>
      <c r="K298" s="1368" t="s">
        <v>1042</v>
      </c>
      <c r="L298" s="683" t="s">
        <v>261</v>
      </c>
      <c r="M298" s="712" t="s">
        <v>1043</v>
      </c>
      <c r="N298" s="1078" t="s">
        <v>1044</v>
      </c>
      <c r="O298" s="1078" t="s">
        <v>216</v>
      </c>
      <c r="P298" s="1079" t="s">
        <v>1045</v>
      </c>
      <c r="Q298" s="1080" t="s">
        <v>1046</v>
      </c>
      <c r="R298" s="1080" t="s">
        <v>142</v>
      </c>
      <c r="S298" s="1080" t="s">
        <v>214</v>
      </c>
      <c r="T298" s="1081" t="s">
        <v>57</v>
      </c>
      <c r="U298" s="486"/>
      <c r="V298" s="415"/>
      <c r="W298" s="415"/>
      <c r="X298" s="415"/>
      <c r="Y298" s="415"/>
      <c r="Z298" s="416"/>
    </row>
    <row r="299" spans="1:26" ht="58.5" customHeight="1">
      <c r="A299" s="102"/>
      <c r="B299" s="1011"/>
      <c r="C299" s="741"/>
      <c r="D299" s="663"/>
      <c r="E299" s="663"/>
      <c r="F299" s="788"/>
      <c r="G299" s="789"/>
      <c r="H299" s="789"/>
      <c r="I299" s="531"/>
      <c r="J299" s="487"/>
      <c r="K299" s="1366"/>
      <c r="L299" s="824" t="s">
        <v>209</v>
      </c>
      <c r="M299" s="663" t="s">
        <v>1047</v>
      </c>
      <c r="N299" s="1044" t="s">
        <v>1048</v>
      </c>
      <c r="O299" s="1044" t="s">
        <v>402</v>
      </c>
      <c r="P299" s="1045" t="s">
        <v>1049</v>
      </c>
      <c r="Q299" s="1046" t="s">
        <v>375</v>
      </c>
      <c r="R299" s="1046" t="s">
        <v>131</v>
      </c>
      <c r="S299" s="1046" t="s">
        <v>214</v>
      </c>
      <c r="T299" s="895"/>
      <c r="U299" s="486"/>
      <c r="V299" s="415"/>
      <c r="W299" s="415"/>
      <c r="X299" s="415"/>
      <c r="Y299" s="415"/>
      <c r="Z299" s="416"/>
    </row>
    <row r="300" spans="1:26" ht="96" customHeight="1">
      <c r="A300" s="102"/>
      <c r="B300" s="1011"/>
      <c r="C300" s="741"/>
      <c r="D300" s="663"/>
      <c r="E300" s="663"/>
      <c r="F300" s="788"/>
      <c r="G300" s="789"/>
      <c r="H300" s="789"/>
      <c r="I300" s="531"/>
      <c r="J300" s="487"/>
      <c r="K300" s="1366"/>
      <c r="L300" s="824" t="s">
        <v>209</v>
      </c>
      <c r="M300" s="663" t="s">
        <v>1050</v>
      </c>
      <c r="N300" s="1044" t="s">
        <v>1048</v>
      </c>
      <c r="O300" s="1044" t="s">
        <v>402</v>
      </c>
      <c r="P300" s="1045" t="s">
        <v>1049</v>
      </c>
      <c r="Q300" s="1046" t="s">
        <v>375</v>
      </c>
      <c r="R300" s="1046" t="s">
        <v>131</v>
      </c>
      <c r="S300" s="1046" t="s">
        <v>214</v>
      </c>
      <c r="T300" s="895"/>
      <c r="U300" s="486"/>
      <c r="V300" s="415"/>
      <c r="W300" s="415"/>
      <c r="X300" s="415"/>
      <c r="Y300" s="415"/>
      <c r="Z300" s="416"/>
    </row>
    <row r="301" spans="1:26" ht="60" customHeight="1">
      <c r="A301" s="102"/>
      <c r="B301" s="1011"/>
      <c r="C301" s="741"/>
      <c r="D301" s="663"/>
      <c r="E301" s="663"/>
      <c r="F301" s="788"/>
      <c r="G301" s="789"/>
      <c r="H301" s="789"/>
      <c r="I301" s="531"/>
      <c r="J301" s="487"/>
      <c r="K301" s="1366"/>
      <c r="L301" s="1086" t="s">
        <v>265</v>
      </c>
      <c r="M301" s="1044" t="s">
        <v>1051</v>
      </c>
      <c r="N301" s="1044" t="s">
        <v>1052</v>
      </c>
      <c r="O301" s="1044" t="s">
        <v>216</v>
      </c>
      <c r="P301" s="1045" t="s">
        <v>705</v>
      </c>
      <c r="Q301" s="1046" t="s">
        <v>375</v>
      </c>
      <c r="R301" s="1046" t="s">
        <v>131</v>
      </c>
      <c r="S301" s="1046" t="s">
        <v>214</v>
      </c>
      <c r="T301" s="895"/>
      <c r="U301" s="486"/>
      <c r="V301" s="415"/>
      <c r="W301" s="415"/>
      <c r="X301" s="415"/>
      <c r="Y301" s="415"/>
      <c r="Z301" s="416"/>
    </row>
    <row r="302" spans="1:26" ht="60" customHeight="1">
      <c r="A302" s="102"/>
      <c r="B302" s="1011"/>
      <c r="C302" s="741"/>
      <c r="D302" s="663"/>
      <c r="E302" s="663"/>
      <c r="F302" s="788"/>
      <c r="G302" s="789"/>
      <c r="H302" s="789"/>
      <c r="I302" s="531"/>
      <c r="J302" s="487"/>
      <c r="K302" s="1366"/>
      <c r="L302" s="1086" t="s">
        <v>265</v>
      </c>
      <c r="M302" s="1044" t="s">
        <v>1053</v>
      </c>
      <c r="N302" s="1044" t="s">
        <v>1054</v>
      </c>
      <c r="O302" s="1044" t="s">
        <v>216</v>
      </c>
      <c r="P302" s="1045" t="s">
        <v>705</v>
      </c>
      <c r="Q302" s="1046" t="s">
        <v>375</v>
      </c>
      <c r="R302" s="1046" t="s">
        <v>131</v>
      </c>
      <c r="S302" s="1046" t="s">
        <v>214</v>
      </c>
      <c r="T302" s="895"/>
      <c r="U302" s="486"/>
      <c r="V302" s="415"/>
      <c r="W302" s="415"/>
      <c r="X302" s="415"/>
      <c r="Y302" s="415"/>
      <c r="Z302" s="416"/>
    </row>
    <row r="303" spans="1:26" ht="52.5" customHeight="1">
      <c r="A303" s="102"/>
      <c r="B303" s="1011"/>
      <c r="C303" s="741"/>
      <c r="D303" s="663"/>
      <c r="E303" s="663"/>
      <c r="F303" s="788"/>
      <c r="G303" s="789"/>
      <c r="H303" s="789"/>
      <c r="I303" s="531"/>
      <c r="J303" s="487"/>
      <c r="K303" s="1366"/>
      <c r="L303" s="1086" t="s">
        <v>227</v>
      </c>
      <c r="M303" s="1044" t="s">
        <v>1055</v>
      </c>
      <c r="N303" s="1044" t="s">
        <v>1056</v>
      </c>
      <c r="O303" s="1044" t="s">
        <v>216</v>
      </c>
      <c r="P303" s="1045" t="s">
        <v>1045</v>
      </c>
      <c r="Q303" s="1046" t="s">
        <v>375</v>
      </c>
      <c r="R303" s="1046" t="s">
        <v>131</v>
      </c>
      <c r="S303" s="1046" t="s">
        <v>214</v>
      </c>
      <c r="T303" s="895"/>
      <c r="U303" s="486"/>
      <c r="V303" s="415"/>
      <c r="W303" s="415"/>
      <c r="X303" s="415"/>
      <c r="Y303" s="415"/>
      <c r="Z303" s="416"/>
    </row>
    <row r="304" spans="1:26" ht="86.25" customHeight="1">
      <c r="A304" s="102"/>
      <c r="B304" s="1011"/>
      <c r="C304" s="741"/>
      <c r="D304" s="663"/>
      <c r="E304" s="663"/>
      <c r="F304" s="788"/>
      <c r="G304" s="789"/>
      <c r="H304" s="789"/>
      <c r="I304" s="531"/>
      <c r="J304" s="487"/>
      <c r="K304" s="1366"/>
      <c r="L304" s="1529" t="s">
        <v>261</v>
      </c>
      <c r="M304" s="1527" t="s">
        <v>1057</v>
      </c>
      <c r="N304" s="1044" t="s">
        <v>1058</v>
      </c>
      <c r="O304" s="1044" t="s">
        <v>216</v>
      </c>
      <c r="P304" s="1045" t="s">
        <v>705</v>
      </c>
      <c r="Q304" s="1046" t="s">
        <v>375</v>
      </c>
      <c r="R304" s="1046" t="s">
        <v>131</v>
      </c>
      <c r="S304" s="1046" t="s">
        <v>214</v>
      </c>
      <c r="T304" s="895"/>
      <c r="U304" s="486"/>
      <c r="V304" s="415"/>
      <c r="W304" s="415"/>
      <c r="X304" s="415"/>
      <c r="Y304" s="415"/>
      <c r="Z304" s="416"/>
    </row>
    <row r="305" spans="1:26" ht="67.5" customHeight="1" thickBot="1">
      <c r="A305" s="102"/>
      <c r="B305" s="1012"/>
      <c r="C305" s="747"/>
      <c r="D305" s="664"/>
      <c r="E305" s="664"/>
      <c r="F305" s="790"/>
      <c r="G305" s="791"/>
      <c r="H305" s="791"/>
      <c r="I305" s="792"/>
      <c r="J305" s="793"/>
      <c r="K305" s="1367"/>
      <c r="L305" s="1530"/>
      <c r="M305" s="1528"/>
      <c r="N305" s="1082" t="s">
        <v>1059</v>
      </c>
      <c r="O305" s="1083" t="s">
        <v>216</v>
      </c>
      <c r="P305" s="1084" t="s">
        <v>1060</v>
      </c>
      <c r="Q305" s="1085" t="s">
        <v>840</v>
      </c>
      <c r="R305" s="1085" t="s">
        <v>142</v>
      </c>
      <c r="S305" s="1085" t="s">
        <v>214</v>
      </c>
      <c r="T305" s="897"/>
      <c r="U305" s="486"/>
      <c r="V305" s="415"/>
      <c r="W305" s="415"/>
      <c r="X305" s="415"/>
      <c r="Y305" s="415"/>
      <c r="Z305" s="416"/>
    </row>
    <row r="306" spans="1:26" ht="81.599999999999994" customHeight="1">
      <c r="A306" s="102"/>
      <c r="B306" s="1020">
        <v>49</v>
      </c>
      <c r="C306" s="919" t="s">
        <v>116</v>
      </c>
      <c r="D306" s="659" t="s">
        <v>1061</v>
      </c>
      <c r="E306" s="659" t="s">
        <v>64</v>
      </c>
      <c r="F306" s="669">
        <v>44724</v>
      </c>
      <c r="G306" s="394" t="s">
        <v>1062</v>
      </c>
      <c r="H306" s="394" t="s">
        <v>152</v>
      </c>
      <c r="I306" s="530" t="s">
        <v>1063</v>
      </c>
      <c r="J306" s="712"/>
      <c r="K306" s="1368" t="s">
        <v>1064</v>
      </c>
      <c r="L306" s="1371" t="s">
        <v>1011</v>
      </c>
      <c r="M306" s="1369" t="s">
        <v>1065</v>
      </c>
      <c r="N306" s="1078" t="s">
        <v>1066</v>
      </c>
      <c r="O306" s="1078" t="s">
        <v>402</v>
      </c>
      <c r="P306" s="1079">
        <v>44747</v>
      </c>
      <c r="Q306" s="1080" t="s">
        <v>607</v>
      </c>
      <c r="R306" s="1080" t="s">
        <v>131</v>
      </c>
      <c r="S306" s="1080" t="s">
        <v>214</v>
      </c>
      <c r="T306" s="948" t="s">
        <v>58</v>
      </c>
      <c r="U306" s="486"/>
      <c r="V306" s="415"/>
      <c r="W306" s="415"/>
      <c r="X306" s="415"/>
      <c r="Y306" s="415"/>
      <c r="Z306" s="416"/>
    </row>
    <row r="307" spans="1:26" ht="81.599999999999994" customHeight="1">
      <c r="A307" s="102"/>
      <c r="B307" s="1011"/>
      <c r="C307" s="741"/>
      <c r="D307" s="663"/>
      <c r="E307" s="663"/>
      <c r="F307" s="788"/>
      <c r="G307" s="789"/>
      <c r="H307" s="789"/>
      <c r="I307" s="531"/>
      <c r="J307" s="487"/>
      <c r="K307" s="1366"/>
      <c r="L307" s="1372"/>
      <c r="M307" s="1370"/>
      <c r="N307" s="1044" t="s">
        <v>1067</v>
      </c>
      <c r="O307" s="1044" t="s">
        <v>1068</v>
      </c>
      <c r="P307" s="1045">
        <v>44747</v>
      </c>
      <c r="Q307" s="1046" t="s">
        <v>607</v>
      </c>
      <c r="R307" s="1046" t="s">
        <v>131</v>
      </c>
      <c r="S307" s="1049" t="s">
        <v>214</v>
      </c>
      <c r="T307" s="895"/>
      <c r="U307" s="486"/>
      <c r="V307" s="415"/>
      <c r="W307" s="415"/>
      <c r="X307" s="415"/>
      <c r="Y307" s="415"/>
      <c r="Z307" s="416"/>
    </row>
    <row r="308" spans="1:26" ht="81.599999999999994" customHeight="1">
      <c r="A308" s="102"/>
      <c r="B308" s="1011"/>
      <c r="C308" s="741"/>
      <c r="D308" s="663"/>
      <c r="E308" s="663"/>
      <c r="F308" s="788"/>
      <c r="G308" s="789"/>
      <c r="H308" s="789"/>
      <c r="I308" s="531"/>
      <c r="J308" s="487"/>
      <c r="K308" s="1366"/>
      <c r="L308" s="1362"/>
      <c r="M308" s="1360"/>
      <c r="N308" s="1044" t="s">
        <v>1069</v>
      </c>
      <c r="O308" s="1044" t="s">
        <v>216</v>
      </c>
      <c r="P308" s="1045">
        <v>44747</v>
      </c>
      <c r="Q308" s="1046" t="s">
        <v>607</v>
      </c>
      <c r="R308" s="1046" t="s">
        <v>131</v>
      </c>
      <c r="S308" s="1049" t="s">
        <v>214</v>
      </c>
      <c r="T308" s="895"/>
      <c r="U308" s="486"/>
      <c r="V308" s="415"/>
      <c r="W308" s="415"/>
      <c r="X308" s="415"/>
      <c r="Y308" s="415"/>
      <c r="Z308" s="416"/>
    </row>
    <row r="309" spans="1:26" ht="81.599999999999994" customHeight="1">
      <c r="A309" s="102"/>
      <c r="B309" s="1011"/>
      <c r="C309" s="741"/>
      <c r="D309" s="663"/>
      <c r="E309" s="663"/>
      <c r="F309" s="788"/>
      <c r="G309" s="789"/>
      <c r="H309" s="789"/>
      <c r="I309" s="531"/>
      <c r="J309" s="487"/>
      <c r="K309" s="1366"/>
      <c r="L309" s="1361" t="s">
        <v>261</v>
      </c>
      <c r="M309" s="1354" t="s">
        <v>1070</v>
      </c>
      <c r="N309" s="1044" t="s">
        <v>1071</v>
      </c>
      <c r="O309" s="1044" t="s">
        <v>216</v>
      </c>
      <c r="P309" s="1045">
        <v>44742</v>
      </c>
      <c r="Q309" s="1046" t="s">
        <v>607</v>
      </c>
      <c r="R309" s="1046" t="s">
        <v>131</v>
      </c>
      <c r="S309" s="1049" t="s">
        <v>214</v>
      </c>
      <c r="T309" s="895"/>
      <c r="U309" s="486"/>
      <c r="V309" s="415"/>
      <c r="W309" s="415"/>
      <c r="X309" s="415"/>
      <c r="Y309" s="415"/>
      <c r="Z309" s="416"/>
    </row>
    <row r="310" spans="1:26" ht="81.599999999999994" customHeight="1" thickBot="1">
      <c r="A310" s="102"/>
      <c r="B310" s="1012"/>
      <c r="C310" s="747"/>
      <c r="D310" s="664"/>
      <c r="E310" s="664"/>
      <c r="F310" s="790"/>
      <c r="G310" s="791"/>
      <c r="H310" s="791"/>
      <c r="I310" s="792"/>
      <c r="J310" s="793"/>
      <c r="K310" s="1367"/>
      <c r="L310" s="1373"/>
      <c r="M310" s="1355"/>
      <c r="N310" s="1083" t="s">
        <v>1072</v>
      </c>
      <c r="O310" s="1083" t="s">
        <v>216</v>
      </c>
      <c r="P310" s="1084">
        <v>44742</v>
      </c>
      <c r="Q310" s="1085" t="s">
        <v>607</v>
      </c>
      <c r="R310" s="1085" t="s">
        <v>131</v>
      </c>
      <c r="S310" s="1085" t="s">
        <v>214</v>
      </c>
      <c r="T310" s="897"/>
      <c r="U310" s="486"/>
      <c r="V310" s="415"/>
      <c r="W310" s="415"/>
      <c r="X310" s="415"/>
      <c r="Y310" s="415"/>
      <c r="Z310" s="416"/>
    </row>
    <row r="311" spans="1:26" ht="52.5" customHeight="1">
      <c r="A311" s="102"/>
      <c r="B311" s="1018">
        <v>50</v>
      </c>
      <c r="C311" s="898" t="s">
        <v>116</v>
      </c>
      <c r="D311" s="660" t="s">
        <v>1073</v>
      </c>
      <c r="E311" s="660" t="s">
        <v>66</v>
      </c>
      <c r="F311" s="677">
        <v>44736</v>
      </c>
      <c r="G311" s="668" t="s">
        <v>1074</v>
      </c>
      <c r="H311" s="668" t="s">
        <v>149</v>
      </c>
      <c r="I311" s="395" t="s">
        <v>1075</v>
      </c>
      <c r="J311" s="679"/>
      <c r="K311" s="1366" t="s">
        <v>1076</v>
      </c>
      <c r="L311" s="1372" t="s">
        <v>265</v>
      </c>
      <c r="M311" s="1370" t="s">
        <v>1077</v>
      </c>
      <c r="N311" s="679" t="s">
        <v>1078</v>
      </c>
      <c r="O311" s="679" t="s">
        <v>402</v>
      </c>
      <c r="P311" s="670">
        <v>44772</v>
      </c>
      <c r="Q311" s="660" t="s">
        <v>385</v>
      </c>
      <c r="R311" s="660" t="s">
        <v>138</v>
      </c>
      <c r="S311" s="660" t="s">
        <v>214</v>
      </c>
      <c r="T311" s="952" t="s">
        <v>58</v>
      </c>
      <c r="U311" s="486"/>
      <c r="V311" s="415"/>
      <c r="W311" s="415"/>
      <c r="X311" s="415"/>
      <c r="Y311" s="415"/>
      <c r="Z311" s="416"/>
    </row>
    <row r="312" spans="1:26" ht="52.5" customHeight="1">
      <c r="A312" s="102"/>
      <c r="B312" s="1011"/>
      <c r="C312" s="741"/>
      <c r="D312" s="663"/>
      <c r="E312" s="663"/>
      <c r="F312" s="788"/>
      <c r="G312" s="789"/>
      <c r="H312" s="789"/>
      <c r="I312" s="531"/>
      <c r="J312" s="487"/>
      <c r="K312" s="1366"/>
      <c r="L312" s="1372"/>
      <c r="M312" s="1370"/>
      <c r="N312" s="487" t="s">
        <v>1079</v>
      </c>
      <c r="O312" s="487" t="s">
        <v>216</v>
      </c>
      <c r="P312" s="885">
        <v>44772</v>
      </c>
      <c r="Q312" s="663" t="s">
        <v>385</v>
      </c>
      <c r="R312" s="663" t="s">
        <v>138</v>
      </c>
      <c r="S312" s="693" t="s">
        <v>214</v>
      </c>
      <c r="T312" s="895"/>
      <c r="U312" s="486"/>
      <c r="V312" s="415"/>
      <c r="W312" s="415"/>
      <c r="X312" s="415"/>
      <c r="Y312" s="415"/>
      <c r="Z312" s="416"/>
    </row>
    <row r="313" spans="1:26" ht="52.5" customHeight="1">
      <c r="A313" s="102"/>
      <c r="B313" s="1011"/>
      <c r="C313" s="741"/>
      <c r="D313" s="663"/>
      <c r="E313" s="663"/>
      <c r="F313" s="788"/>
      <c r="G313" s="789"/>
      <c r="H313" s="789"/>
      <c r="I313" s="531"/>
      <c r="J313" s="487"/>
      <c r="K313" s="1366"/>
      <c r="L313" s="1362"/>
      <c r="M313" s="1360"/>
      <c r="N313" s="487" t="s">
        <v>1080</v>
      </c>
      <c r="O313" s="487" t="s">
        <v>216</v>
      </c>
      <c r="P313" s="885">
        <v>44803</v>
      </c>
      <c r="Q313" s="663" t="s">
        <v>385</v>
      </c>
      <c r="R313" s="663" t="s">
        <v>138</v>
      </c>
      <c r="S313" s="693" t="s">
        <v>214</v>
      </c>
      <c r="T313" s="895"/>
      <c r="U313" s="486"/>
      <c r="V313" s="415"/>
      <c r="W313" s="415"/>
      <c r="X313" s="415"/>
      <c r="Y313" s="415"/>
      <c r="Z313" s="416"/>
    </row>
    <row r="314" spans="1:26" ht="52.5" customHeight="1">
      <c r="A314" s="102"/>
      <c r="B314" s="1011"/>
      <c r="C314" s="741"/>
      <c r="D314" s="663"/>
      <c r="E314" s="663"/>
      <c r="F314" s="788"/>
      <c r="G314" s="789"/>
      <c r="H314" s="789"/>
      <c r="I314" s="531"/>
      <c r="J314" s="487"/>
      <c r="K314" s="1366"/>
      <c r="L314" s="824" t="s">
        <v>209</v>
      </c>
      <c r="M314" s="487" t="s">
        <v>1081</v>
      </c>
      <c r="N314" s="487" t="s">
        <v>1082</v>
      </c>
      <c r="O314" s="487" t="s">
        <v>216</v>
      </c>
      <c r="P314" s="885">
        <v>44762</v>
      </c>
      <c r="Q314" s="663" t="s">
        <v>385</v>
      </c>
      <c r="R314" s="663" t="s">
        <v>138</v>
      </c>
      <c r="S314" s="663" t="s">
        <v>214</v>
      </c>
      <c r="T314" s="895"/>
      <c r="U314" s="486"/>
      <c r="V314" s="415"/>
      <c r="W314" s="415"/>
      <c r="X314" s="415"/>
      <c r="Y314" s="415"/>
      <c r="Z314" s="416"/>
    </row>
    <row r="315" spans="1:26" ht="52.5" customHeight="1">
      <c r="A315" s="102"/>
      <c r="B315" s="1011"/>
      <c r="C315" s="741"/>
      <c r="D315" s="663"/>
      <c r="E315" s="663"/>
      <c r="F315" s="788"/>
      <c r="G315" s="789"/>
      <c r="H315" s="789"/>
      <c r="I315" s="531"/>
      <c r="J315" s="487"/>
      <c r="K315" s="1366"/>
      <c r="L315" s="1361" t="s">
        <v>209</v>
      </c>
      <c r="M315" s="1354" t="s">
        <v>1083</v>
      </c>
      <c r="N315" s="487" t="s">
        <v>1084</v>
      </c>
      <c r="O315" s="487" t="s">
        <v>216</v>
      </c>
      <c r="P315" s="885">
        <v>44772</v>
      </c>
      <c r="Q315" s="663" t="s">
        <v>385</v>
      </c>
      <c r="R315" s="663" t="s">
        <v>138</v>
      </c>
      <c r="S315" s="663" t="s">
        <v>214</v>
      </c>
      <c r="T315" s="895"/>
      <c r="U315" s="486"/>
      <c r="V315" s="415"/>
      <c r="W315" s="415"/>
      <c r="X315" s="415"/>
      <c r="Y315" s="415"/>
      <c r="Z315" s="416"/>
    </row>
    <row r="316" spans="1:26" ht="52.5" customHeight="1">
      <c r="A316" s="102"/>
      <c r="B316" s="1011"/>
      <c r="C316" s="741"/>
      <c r="D316" s="663"/>
      <c r="E316" s="663"/>
      <c r="F316" s="788"/>
      <c r="G316" s="789"/>
      <c r="H316" s="789"/>
      <c r="I316" s="531"/>
      <c r="J316" s="487"/>
      <c r="K316" s="1366"/>
      <c r="L316" s="1372"/>
      <c r="M316" s="1370"/>
      <c r="N316" s="487" t="s">
        <v>1085</v>
      </c>
      <c r="O316" s="487" t="s">
        <v>216</v>
      </c>
      <c r="P316" s="885">
        <v>44772</v>
      </c>
      <c r="Q316" s="663" t="s">
        <v>385</v>
      </c>
      <c r="R316" s="663" t="s">
        <v>138</v>
      </c>
      <c r="S316" s="663" t="s">
        <v>214</v>
      </c>
      <c r="T316" s="895"/>
      <c r="U316" s="486"/>
      <c r="V316" s="415"/>
      <c r="W316" s="415"/>
      <c r="X316" s="415"/>
      <c r="Y316" s="415"/>
      <c r="Z316" s="416"/>
    </row>
    <row r="317" spans="1:26" ht="52.5" customHeight="1">
      <c r="A317" s="102"/>
      <c r="B317" s="1011"/>
      <c r="C317" s="741"/>
      <c r="D317" s="663"/>
      <c r="E317" s="663"/>
      <c r="F317" s="788"/>
      <c r="G317" s="789"/>
      <c r="H317" s="789"/>
      <c r="I317" s="531"/>
      <c r="J317" s="487"/>
      <c r="K317" s="1366"/>
      <c r="L317" s="1362"/>
      <c r="M317" s="1360"/>
      <c r="N317" s="487" t="s">
        <v>1086</v>
      </c>
      <c r="O317" s="487" t="s">
        <v>216</v>
      </c>
      <c r="P317" s="885">
        <v>44803</v>
      </c>
      <c r="Q317" s="663" t="s">
        <v>385</v>
      </c>
      <c r="R317" s="663" t="s">
        <v>138</v>
      </c>
      <c r="S317" s="663" t="s">
        <v>214</v>
      </c>
      <c r="T317" s="895"/>
      <c r="U317" s="486"/>
      <c r="V317" s="415"/>
      <c r="W317" s="415"/>
      <c r="X317" s="415"/>
      <c r="Y317" s="415"/>
      <c r="Z317" s="416"/>
    </row>
    <row r="318" spans="1:26" ht="52.5" customHeight="1">
      <c r="A318" s="102"/>
      <c r="B318" s="1011"/>
      <c r="C318" s="741"/>
      <c r="D318" s="663"/>
      <c r="E318" s="663"/>
      <c r="F318" s="788"/>
      <c r="G318" s="789"/>
      <c r="H318" s="789"/>
      <c r="I318" s="531"/>
      <c r="J318" s="487"/>
      <c r="K318" s="1366"/>
      <c r="L318" s="824" t="s">
        <v>265</v>
      </c>
      <c r="M318" s="487" t="s">
        <v>1087</v>
      </c>
      <c r="N318" s="487" t="s">
        <v>1082</v>
      </c>
      <c r="O318" s="487" t="s">
        <v>216</v>
      </c>
      <c r="P318" s="885">
        <v>44762</v>
      </c>
      <c r="Q318" s="663" t="s">
        <v>385</v>
      </c>
      <c r="R318" s="663" t="s">
        <v>138</v>
      </c>
      <c r="S318" s="663" t="s">
        <v>214</v>
      </c>
      <c r="T318" s="895"/>
      <c r="U318" s="486"/>
      <c r="V318" s="415"/>
      <c r="W318" s="415"/>
      <c r="X318" s="415"/>
      <c r="Y318" s="415"/>
      <c r="Z318" s="416"/>
    </row>
    <row r="319" spans="1:26" ht="52.5" customHeight="1">
      <c r="A319" s="102"/>
      <c r="B319" s="1011"/>
      <c r="C319" s="741"/>
      <c r="D319" s="663"/>
      <c r="E319" s="663"/>
      <c r="F319" s="788"/>
      <c r="G319" s="789"/>
      <c r="H319" s="789"/>
      <c r="I319" s="531"/>
      <c r="J319" s="487"/>
      <c r="K319" s="1366"/>
      <c r="L319" s="824" t="s">
        <v>265</v>
      </c>
      <c r="M319" s="487" t="s">
        <v>1088</v>
      </c>
      <c r="N319" s="487" t="s">
        <v>1089</v>
      </c>
      <c r="O319" s="487" t="s">
        <v>216</v>
      </c>
      <c r="P319" s="885">
        <v>44762</v>
      </c>
      <c r="Q319" s="663" t="s">
        <v>385</v>
      </c>
      <c r="R319" s="663" t="s">
        <v>138</v>
      </c>
      <c r="S319" s="663" t="s">
        <v>214</v>
      </c>
      <c r="T319" s="895"/>
      <c r="U319" s="486"/>
      <c r="V319" s="415"/>
      <c r="W319" s="415"/>
      <c r="X319" s="415"/>
      <c r="Y319" s="415"/>
      <c r="Z319" s="416"/>
    </row>
    <row r="320" spans="1:26" ht="52.5" customHeight="1">
      <c r="A320" s="102"/>
      <c r="B320" s="1011"/>
      <c r="C320" s="741"/>
      <c r="D320" s="663"/>
      <c r="E320" s="663"/>
      <c r="F320" s="788"/>
      <c r="G320" s="789"/>
      <c r="H320" s="789"/>
      <c r="I320" s="531"/>
      <c r="J320" s="487"/>
      <c r="K320" s="1366"/>
      <c r="L320" s="1361" t="s">
        <v>1011</v>
      </c>
      <c r="M320" s="1354" t="s">
        <v>1090</v>
      </c>
      <c r="N320" s="487" t="s">
        <v>1091</v>
      </c>
      <c r="O320" s="487" t="s">
        <v>216</v>
      </c>
      <c r="P320" s="885">
        <v>44772</v>
      </c>
      <c r="Q320" s="663" t="s">
        <v>385</v>
      </c>
      <c r="R320" s="663" t="s">
        <v>138</v>
      </c>
      <c r="S320" s="663" t="s">
        <v>214</v>
      </c>
      <c r="T320" s="895"/>
      <c r="U320" s="486"/>
      <c r="V320" s="415"/>
      <c r="W320" s="415"/>
      <c r="X320" s="415"/>
      <c r="Y320" s="415"/>
      <c r="Z320" s="416"/>
    </row>
    <row r="321" spans="1:26" ht="52.5" customHeight="1">
      <c r="A321" s="102"/>
      <c r="B321" s="1011"/>
      <c r="C321" s="741"/>
      <c r="D321" s="663"/>
      <c r="E321" s="663"/>
      <c r="F321" s="788"/>
      <c r="G321" s="789"/>
      <c r="H321" s="789"/>
      <c r="I321" s="531"/>
      <c r="J321" s="487"/>
      <c r="K321" s="1366"/>
      <c r="L321" s="1362"/>
      <c r="M321" s="1360"/>
      <c r="N321" s="487" t="s">
        <v>1092</v>
      </c>
      <c r="O321" s="487" t="s">
        <v>216</v>
      </c>
      <c r="P321" s="885">
        <v>44772</v>
      </c>
      <c r="Q321" s="663" t="s">
        <v>385</v>
      </c>
      <c r="R321" s="663" t="s">
        <v>138</v>
      </c>
      <c r="S321" s="663" t="s">
        <v>214</v>
      </c>
      <c r="T321" s="895"/>
      <c r="U321" s="486"/>
      <c r="V321" s="415"/>
      <c r="W321" s="415"/>
      <c r="X321" s="415"/>
      <c r="Y321" s="415"/>
      <c r="Z321" s="416"/>
    </row>
    <row r="322" spans="1:26" ht="52.5" customHeight="1">
      <c r="A322" s="102"/>
      <c r="B322" s="1011"/>
      <c r="C322" s="741"/>
      <c r="D322" s="663"/>
      <c r="E322" s="663"/>
      <c r="F322" s="788"/>
      <c r="G322" s="789"/>
      <c r="H322" s="789"/>
      <c r="I322" s="531"/>
      <c r="J322" s="487"/>
      <c r="K322" s="1366"/>
      <c r="L322" s="1361" t="s">
        <v>209</v>
      </c>
      <c r="M322" s="1354" t="s">
        <v>1093</v>
      </c>
      <c r="N322" s="487" t="s">
        <v>1094</v>
      </c>
      <c r="O322" s="487" t="s">
        <v>216</v>
      </c>
      <c r="P322" s="885">
        <v>44762</v>
      </c>
      <c r="Q322" s="663" t="s">
        <v>385</v>
      </c>
      <c r="R322" s="663" t="s">
        <v>138</v>
      </c>
      <c r="S322" s="663" t="s">
        <v>214</v>
      </c>
      <c r="T322" s="895"/>
      <c r="U322" s="486"/>
      <c r="V322" s="415"/>
      <c r="W322" s="415"/>
      <c r="X322" s="415"/>
      <c r="Y322" s="415"/>
      <c r="Z322" s="416"/>
    </row>
    <row r="323" spans="1:26" ht="52.5" customHeight="1" thickBot="1">
      <c r="A323" s="102"/>
      <c r="B323" s="1025"/>
      <c r="C323" s="950"/>
      <c r="D323" s="661"/>
      <c r="E323" s="661"/>
      <c r="F323" s="802"/>
      <c r="G323" s="678"/>
      <c r="H323" s="678"/>
      <c r="I323" s="417"/>
      <c r="J323" s="711"/>
      <c r="K323" s="1367"/>
      <c r="L323" s="1373"/>
      <c r="M323" s="1355"/>
      <c r="N323" s="711" t="s">
        <v>1095</v>
      </c>
      <c r="O323" s="711" t="s">
        <v>216</v>
      </c>
      <c r="P323" s="675">
        <v>44772</v>
      </c>
      <c r="Q323" s="661" t="s">
        <v>385</v>
      </c>
      <c r="R323" s="661" t="s">
        <v>138</v>
      </c>
      <c r="S323" s="693" t="s">
        <v>214</v>
      </c>
      <c r="T323" s="951"/>
      <c r="U323" s="486"/>
      <c r="V323" s="415"/>
      <c r="W323" s="415"/>
      <c r="X323" s="415"/>
      <c r="Y323" s="415"/>
      <c r="Z323" s="416"/>
    </row>
    <row r="324" spans="1:26" ht="52.5" customHeight="1">
      <c r="A324" s="102"/>
      <c r="B324" s="1010">
        <v>51</v>
      </c>
      <c r="C324" s="736" t="s">
        <v>116</v>
      </c>
      <c r="D324" s="662" t="s">
        <v>1096</v>
      </c>
      <c r="E324" s="662" t="s">
        <v>64</v>
      </c>
      <c r="F324" s="784">
        <v>44738</v>
      </c>
      <c r="G324" s="785" t="s">
        <v>1097</v>
      </c>
      <c r="H324" s="785" t="s">
        <v>146</v>
      </c>
      <c r="I324" s="786" t="s">
        <v>1098</v>
      </c>
      <c r="J324" s="787"/>
      <c r="K324" s="1368" t="s">
        <v>1099</v>
      </c>
      <c r="L324" s="1371" t="s">
        <v>209</v>
      </c>
      <c r="M324" s="1369" t="s">
        <v>1100</v>
      </c>
      <c r="N324" s="787" t="s">
        <v>1101</v>
      </c>
      <c r="O324" s="787" t="s">
        <v>216</v>
      </c>
      <c r="P324" s="932">
        <v>44756</v>
      </c>
      <c r="Q324" s="662" t="s">
        <v>1102</v>
      </c>
      <c r="R324" s="662" t="s">
        <v>132</v>
      </c>
      <c r="S324" s="662" t="s">
        <v>214</v>
      </c>
      <c r="T324" s="892" t="s">
        <v>57</v>
      </c>
      <c r="U324" s="486"/>
      <c r="V324" s="415"/>
      <c r="W324" s="415"/>
      <c r="X324" s="415"/>
      <c r="Y324" s="415"/>
      <c r="Z324" s="416"/>
    </row>
    <row r="325" spans="1:26" ht="52.5" customHeight="1">
      <c r="A325" s="102"/>
      <c r="B325" s="1011"/>
      <c r="C325" s="741"/>
      <c r="D325" s="663"/>
      <c r="E325" s="663"/>
      <c r="F325" s="788"/>
      <c r="G325" s="789"/>
      <c r="H325" s="789"/>
      <c r="I325" s="531"/>
      <c r="J325" s="487"/>
      <c r="K325" s="1366"/>
      <c r="L325" s="1372"/>
      <c r="M325" s="1370"/>
      <c r="N325" s="487" t="s">
        <v>1103</v>
      </c>
      <c r="O325" s="487" t="s">
        <v>582</v>
      </c>
      <c r="P325" s="885">
        <v>44756</v>
      </c>
      <c r="Q325" s="663" t="s">
        <v>1102</v>
      </c>
      <c r="R325" s="663" t="s">
        <v>132</v>
      </c>
      <c r="S325" s="663" t="s">
        <v>214</v>
      </c>
      <c r="T325" s="895"/>
      <c r="U325" s="486"/>
      <c r="V325" s="415"/>
      <c r="W325" s="415"/>
      <c r="X325" s="415"/>
      <c r="Y325" s="415"/>
      <c r="Z325" s="416"/>
    </row>
    <row r="326" spans="1:26" ht="135" customHeight="1">
      <c r="A326" s="102"/>
      <c r="B326" s="1011"/>
      <c r="C326" s="741"/>
      <c r="D326" s="663"/>
      <c r="E326" s="663"/>
      <c r="F326" s="788"/>
      <c r="G326" s="789"/>
      <c r="H326" s="789"/>
      <c r="I326" s="531"/>
      <c r="J326" s="487"/>
      <c r="K326" s="1366"/>
      <c r="L326" s="1372"/>
      <c r="M326" s="1370"/>
      <c r="N326" s="487" t="s">
        <v>1104</v>
      </c>
      <c r="O326" s="487" t="s">
        <v>582</v>
      </c>
      <c r="P326" s="885">
        <v>44756</v>
      </c>
      <c r="Q326" s="663" t="s">
        <v>1105</v>
      </c>
      <c r="R326" s="663" t="s">
        <v>140</v>
      </c>
      <c r="S326" s="663" t="s">
        <v>214</v>
      </c>
      <c r="T326" s="895"/>
      <c r="U326" s="486"/>
      <c r="V326" s="415"/>
      <c r="W326" s="415"/>
      <c r="X326" s="415"/>
      <c r="Y326" s="415"/>
      <c r="Z326" s="416"/>
    </row>
    <row r="327" spans="1:26" ht="120" customHeight="1">
      <c r="A327" s="102"/>
      <c r="B327" s="1011"/>
      <c r="C327" s="741"/>
      <c r="D327" s="663"/>
      <c r="E327" s="663"/>
      <c r="F327" s="788"/>
      <c r="G327" s="789"/>
      <c r="H327" s="789"/>
      <c r="I327" s="531"/>
      <c r="J327" s="487"/>
      <c r="K327" s="1366"/>
      <c r="L327" s="1362"/>
      <c r="M327" s="1360"/>
      <c r="N327" s="487" t="s">
        <v>1106</v>
      </c>
      <c r="O327" s="487" t="s">
        <v>582</v>
      </c>
      <c r="P327" s="885">
        <v>44756</v>
      </c>
      <c r="Q327" s="663" t="s">
        <v>1107</v>
      </c>
      <c r="R327" s="663" t="s">
        <v>142</v>
      </c>
      <c r="S327" s="663" t="s">
        <v>214</v>
      </c>
      <c r="T327" s="895"/>
      <c r="U327" s="486"/>
      <c r="V327" s="415"/>
      <c r="W327" s="415"/>
      <c r="X327" s="415"/>
      <c r="Y327" s="415"/>
      <c r="Z327" s="416"/>
    </row>
    <row r="328" spans="1:26" ht="52.5" customHeight="1">
      <c r="A328" s="102"/>
      <c r="B328" s="1011"/>
      <c r="C328" s="741"/>
      <c r="D328" s="663"/>
      <c r="E328" s="663"/>
      <c r="F328" s="788"/>
      <c r="G328" s="789"/>
      <c r="H328" s="789"/>
      <c r="I328" s="531"/>
      <c r="J328" s="487"/>
      <c r="K328" s="1366"/>
      <c r="L328" s="824" t="s">
        <v>209</v>
      </c>
      <c r="M328" s="487" t="s">
        <v>1108</v>
      </c>
      <c r="N328" s="487" t="s">
        <v>1101</v>
      </c>
      <c r="O328" s="487" t="s">
        <v>582</v>
      </c>
      <c r="P328" s="885">
        <v>44756</v>
      </c>
      <c r="Q328" s="663" t="s">
        <v>1102</v>
      </c>
      <c r="R328" s="663" t="s">
        <v>132</v>
      </c>
      <c r="S328" s="663" t="s">
        <v>214</v>
      </c>
      <c r="T328" s="895"/>
      <c r="U328" s="486"/>
      <c r="V328" s="415"/>
      <c r="W328" s="415"/>
      <c r="X328" s="415"/>
      <c r="Y328" s="415"/>
      <c r="Z328" s="416"/>
    </row>
    <row r="329" spans="1:26" ht="89.1" customHeight="1">
      <c r="A329" s="102"/>
      <c r="B329" s="1011"/>
      <c r="C329" s="741"/>
      <c r="D329" s="663"/>
      <c r="E329" s="663"/>
      <c r="F329" s="788"/>
      <c r="G329" s="789"/>
      <c r="H329" s="789"/>
      <c r="I329" s="531"/>
      <c r="J329" s="487"/>
      <c r="K329" s="1366"/>
      <c r="L329" s="1361" t="s">
        <v>209</v>
      </c>
      <c r="M329" s="1354" t="s">
        <v>1109</v>
      </c>
      <c r="N329" s="487" t="s">
        <v>1110</v>
      </c>
      <c r="O329" s="487" t="s">
        <v>582</v>
      </c>
      <c r="P329" s="885">
        <v>44756</v>
      </c>
      <c r="Q329" s="663" t="s">
        <v>1102</v>
      </c>
      <c r="R329" s="663" t="s">
        <v>132</v>
      </c>
      <c r="S329" s="663" t="s">
        <v>214</v>
      </c>
      <c r="T329" s="895"/>
      <c r="U329" s="486"/>
      <c r="V329" s="415"/>
      <c r="W329" s="415"/>
      <c r="X329" s="415"/>
      <c r="Y329" s="415"/>
      <c r="Z329" s="416"/>
    </row>
    <row r="330" spans="1:26" ht="101.45" customHeight="1">
      <c r="A330" s="102"/>
      <c r="B330" s="1011"/>
      <c r="C330" s="741"/>
      <c r="D330" s="663"/>
      <c r="E330" s="663"/>
      <c r="F330" s="788"/>
      <c r="G330" s="789"/>
      <c r="H330" s="789"/>
      <c r="I330" s="531"/>
      <c r="J330" s="487"/>
      <c r="K330" s="1366"/>
      <c r="L330" s="1372"/>
      <c r="M330" s="1370"/>
      <c r="N330" s="487" t="s">
        <v>1111</v>
      </c>
      <c r="O330" s="487" t="s">
        <v>216</v>
      </c>
      <c r="P330" s="885">
        <v>44756</v>
      </c>
      <c r="Q330" s="663" t="s">
        <v>1102</v>
      </c>
      <c r="R330" s="663" t="s">
        <v>132</v>
      </c>
      <c r="S330" s="663" t="s">
        <v>214</v>
      </c>
      <c r="T330" s="895"/>
      <c r="U330" s="486"/>
      <c r="V330" s="415"/>
      <c r="W330" s="415"/>
      <c r="X330" s="415"/>
      <c r="Y330" s="415"/>
      <c r="Z330" s="416"/>
    </row>
    <row r="331" spans="1:26" ht="101.45" customHeight="1" thickBot="1">
      <c r="A331" s="102"/>
      <c r="B331" s="1019"/>
      <c r="C331" s="911"/>
      <c r="D331" s="693"/>
      <c r="E331" s="693"/>
      <c r="F331" s="797"/>
      <c r="G331" s="798"/>
      <c r="H331" s="798"/>
      <c r="I331" s="799"/>
      <c r="J331" s="681"/>
      <c r="K331" s="1366"/>
      <c r="L331" s="1372"/>
      <c r="M331" s="1370"/>
      <c r="N331" s="681" t="s">
        <v>1112</v>
      </c>
      <c r="O331" s="681" t="s">
        <v>402</v>
      </c>
      <c r="P331" s="939">
        <v>44756</v>
      </c>
      <c r="Q331" s="693" t="s">
        <v>1102</v>
      </c>
      <c r="R331" s="693" t="s">
        <v>132</v>
      </c>
      <c r="S331" s="693" t="s">
        <v>214</v>
      </c>
      <c r="T331" s="938"/>
      <c r="U331" s="486"/>
      <c r="V331" s="415"/>
      <c r="W331" s="415"/>
      <c r="X331" s="415"/>
      <c r="Y331" s="415"/>
      <c r="Z331" s="416"/>
    </row>
    <row r="332" spans="1:26" ht="52.5" customHeight="1">
      <c r="A332" s="102"/>
      <c r="B332" s="1020">
        <v>52</v>
      </c>
      <c r="C332" s="919" t="s">
        <v>1113</v>
      </c>
      <c r="D332" s="659" t="s">
        <v>1114</v>
      </c>
      <c r="E332" s="659" t="s">
        <v>34</v>
      </c>
      <c r="F332" s="669">
        <v>44749</v>
      </c>
      <c r="G332" s="394" t="s">
        <v>1115</v>
      </c>
      <c r="H332" s="394" t="s">
        <v>155</v>
      </c>
      <c r="I332" s="530" t="s">
        <v>1116</v>
      </c>
      <c r="J332" s="712"/>
      <c r="K332" s="1368" t="s">
        <v>1117</v>
      </c>
      <c r="L332" s="683" t="s">
        <v>209</v>
      </c>
      <c r="M332" s="712" t="s">
        <v>1118</v>
      </c>
      <c r="N332" s="712" t="s">
        <v>1119</v>
      </c>
      <c r="O332" s="712" t="s">
        <v>1120</v>
      </c>
      <c r="P332" s="932">
        <v>44804</v>
      </c>
      <c r="Q332" s="659" t="s">
        <v>1121</v>
      </c>
      <c r="R332" s="659" t="s">
        <v>139</v>
      </c>
      <c r="S332" s="659" t="s">
        <v>214</v>
      </c>
      <c r="T332" s="948" t="s">
        <v>58</v>
      </c>
      <c r="U332" s="486"/>
      <c r="V332" s="415"/>
      <c r="W332" s="415"/>
      <c r="X332" s="415"/>
      <c r="Y332" s="415"/>
      <c r="Z332" s="416"/>
    </row>
    <row r="333" spans="1:26" ht="52.5" customHeight="1">
      <c r="A333" s="102"/>
      <c r="B333" s="1011"/>
      <c r="C333" s="741"/>
      <c r="D333" s="663"/>
      <c r="E333" s="663"/>
      <c r="F333" s="788"/>
      <c r="G333" s="789"/>
      <c r="H333" s="789"/>
      <c r="I333" s="531"/>
      <c r="J333" s="487"/>
      <c r="K333" s="1366"/>
      <c r="L333" s="1361" t="s">
        <v>209</v>
      </c>
      <c r="M333" s="1354" t="s">
        <v>1122</v>
      </c>
      <c r="N333" s="487" t="s">
        <v>1123</v>
      </c>
      <c r="O333" s="487" t="s">
        <v>216</v>
      </c>
      <c r="P333" s="885">
        <v>44758</v>
      </c>
      <c r="Q333" s="663" t="s">
        <v>1121</v>
      </c>
      <c r="R333" s="663" t="s">
        <v>139</v>
      </c>
      <c r="S333" s="663" t="s">
        <v>214</v>
      </c>
      <c r="T333" s="895"/>
      <c r="U333" s="486"/>
      <c r="V333" s="415"/>
      <c r="W333" s="415"/>
      <c r="X333" s="415"/>
      <c r="Y333" s="415"/>
      <c r="Z333" s="416"/>
    </row>
    <row r="334" spans="1:26" ht="67.5" customHeight="1">
      <c r="A334" s="102"/>
      <c r="B334" s="1011"/>
      <c r="C334" s="741"/>
      <c r="D334" s="663"/>
      <c r="E334" s="663"/>
      <c r="F334" s="788"/>
      <c r="G334" s="789"/>
      <c r="H334" s="789"/>
      <c r="I334" s="531"/>
      <c r="J334" s="487"/>
      <c r="K334" s="1366"/>
      <c r="L334" s="1362"/>
      <c r="M334" s="1360"/>
      <c r="N334" s="487" t="s">
        <v>1124</v>
      </c>
      <c r="O334" s="487" t="s">
        <v>216</v>
      </c>
      <c r="P334" s="885">
        <v>44758</v>
      </c>
      <c r="Q334" s="663" t="s">
        <v>1121</v>
      </c>
      <c r="R334" s="663" t="s">
        <v>139</v>
      </c>
      <c r="S334" s="663" t="s">
        <v>214</v>
      </c>
      <c r="T334" s="895"/>
      <c r="U334" s="486"/>
      <c r="V334" s="415"/>
      <c r="W334" s="415"/>
      <c r="X334" s="415"/>
      <c r="Y334" s="415"/>
      <c r="Z334" s="416"/>
    </row>
    <row r="335" spans="1:26" ht="66" customHeight="1">
      <c r="A335" s="102"/>
      <c r="B335" s="1011"/>
      <c r="C335" s="741"/>
      <c r="D335" s="663"/>
      <c r="E335" s="663"/>
      <c r="F335" s="788"/>
      <c r="G335" s="789"/>
      <c r="H335" s="789"/>
      <c r="I335" s="531"/>
      <c r="J335" s="487"/>
      <c r="K335" s="1366"/>
      <c r="L335" s="1361" t="s">
        <v>265</v>
      </c>
      <c r="M335" s="1354" t="s">
        <v>1125</v>
      </c>
      <c r="N335" s="487" t="s">
        <v>1126</v>
      </c>
      <c r="O335" s="487" t="s">
        <v>216</v>
      </c>
      <c r="P335" s="885">
        <v>44758</v>
      </c>
      <c r="Q335" s="663" t="s">
        <v>1121</v>
      </c>
      <c r="R335" s="663" t="s">
        <v>139</v>
      </c>
      <c r="S335" s="663" t="s">
        <v>214</v>
      </c>
      <c r="T335" s="895"/>
      <c r="U335" s="486"/>
      <c r="V335" s="415"/>
      <c r="W335" s="415"/>
      <c r="X335" s="415"/>
      <c r="Y335" s="415"/>
      <c r="Z335" s="416"/>
    </row>
    <row r="336" spans="1:26" ht="52.5" customHeight="1">
      <c r="A336" s="102"/>
      <c r="B336" s="1011"/>
      <c r="C336" s="741"/>
      <c r="D336" s="663"/>
      <c r="E336" s="663"/>
      <c r="F336" s="788"/>
      <c r="G336" s="789"/>
      <c r="H336" s="789"/>
      <c r="I336" s="531"/>
      <c r="J336" s="487"/>
      <c r="K336" s="1366"/>
      <c r="L336" s="1372"/>
      <c r="M336" s="1370"/>
      <c r="N336" s="487" t="s">
        <v>1127</v>
      </c>
      <c r="O336" s="487" t="s">
        <v>216</v>
      </c>
      <c r="P336" s="885">
        <v>44758</v>
      </c>
      <c r="Q336" s="663" t="s">
        <v>1128</v>
      </c>
      <c r="R336" s="663" t="s">
        <v>140</v>
      </c>
      <c r="S336" s="663" t="s">
        <v>214</v>
      </c>
      <c r="T336" s="895"/>
      <c r="U336" s="486"/>
      <c r="V336" s="415"/>
      <c r="W336" s="415"/>
      <c r="X336" s="415"/>
      <c r="Y336" s="415"/>
      <c r="Z336" s="416"/>
    </row>
    <row r="337" spans="1:33" ht="52.5" customHeight="1">
      <c r="A337" s="102"/>
      <c r="B337" s="1011"/>
      <c r="C337" s="741"/>
      <c r="D337" s="663"/>
      <c r="E337" s="663"/>
      <c r="F337" s="788"/>
      <c r="G337" s="789"/>
      <c r="H337" s="789"/>
      <c r="I337" s="531"/>
      <c r="J337" s="487"/>
      <c r="K337" s="1366"/>
      <c r="L337" s="1362"/>
      <c r="M337" s="1360"/>
      <c r="N337" s="487" t="s">
        <v>1129</v>
      </c>
      <c r="O337" s="487" t="s">
        <v>216</v>
      </c>
      <c r="P337" s="885">
        <v>44758</v>
      </c>
      <c r="Q337" s="663" t="s">
        <v>1121</v>
      </c>
      <c r="R337" s="663" t="s">
        <v>139</v>
      </c>
      <c r="S337" s="663" t="s">
        <v>214</v>
      </c>
      <c r="T337" s="895"/>
      <c r="U337" s="486"/>
      <c r="V337" s="415"/>
      <c r="W337" s="415"/>
      <c r="X337" s="415"/>
      <c r="Y337" s="415"/>
      <c r="Z337" s="416"/>
    </row>
    <row r="338" spans="1:33" ht="52.5" customHeight="1">
      <c r="A338" s="102"/>
      <c r="B338" s="1011"/>
      <c r="C338" s="741"/>
      <c r="D338" s="663"/>
      <c r="E338" s="663"/>
      <c r="F338" s="788"/>
      <c r="G338" s="789"/>
      <c r="H338" s="789"/>
      <c r="I338" s="531"/>
      <c r="J338" s="487"/>
      <c r="K338" s="1366"/>
      <c r="L338" s="824" t="s">
        <v>261</v>
      </c>
      <c r="M338" s="487" t="s">
        <v>1130</v>
      </c>
      <c r="N338" s="487" t="s">
        <v>1131</v>
      </c>
      <c r="O338" s="487" t="s">
        <v>1132</v>
      </c>
      <c r="P338" s="885">
        <v>44783</v>
      </c>
      <c r="Q338" s="663" t="s">
        <v>1128</v>
      </c>
      <c r="R338" s="663" t="s">
        <v>140</v>
      </c>
      <c r="S338" s="663" t="s">
        <v>214</v>
      </c>
      <c r="T338" s="895"/>
      <c r="U338" s="486"/>
      <c r="V338" s="415"/>
      <c r="W338" s="415"/>
      <c r="X338" s="415"/>
      <c r="Y338" s="415"/>
      <c r="Z338" s="416"/>
    </row>
    <row r="339" spans="1:33" ht="52.5" customHeight="1">
      <c r="A339" s="102"/>
      <c r="B339" s="1011"/>
      <c r="C339" s="741"/>
      <c r="D339" s="663"/>
      <c r="E339" s="663"/>
      <c r="F339" s="788"/>
      <c r="G339" s="789"/>
      <c r="H339" s="789"/>
      <c r="I339" s="531"/>
      <c r="J339" s="487"/>
      <c r="K339" s="1366"/>
      <c r="L339" s="1361" t="s">
        <v>265</v>
      </c>
      <c r="M339" s="1354" t="s">
        <v>1133</v>
      </c>
      <c r="N339" s="487" t="s">
        <v>1134</v>
      </c>
      <c r="O339" s="487" t="s">
        <v>216</v>
      </c>
      <c r="P339" s="885">
        <v>44758</v>
      </c>
      <c r="Q339" s="663" t="s">
        <v>1121</v>
      </c>
      <c r="R339" s="663" t="s">
        <v>139</v>
      </c>
      <c r="S339" s="663" t="s">
        <v>214</v>
      </c>
      <c r="T339" s="895"/>
      <c r="U339" s="486"/>
      <c r="V339" s="415"/>
      <c r="W339" s="415"/>
      <c r="X339" s="415"/>
      <c r="Y339" s="415"/>
      <c r="Z339" s="416"/>
    </row>
    <row r="340" spans="1:33" ht="52.5" customHeight="1">
      <c r="A340" s="102"/>
      <c r="B340" s="1011"/>
      <c r="C340" s="741"/>
      <c r="D340" s="663"/>
      <c r="E340" s="663"/>
      <c r="F340" s="788"/>
      <c r="G340" s="789"/>
      <c r="H340" s="789"/>
      <c r="I340" s="531"/>
      <c r="J340" s="487"/>
      <c r="K340" s="1366"/>
      <c r="L340" s="1372"/>
      <c r="M340" s="1370"/>
      <c r="N340" s="487" t="s">
        <v>1135</v>
      </c>
      <c r="O340" s="487" t="s">
        <v>216</v>
      </c>
      <c r="P340" s="885">
        <v>44864</v>
      </c>
      <c r="Q340" s="663" t="s">
        <v>1121</v>
      </c>
      <c r="R340" s="663" t="s">
        <v>139</v>
      </c>
      <c r="S340" s="663" t="s">
        <v>214</v>
      </c>
      <c r="T340" s="895"/>
      <c r="U340" s="486"/>
      <c r="V340" s="415"/>
      <c r="W340" s="415"/>
      <c r="X340" s="415"/>
      <c r="Y340" s="415"/>
      <c r="Z340" s="416"/>
    </row>
    <row r="341" spans="1:33" ht="84.75" customHeight="1">
      <c r="A341" s="102"/>
      <c r="B341" s="1011"/>
      <c r="C341" s="741"/>
      <c r="D341" s="663"/>
      <c r="E341" s="663"/>
      <c r="F341" s="788"/>
      <c r="G341" s="789"/>
      <c r="H341" s="789"/>
      <c r="I341" s="531"/>
      <c r="J341" s="487"/>
      <c r="K341" s="1366"/>
      <c r="L341" s="1362"/>
      <c r="M341" s="1360"/>
      <c r="N341" s="487" t="s">
        <v>1136</v>
      </c>
      <c r="O341" s="487" t="s">
        <v>216</v>
      </c>
      <c r="P341" s="885">
        <v>44758</v>
      </c>
      <c r="Q341" s="663" t="s">
        <v>1137</v>
      </c>
      <c r="R341" s="663" t="s">
        <v>139</v>
      </c>
      <c r="S341" s="663" t="s">
        <v>214</v>
      </c>
      <c r="T341" s="895"/>
      <c r="U341" s="486"/>
      <c r="V341" s="415"/>
      <c r="W341" s="415"/>
      <c r="X341" s="415"/>
      <c r="Y341" s="415"/>
      <c r="Z341" s="416"/>
    </row>
    <row r="342" spans="1:33" ht="52.5" customHeight="1" thickBot="1">
      <c r="A342" s="102"/>
      <c r="B342" s="1025"/>
      <c r="C342" s="950"/>
      <c r="D342" s="661"/>
      <c r="E342" s="661"/>
      <c r="F342" s="802"/>
      <c r="G342" s="678"/>
      <c r="H342" s="678"/>
      <c r="I342" s="417"/>
      <c r="J342" s="711"/>
      <c r="K342" s="1367"/>
      <c r="L342" s="687" t="s">
        <v>265</v>
      </c>
      <c r="M342" s="711" t="s">
        <v>1138</v>
      </c>
      <c r="N342" s="711" t="s">
        <v>1139</v>
      </c>
      <c r="O342" s="711" t="s">
        <v>1140</v>
      </c>
      <c r="P342" s="675">
        <v>44758</v>
      </c>
      <c r="Q342" s="661" t="s">
        <v>1121</v>
      </c>
      <c r="R342" s="661" t="s">
        <v>139</v>
      </c>
      <c r="S342" s="661" t="s">
        <v>214</v>
      </c>
      <c r="T342" s="951"/>
      <c r="U342" s="486"/>
      <c r="V342" s="415"/>
      <c r="W342" s="415"/>
      <c r="X342" s="415"/>
      <c r="Y342" s="415"/>
      <c r="Z342" s="416"/>
    </row>
    <row r="343" spans="1:33" ht="52.5" customHeight="1">
      <c r="A343" s="102"/>
      <c r="B343" s="1020">
        <v>53</v>
      </c>
      <c r="C343" s="919" t="s">
        <v>1113</v>
      </c>
      <c r="D343" s="659" t="s">
        <v>1141</v>
      </c>
      <c r="E343" s="659" t="s">
        <v>64</v>
      </c>
      <c r="F343" s="669">
        <v>44749</v>
      </c>
      <c r="G343" s="394" t="s">
        <v>1142</v>
      </c>
      <c r="H343" s="394" t="s">
        <v>149</v>
      </c>
      <c r="I343" s="530" t="s">
        <v>1143</v>
      </c>
      <c r="J343" s="712"/>
      <c r="K343" s="1368" t="s">
        <v>1144</v>
      </c>
      <c r="L343" s="1371" t="s">
        <v>209</v>
      </c>
      <c r="M343" s="1369" t="s">
        <v>1145</v>
      </c>
      <c r="N343" s="712" t="s">
        <v>1146</v>
      </c>
      <c r="O343" s="712" t="s">
        <v>1147</v>
      </c>
      <c r="P343" s="947">
        <v>44762</v>
      </c>
      <c r="Q343" s="659" t="s">
        <v>375</v>
      </c>
      <c r="R343" s="659" t="s">
        <v>131</v>
      </c>
      <c r="S343" s="659" t="s">
        <v>214</v>
      </c>
      <c r="T343" s="948" t="s">
        <v>57</v>
      </c>
      <c r="U343" s="486"/>
      <c r="V343" s="415"/>
      <c r="W343" s="415"/>
      <c r="X343" s="415"/>
      <c r="Y343" s="415"/>
      <c r="Z343" s="416"/>
    </row>
    <row r="344" spans="1:33" ht="52.5" customHeight="1">
      <c r="A344" s="102"/>
      <c r="B344" s="1011"/>
      <c r="C344" s="741"/>
      <c r="D344" s="663"/>
      <c r="E344" s="663"/>
      <c r="F344" s="788"/>
      <c r="G344" s="789"/>
      <c r="H344" s="789"/>
      <c r="I344" s="531"/>
      <c r="J344" s="487"/>
      <c r="K344" s="1366"/>
      <c r="L344" s="1372"/>
      <c r="M344" s="1370"/>
      <c r="N344" s="487" t="s">
        <v>1148</v>
      </c>
      <c r="O344" s="487" t="s">
        <v>1147</v>
      </c>
      <c r="P344" s="885">
        <v>44762</v>
      </c>
      <c r="Q344" s="663" t="s">
        <v>375</v>
      </c>
      <c r="R344" s="663" t="s">
        <v>131</v>
      </c>
      <c r="S344" s="663" t="s">
        <v>214</v>
      </c>
      <c r="T344" s="895"/>
      <c r="U344" s="486"/>
      <c r="V344" s="415"/>
      <c r="W344" s="415"/>
      <c r="X344" s="415"/>
      <c r="Y344" s="415"/>
      <c r="Z344" s="416"/>
    </row>
    <row r="345" spans="1:33" ht="52.5" customHeight="1">
      <c r="A345" s="102"/>
      <c r="B345" s="1011"/>
      <c r="C345" s="741"/>
      <c r="D345" s="663"/>
      <c r="E345" s="663"/>
      <c r="F345" s="788"/>
      <c r="G345" s="789"/>
      <c r="H345" s="789"/>
      <c r="I345" s="531"/>
      <c r="J345" s="487"/>
      <c r="K345" s="1366"/>
      <c r="L345" s="1362"/>
      <c r="M345" s="1360"/>
      <c r="N345" s="487" t="s">
        <v>1149</v>
      </c>
      <c r="O345" s="487" t="s">
        <v>216</v>
      </c>
      <c r="P345" s="885">
        <v>44762</v>
      </c>
      <c r="Q345" s="663" t="s">
        <v>375</v>
      </c>
      <c r="R345" s="663" t="s">
        <v>131</v>
      </c>
      <c r="S345" s="663" t="s">
        <v>214</v>
      </c>
      <c r="T345" s="895"/>
      <c r="U345" s="486"/>
      <c r="V345" s="415"/>
      <c r="W345" s="415"/>
      <c r="X345" s="415"/>
      <c r="Y345" s="415"/>
      <c r="Z345" s="416"/>
    </row>
    <row r="346" spans="1:33" ht="52.5" customHeight="1">
      <c r="A346" s="102"/>
      <c r="B346" s="1011"/>
      <c r="C346" s="741"/>
      <c r="D346" s="663"/>
      <c r="E346" s="663"/>
      <c r="F346" s="788"/>
      <c r="G346" s="789"/>
      <c r="H346" s="789"/>
      <c r="I346" s="531"/>
      <c r="J346" s="487"/>
      <c r="K346" s="1366"/>
      <c r="L346" s="1361" t="s">
        <v>209</v>
      </c>
      <c r="M346" s="1354" t="s">
        <v>1150</v>
      </c>
      <c r="N346" s="487" t="s">
        <v>1151</v>
      </c>
      <c r="O346" s="487" t="s">
        <v>1147</v>
      </c>
      <c r="P346" s="885">
        <v>44762</v>
      </c>
      <c r="Q346" s="663" t="s">
        <v>596</v>
      </c>
      <c r="R346" s="663" t="s">
        <v>140</v>
      </c>
      <c r="S346" s="663" t="s">
        <v>214</v>
      </c>
      <c r="T346" s="895"/>
      <c r="U346" s="486"/>
      <c r="V346" s="415"/>
      <c r="W346" s="415"/>
      <c r="X346" s="415"/>
      <c r="Y346" s="415"/>
      <c r="Z346" s="416"/>
    </row>
    <row r="347" spans="1:33" ht="52.5" customHeight="1">
      <c r="A347" s="102"/>
      <c r="B347" s="1011"/>
      <c r="C347" s="741"/>
      <c r="D347" s="663"/>
      <c r="E347" s="663"/>
      <c r="F347" s="788"/>
      <c r="G347" s="789"/>
      <c r="H347" s="789"/>
      <c r="I347" s="531"/>
      <c r="J347" s="487"/>
      <c r="K347" s="1366"/>
      <c r="L347" s="1362"/>
      <c r="M347" s="1360"/>
      <c r="N347" s="487" t="s">
        <v>594</v>
      </c>
      <c r="O347" s="487" t="s">
        <v>216</v>
      </c>
      <c r="P347" s="885">
        <v>44762</v>
      </c>
      <c r="Q347" s="663" t="s">
        <v>375</v>
      </c>
      <c r="R347" s="663" t="s">
        <v>131</v>
      </c>
      <c r="S347" s="663" t="s">
        <v>214</v>
      </c>
      <c r="T347" s="895"/>
      <c r="U347" s="486"/>
      <c r="V347" s="415"/>
      <c r="W347" s="415"/>
      <c r="X347" s="415"/>
      <c r="Y347" s="415"/>
      <c r="Z347" s="416"/>
    </row>
    <row r="348" spans="1:33" ht="52.5" customHeight="1">
      <c r="A348" s="102"/>
      <c r="B348" s="1011"/>
      <c r="C348" s="741"/>
      <c r="D348" s="663"/>
      <c r="E348" s="663"/>
      <c r="F348" s="788"/>
      <c r="G348" s="789"/>
      <c r="H348" s="789"/>
      <c r="I348" s="531"/>
      <c r="J348" s="487"/>
      <c r="K348" s="1366"/>
      <c r="L348" s="1361" t="s">
        <v>265</v>
      </c>
      <c r="M348" s="1354" t="s">
        <v>1152</v>
      </c>
      <c r="N348" s="487" t="s">
        <v>1153</v>
      </c>
      <c r="O348" s="487" t="s">
        <v>216</v>
      </c>
      <c r="P348" s="885">
        <v>44770</v>
      </c>
      <c r="Q348" s="663" t="s">
        <v>385</v>
      </c>
      <c r="R348" s="663" t="s">
        <v>138</v>
      </c>
      <c r="S348" s="663" t="s">
        <v>214</v>
      </c>
      <c r="T348" s="895"/>
      <c r="U348" s="486"/>
      <c r="V348" s="415"/>
      <c r="W348" s="415"/>
      <c r="X348" s="415"/>
      <c r="Y348" s="415"/>
      <c r="Z348" s="416"/>
    </row>
    <row r="349" spans="1:33" ht="52.5" customHeight="1">
      <c r="A349" s="102"/>
      <c r="B349" s="1011"/>
      <c r="C349" s="741"/>
      <c r="D349" s="663"/>
      <c r="E349" s="663"/>
      <c r="F349" s="788"/>
      <c r="G349" s="789"/>
      <c r="H349" s="789"/>
      <c r="I349" s="531"/>
      <c r="J349" s="487"/>
      <c r="K349" s="1366"/>
      <c r="L349" s="1372"/>
      <c r="M349" s="1370"/>
      <c r="N349" s="487" t="s">
        <v>1154</v>
      </c>
      <c r="O349" s="487" t="s">
        <v>216</v>
      </c>
      <c r="P349" s="885">
        <v>44772</v>
      </c>
      <c r="Q349" s="663" t="s">
        <v>385</v>
      </c>
      <c r="R349" s="663" t="s">
        <v>138</v>
      </c>
      <c r="S349" s="663" t="s">
        <v>214</v>
      </c>
      <c r="T349" s="895"/>
      <c r="U349" s="486"/>
      <c r="V349" s="415"/>
      <c r="W349" s="415"/>
      <c r="X349" s="415"/>
      <c r="Y349" s="415"/>
      <c r="Z349" s="416"/>
    </row>
    <row r="350" spans="1:33" ht="52.5" customHeight="1">
      <c r="A350" s="102"/>
      <c r="B350" s="1011"/>
      <c r="C350" s="741"/>
      <c r="D350" s="663"/>
      <c r="E350" s="663"/>
      <c r="F350" s="788"/>
      <c r="G350" s="789"/>
      <c r="H350" s="789"/>
      <c r="I350" s="531"/>
      <c r="J350" s="487"/>
      <c r="K350" s="1366"/>
      <c r="L350" s="1372"/>
      <c r="M350" s="1370"/>
      <c r="N350" s="487" t="s">
        <v>1155</v>
      </c>
      <c r="O350" s="487" t="s">
        <v>216</v>
      </c>
      <c r="P350" s="885">
        <v>44773</v>
      </c>
      <c r="Q350" s="663" t="s">
        <v>385</v>
      </c>
      <c r="R350" s="663" t="s">
        <v>138</v>
      </c>
      <c r="S350" s="663" t="s">
        <v>214</v>
      </c>
      <c r="T350" s="895"/>
      <c r="U350" s="486"/>
      <c r="V350" s="415"/>
      <c r="W350" s="415"/>
      <c r="X350" s="415"/>
      <c r="Y350" s="415"/>
      <c r="Z350" s="416"/>
    </row>
    <row r="351" spans="1:33" ht="52.5" customHeight="1" thickBot="1">
      <c r="A351" s="102"/>
      <c r="B351" s="1025"/>
      <c r="C351" s="950"/>
      <c r="D351" s="661"/>
      <c r="E351" s="661"/>
      <c r="F351" s="802"/>
      <c r="G351" s="678"/>
      <c r="H351" s="678"/>
      <c r="I351" s="417"/>
      <c r="J351" s="711"/>
      <c r="K351" s="1367"/>
      <c r="L351" s="1373"/>
      <c r="M351" s="1355"/>
      <c r="N351" s="711" t="s">
        <v>1156</v>
      </c>
      <c r="O351" s="711" t="s">
        <v>216</v>
      </c>
      <c r="P351" s="675">
        <v>44773</v>
      </c>
      <c r="Q351" s="661" t="s">
        <v>385</v>
      </c>
      <c r="R351" s="661" t="s">
        <v>138</v>
      </c>
      <c r="S351" s="661" t="s">
        <v>214</v>
      </c>
      <c r="T351" s="951"/>
      <c r="U351" s="486"/>
      <c r="V351" s="415"/>
      <c r="W351" s="415"/>
      <c r="X351" s="415"/>
      <c r="Y351" s="415"/>
      <c r="Z351" s="416"/>
    </row>
    <row r="352" spans="1:33" s="274" customFormat="1" ht="80.25" customHeight="1">
      <c r="B352" s="1026">
        <v>54</v>
      </c>
      <c r="C352" s="919" t="s">
        <v>1113</v>
      </c>
      <c r="D352" s="659" t="s">
        <v>1157</v>
      </c>
      <c r="E352" s="659" t="s">
        <v>64</v>
      </c>
      <c r="F352" s="669">
        <v>44754</v>
      </c>
      <c r="G352" s="394" t="s">
        <v>1158</v>
      </c>
      <c r="H352" s="394" t="s">
        <v>149</v>
      </c>
      <c r="I352" s="530" t="s">
        <v>1159</v>
      </c>
      <c r="J352" s="712"/>
      <c r="K352" s="1368" t="s">
        <v>1160</v>
      </c>
      <c r="L352" s="1371" t="s">
        <v>209</v>
      </c>
      <c r="M352" s="1369" t="s">
        <v>1161</v>
      </c>
      <c r="N352" s="712" t="s">
        <v>1162</v>
      </c>
      <c r="O352" s="712" t="s">
        <v>1068</v>
      </c>
      <c r="P352" s="947">
        <v>44756</v>
      </c>
      <c r="Q352" s="659" t="s">
        <v>375</v>
      </c>
      <c r="R352" s="659" t="s">
        <v>131</v>
      </c>
      <c r="S352" s="659" t="s">
        <v>214</v>
      </c>
      <c r="T352" s="948" t="s">
        <v>57</v>
      </c>
      <c r="U352" s="496"/>
      <c r="V352" s="494"/>
      <c r="W352" s="494"/>
      <c r="X352" s="494"/>
      <c r="Y352" s="494"/>
      <c r="Z352" s="495"/>
      <c r="AA352" s="275"/>
      <c r="AB352" s="275"/>
      <c r="AC352" s="275"/>
      <c r="AD352" s="275"/>
      <c r="AE352" s="275"/>
      <c r="AF352" s="275"/>
      <c r="AG352" s="476"/>
    </row>
    <row r="353" spans="2:33" s="274" customFormat="1" ht="66.75" customHeight="1">
      <c r="B353" s="1007"/>
      <c r="C353" s="741"/>
      <c r="D353" s="663"/>
      <c r="E353" s="663"/>
      <c r="F353" s="788"/>
      <c r="G353" s="789"/>
      <c r="H353" s="789"/>
      <c r="I353" s="531"/>
      <c r="J353" s="487"/>
      <c r="K353" s="1366"/>
      <c r="L353" s="1372"/>
      <c r="M353" s="1370"/>
      <c r="N353" s="487" t="s">
        <v>1163</v>
      </c>
      <c r="O353" s="487" t="s">
        <v>402</v>
      </c>
      <c r="P353" s="885">
        <v>44768</v>
      </c>
      <c r="Q353" s="663" t="s">
        <v>375</v>
      </c>
      <c r="R353" s="663" t="s">
        <v>131</v>
      </c>
      <c r="S353" s="663" t="s">
        <v>214</v>
      </c>
      <c r="T353" s="895"/>
      <c r="U353" s="496"/>
      <c r="V353" s="494"/>
      <c r="W353" s="494"/>
      <c r="X353" s="494"/>
      <c r="Y353" s="494"/>
      <c r="Z353" s="495"/>
      <c r="AA353" s="275"/>
      <c r="AB353" s="275"/>
      <c r="AC353" s="275"/>
      <c r="AD353" s="275"/>
      <c r="AE353" s="275"/>
      <c r="AF353" s="275"/>
      <c r="AG353" s="476"/>
    </row>
    <row r="354" spans="2:33" s="274" customFormat="1" ht="57.75" customHeight="1">
      <c r="B354" s="1007"/>
      <c r="C354" s="741"/>
      <c r="D354" s="663"/>
      <c r="E354" s="663"/>
      <c r="F354" s="788"/>
      <c r="G354" s="789"/>
      <c r="H354" s="789"/>
      <c r="I354" s="531"/>
      <c r="J354" s="487"/>
      <c r="K354" s="1366"/>
      <c r="L354" s="1362"/>
      <c r="M354" s="1360"/>
      <c r="N354" s="487" t="s">
        <v>1164</v>
      </c>
      <c r="O354" s="487" t="s">
        <v>1165</v>
      </c>
      <c r="P354" s="885">
        <v>44769</v>
      </c>
      <c r="Q354" s="663" t="s">
        <v>1166</v>
      </c>
      <c r="R354" s="663" t="s">
        <v>142</v>
      </c>
      <c r="S354" s="663" t="s">
        <v>214</v>
      </c>
      <c r="T354" s="895"/>
      <c r="U354" s="496"/>
      <c r="V354" s="494"/>
      <c r="W354" s="494"/>
      <c r="X354" s="494"/>
      <c r="Y354" s="494"/>
      <c r="Z354" s="495"/>
      <c r="AA354" s="275"/>
      <c r="AB354" s="275"/>
      <c r="AC354" s="275"/>
      <c r="AD354" s="275"/>
      <c r="AE354" s="275"/>
      <c r="AF354" s="275"/>
      <c r="AG354" s="476"/>
    </row>
    <row r="355" spans="2:33" s="274" customFormat="1" ht="63" customHeight="1">
      <c r="B355" s="1007"/>
      <c r="C355" s="741"/>
      <c r="D355" s="663"/>
      <c r="E355" s="663"/>
      <c r="F355" s="788"/>
      <c r="G355" s="789"/>
      <c r="H355" s="789"/>
      <c r="I355" s="531"/>
      <c r="J355" s="487"/>
      <c r="K355" s="1366"/>
      <c r="L355" s="1361" t="s">
        <v>209</v>
      </c>
      <c r="M355" s="1354" t="s">
        <v>1167</v>
      </c>
      <c r="N355" s="487" t="s">
        <v>1163</v>
      </c>
      <c r="O355" s="487" t="s">
        <v>216</v>
      </c>
      <c r="P355" s="885">
        <v>44768</v>
      </c>
      <c r="Q355" s="663" t="s">
        <v>375</v>
      </c>
      <c r="R355" s="663" t="s">
        <v>131</v>
      </c>
      <c r="S355" s="663" t="s">
        <v>214</v>
      </c>
      <c r="T355" s="895"/>
      <c r="U355" s="496"/>
      <c r="V355" s="494"/>
      <c r="W355" s="494"/>
      <c r="X355" s="494"/>
      <c r="Y355" s="494"/>
      <c r="Z355" s="495"/>
      <c r="AA355" s="275"/>
      <c r="AB355" s="275"/>
      <c r="AC355" s="275"/>
      <c r="AD355" s="275"/>
      <c r="AE355" s="275"/>
      <c r="AF355" s="275"/>
      <c r="AG355" s="476"/>
    </row>
    <row r="356" spans="2:33" s="274" customFormat="1" ht="63" customHeight="1">
      <c r="B356" s="1007"/>
      <c r="C356" s="741"/>
      <c r="D356" s="663"/>
      <c r="E356" s="663"/>
      <c r="F356" s="788"/>
      <c r="G356" s="789"/>
      <c r="H356" s="789"/>
      <c r="I356" s="531"/>
      <c r="J356" s="487"/>
      <c r="K356" s="1366"/>
      <c r="L356" s="1362"/>
      <c r="M356" s="1360"/>
      <c r="N356" s="949" t="s">
        <v>1168</v>
      </c>
      <c r="O356" s="487" t="s">
        <v>216</v>
      </c>
      <c r="P356" s="885">
        <v>44771</v>
      </c>
      <c r="Q356" s="663" t="s">
        <v>375</v>
      </c>
      <c r="R356" s="663" t="s">
        <v>131</v>
      </c>
      <c r="S356" s="663" t="s">
        <v>214</v>
      </c>
      <c r="T356" s="895"/>
      <c r="U356" s="496"/>
      <c r="V356" s="494"/>
      <c r="W356" s="494"/>
      <c r="X356" s="494"/>
      <c r="Y356" s="494"/>
      <c r="Z356" s="495"/>
      <c r="AA356" s="275"/>
      <c r="AB356" s="275"/>
      <c r="AC356" s="275"/>
      <c r="AD356" s="275"/>
      <c r="AE356" s="275"/>
      <c r="AF356" s="275"/>
      <c r="AG356" s="476"/>
    </row>
    <row r="357" spans="2:33" s="274" customFormat="1" ht="63" customHeight="1">
      <c r="B357" s="1007"/>
      <c r="C357" s="741"/>
      <c r="D357" s="663"/>
      <c r="E357" s="663"/>
      <c r="F357" s="788"/>
      <c r="G357" s="789"/>
      <c r="H357" s="789"/>
      <c r="I357" s="531"/>
      <c r="J357" s="487"/>
      <c r="K357" s="1366"/>
      <c r="L357" s="1361" t="s">
        <v>265</v>
      </c>
      <c r="M357" s="1354" t="s">
        <v>1169</v>
      </c>
      <c r="N357" s="487" t="s">
        <v>1170</v>
      </c>
      <c r="O357" s="949" t="s">
        <v>582</v>
      </c>
      <c r="P357" s="885">
        <v>44768</v>
      </c>
      <c r="Q357" s="663" t="s">
        <v>375</v>
      </c>
      <c r="R357" s="663" t="s">
        <v>131</v>
      </c>
      <c r="S357" s="663" t="s">
        <v>214</v>
      </c>
      <c r="T357" s="895"/>
      <c r="U357" s="496"/>
      <c r="V357" s="494"/>
      <c r="W357" s="494"/>
      <c r="X357" s="494"/>
      <c r="Y357" s="494"/>
      <c r="Z357" s="495"/>
      <c r="AA357" s="275"/>
      <c r="AB357" s="275"/>
      <c r="AC357" s="275"/>
      <c r="AD357" s="275"/>
      <c r="AE357" s="275"/>
      <c r="AF357" s="275"/>
      <c r="AG357" s="476"/>
    </row>
    <row r="358" spans="2:33" s="274" customFormat="1" ht="65.25" customHeight="1">
      <c r="B358" s="1007"/>
      <c r="C358" s="741"/>
      <c r="D358" s="663"/>
      <c r="E358" s="663"/>
      <c r="F358" s="788"/>
      <c r="G358" s="789"/>
      <c r="H358" s="789"/>
      <c r="I358" s="531"/>
      <c r="J358" s="487"/>
      <c r="K358" s="1366"/>
      <c r="L358" s="1372"/>
      <c r="M358" s="1370"/>
      <c r="N358" s="487" t="s">
        <v>1171</v>
      </c>
      <c r="O358" s="487" t="s">
        <v>582</v>
      </c>
      <c r="P358" s="885"/>
      <c r="Q358" s="663" t="s">
        <v>375</v>
      </c>
      <c r="R358" s="663" t="s">
        <v>131</v>
      </c>
      <c r="S358" s="663" t="s">
        <v>214</v>
      </c>
      <c r="T358" s="895"/>
      <c r="U358" s="496"/>
      <c r="V358" s="494"/>
      <c r="W358" s="494"/>
      <c r="X358" s="494"/>
      <c r="Y358" s="494"/>
      <c r="Z358" s="495"/>
      <c r="AA358" s="275"/>
      <c r="AB358" s="275"/>
      <c r="AC358" s="275"/>
      <c r="AD358" s="275"/>
      <c r="AE358" s="275"/>
      <c r="AF358" s="275"/>
      <c r="AG358" s="476"/>
    </row>
    <row r="359" spans="2:33" s="274" customFormat="1" ht="65.25" customHeight="1" thickBot="1">
      <c r="B359" s="1027"/>
      <c r="C359" s="898"/>
      <c r="D359" s="660"/>
      <c r="E359" s="660"/>
      <c r="F359" s="677"/>
      <c r="G359" s="668"/>
      <c r="H359" s="668"/>
      <c r="I359" s="395"/>
      <c r="J359" s="679"/>
      <c r="K359" s="1367"/>
      <c r="L359" s="1373"/>
      <c r="M359" s="1355"/>
      <c r="N359" s="679" t="s">
        <v>1172</v>
      </c>
      <c r="O359" s="679" t="s">
        <v>582</v>
      </c>
      <c r="P359" s="670">
        <v>44768</v>
      </c>
      <c r="Q359" s="660" t="s">
        <v>375</v>
      </c>
      <c r="R359" s="660" t="s">
        <v>131</v>
      </c>
      <c r="S359" s="660" t="s">
        <v>214</v>
      </c>
      <c r="T359" s="952"/>
      <c r="U359" s="496"/>
      <c r="V359" s="494"/>
      <c r="W359" s="494"/>
      <c r="X359" s="494"/>
      <c r="Y359" s="494"/>
      <c r="Z359" s="495"/>
      <c r="AA359" s="275"/>
      <c r="AB359" s="275"/>
      <c r="AC359" s="275"/>
      <c r="AD359" s="275"/>
      <c r="AE359" s="275"/>
      <c r="AF359" s="275"/>
      <c r="AG359" s="476"/>
    </row>
    <row r="360" spans="2:33" s="274" customFormat="1" ht="113.45" customHeight="1">
      <c r="B360" s="1026">
        <v>55</v>
      </c>
      <c r="C360" s="919" t="s">
        <v>1113</v>
      </c>
      <c r="D360" s="659" t="s">
        <v>1173</v>
      </c>
      <c r="E360" s="659" t="s">
        <v>34</v>
      </c>
      <c r="F360" s="669">
        <v>44758</v>
      </c>
      <c r="G360" s="394" t="s">
        <v>1174</v>
      </c>
      <c r="H360" s="394" t="s">
        <v>147</v>
      </c>
      <c r="I360" s="530" t="s">
        <v>1175</v>
      </c>
      <c r="J360" s="712"/>
      <c r="K360" s="1368" t="s">
        <v>1176</v>
      </c>
      <c r="L360" s="683" t="s">
        <v>265</v>
      </c>
      <c r="M360" s="712" t="s">
        <v>1177</v>
      </c>
      <c r="N360" s="712" t="s">
        <v>1178</v>
      </c>
      <c r="O360" s="712" t="s">
        <v>216</v>
      </c>
      <c r="P360" s="947">
        <v>44773</v>
      </c>
      <c r="Q360" s="659" t="s">
        <v>375</v>
      </c>
      <c r="R360" s="659" t="s">
        <v>131</v>
      </c>
      <c r="S360" s="659" t="s">
        <v>214</v>
      </c>
      <c r="T360" s="948" t="s">
        <v>57</v>
      </c>
      <c r="U360" s="496"/>
      <c r="V360" s="494"/>
      <c r="W360" s="494"/>
      <c r="X360" s="494"/>
      <c r="Y360" s="494"/>
      <c r="Z360" s="495"/>
      <c r="AA360" s="275"/>
      <c r="AB360" s="275"/>
      <c r="AC360" s="275"/>
      <c r="AD360" s="275"/>
      <c r="AE360" s="275"/>
      <c r="AF360" s="275"/>
      <c r="AG360" s="476"/>
    </row>
    <row r="361" spans="2:33" s="274" customFormat="1" ht="78" customHeight="1">
      <c r="B361" s="1007"/>
      <c r="C361" s="741"/>
      <c r="D361" s="663"/>
      <c r="E361" s="663"/>
      <c r="F361" s="788"/>
      <c r="G361" s="789"/>
      <c r="H361" s="789"/>
      <c r="I361" s="531"/>
      <c r="J361" s="487"/>
      <c r="K361" s="1366"/>
      <c r="L361" s="824" t="s">
        <v>1011</v>
      </c>
      <c r="M361" s="487" t="s">
        <v>1179</v>
      </c>
      <c r="N361" s="487" t="s">
        <v>1180</v>
      </c>
      <c r="O361" s="487" t="s">
        <v>402</v>
      </c>
      <c r="P361" s="885">
        <v>44773</v>
      </c>
      <c r="Q361" s="663" t="s">
        <v>375</v>
      </c>
      <c r="R361" s="663" t="s">
        <v>131</v>
      </c>
      <c r="S361" s="663" t="s">
        <v>1181</v>
      </c>
      <c r="T361" s="895"/>
      <c r="U361" s="496"/>
      <c r="V361" s="494"/>
      <c r="W361" s="494"/>
      <c r="X361" s="494"/>
      <c r="Y361" s="494"/>
      <c r="Z361" s="495"/>
      <c r="AA361" s="275"/>
      <c r="AB361" s="275"/>
      <c r="AC361" s="275"/>
      <c r="AD361" s="275"/>
      <c r="AE361" s="275"/>
      <c r="AF361" s="275"/>
      <c r="AG361" s="476"/>
    </row>
    <row r="362" spans="2:33" s="274" customFormat="1" ht="60" customHeight="1">
      <c r="B362" s="1007"/>
      <c r="C362" s="741"/>
      <c r="D362" s="663"/>
      <c r="E362" s="663"/>
      <c r="F362" s="788"/>
      <c r="G362" s="789"/>
      <c r="H362" s="789"/>
      <c r="I362" s="531"/>
      <c r="J362" s="487"/>
      <c r="K362" s="1366"/>
      <c r="L362" s="824" t="s">
        <v>265</v>
      </c>
      <c r="M362" s="487" t="s">
        <v>1182</v>
      </c>
      <c r="N362" s="487" t="s">
        <v>1183</v>
      </c>
      <c r="O362" s="487" t="s">
        <v>216</v>
      </c>
      <c r="P362" s="885">
        <v>44804</v>
      </c>
      <c r="Q362" s="663" t="s">
        <v>385</v>
      </c>
      <c r="R362" s="663" t="s">
        <v>138</v>
      </c>
      <c r="S362" s="663" t="s">
        <v>214</v>
      </c>
      <c r="T362" s="895"/>
      <c r="U362" s="496"/>
      <c r="V362" s="494"/>
      <c r="W362" s="494"/>
      <c r="X362" s="494"/>
      <c r="Y362" s="494"/>
      <c r="Z362" s="495"/>
      <c r="AA362" s="275"/>
      <c r="AB362" s="275"/>
      <c r="AC362" s="275"/>
      <c r="AD362" s="275"/>
      <c r="AE362" s="275"/>
      <c r="AF362" s="275"/>
      <c r="AG362" s="476"/>
    </row>
    <row r="363" spans="2:33" s="274" customFormat="1" ht="97.5" customHeight="1">
      <c r="B363" s="1007"/>
      <c r="C363" s="741"/>
      <c r="D363" s="663"/>
      <c r="E363" s="663"/>
      <c r="F363" s="788"/>
      <c r="G363" s="789"/>
      <c r="H363" s="789"/>
      <c r="I363" s="531"/>
      <c r="J363" s="487"/>
      <c r="K363" s="1366"/>
      <c r="L363" s="824" t="s">
        <v>265</v>
      </c>
      <c r="M363" s="487" t="s">
        <v>1184</v>
      </c>
      <c r="N363" s="722" t="s">
        <v>1185</v>
      </c>
      <c r="O363" s="487" t="s">
        <v>582</v>
      </c>
      <c r="P363" s="885">
        <v>44804</v>
      </c>
      <c r="Q363" s="672" t="s">
        <v>1186</v>
      </c>
      <c r="R363" s="663" t="s">
        <v>140</v>
      </c>
      <c r="S363" s="663" t="s">
        <v>214</v>
      </c>
      <c r="T363" s="895"/>
      <c r="U363" s="496"/>
      <c r="V363" s="494"/>
      <c r="W363" s="494"/>
      <c r="X363" s="494"/>
      <c r="Y363" s="494"/>
      <c r="Z363" s="495"/>
      <c r="AA363" s="275"/>
      <c r="AB363" s="275"/>
      <c r="AC363" s="275"/>
      <c r="AD363" s="275"/>
      <c r="AE363" s="275"/>
      <c r="AF363" s="275"/>
      <c r="AG363" s="476"/>
    </row>
    <row r="364" spans="2:33" s="274" customFormat="1" ht="97.5" customHeight="1">
      <c r="B364" s="1007"/>
      <c r="C364" s="741"/>
      <c r="D364" s="663"/>
      <c r="E364" s="663"/>
      <c r="F364" s="788"/>
      <c r="G364" s="789"/>
      <c r="H364" s="789"/>
      <c r="I364" s="531"/>
      <c r="J364" s="487"/>
      <c r="K364" s="1366"/>
      <c r="L364" s="824" t="s">
        <v>265</v>
      </c>
      <c r="M364" s="487" t="s">
        <v>1187</v>
      </c>
      <c r="N364" s="487" t="s">
        <v>1188</v>
      </c>
      <c r="O364" s="487" t="s">
        <v>402</v>
      </c>
      <c r="P364" s="885">
        <v>44773</v>
      </c>
      <c r="Q364" s="663" t="s">
        <v>143</v>
      </c>
      <c r="R364" s="663" t="s">
        <v>143</v>
      </c>
      <c r="S364" s="663" t="s">
        <v>214</v>
      </c>
      <c r="T364" s="895"/>
      <c r="U364" s="496"/>
      <c r="V364" s="494"/>
      <c r="W364" s="494"/>
      <c r="X364" s="494"/>
      <c r="Y364" s="494"/>
      <c r="Z364" s="495"/>
      <c r="AA364" s="275"/>
      <c r="AB364" s="275"/>
      <c r="AC364" s="275"/>
      <c r="AD364" s="275"/>
      <c r="AE364" s="275"/>
      <c r="AF364" s="275"/>
      <c r="AG364" s="476"/>
    </row>
    <row r="365" spans="2:33" s="274" customFormat="1" ht="97.5" customHeight="1">
      <c r="B365" s="1027"/>
      <c r="C365" s="898"/>
      <c r="D365" s="660"/>
      <c r="E365" s="660"/>
      <c r="F365" s="677"/>
      <c r="G365" s="668"/>
      <c r="H365" s="668"/>
      <c r="I365" s="395"/>
      <c r="J365" s="679"/>
      <c r="K365" s="1366"/>
      <c r="L365" s="824" t="s">
        <v>265</v>
      </c>
      <c r="M365" s="679" t="s">
        <v>1189</v>
      </c>
      <c r="N365" s="679" t="s">
        <v>1190</v>
      </c>
      <c r="O365" s="679" t="s">
        <v>582</v>
      </c>
      <c r="P365" s="885">
        <v>44773</v>
      </c>
      <c r="Q365" s="660" t="s">
        <v>249</v>
      </c>
      <c r="R365" s="660" t="s">
        <v>140</v>
      </c>
      <c r="S365" s="1076" t="s">
        <v>214</v>
      </c>
      <c r="T365" s="952"/>
      <c r="U365" s="496"/>
      <c r="V365" s="494"/>
      <c r="W365" s="494"/>
      <c r="X365" s="494"/>
      <c r="Y365" s="494"/>
      <c r="Z365" s="495"/>
      <c r="AA365" s="275"/>
      <c r="AB365" s="275"/>
      <c r="AC365" s="275"/>
      <c r="AD365" s="275"/>
      <c r="AE365" s="275"/>
      <c r="AF365" s="275"/>
      <c r="AG365" s="476"/>
    </row>
    <row r="366" spans="2:33" s="274" customFormat="1" ht="97.5" customHeight="1">
      <c r="B366" s="1007"/>
      <c r="C366" s="741"/>
      <c r="D366" s="663"/>
      <c r="E366" s="663"/>
      <c r="F366" s="788"/>
      <c r="G366" s="789"/>
      <c r="H366" s="789"/>
      <c r="I366" s="531"/>
      <c r="J366" s="487"/>
      <c r="K366" s="1366"/>
      <c r="L366" s="1361" t="s">
        <v>265</v>
      </c>
      <c r="M366" s="1354" t="s">
        <v>1191</v>
      </c>
      <c r="N366" s="487" t="s">
        <v>1192</v>
      </c>
      <c r="O366" s="487" t="s">
        <v>402</v>
      </c>
      <c r="P366" s="885">
        <v>44804</v>
      </c>
      <c r="Q366" s="663" t="s">
        <v>385</v>
      </c>
      <c r="R366" s="663" t="s">
        <v>138</v>
      </c>
      <c r="S366" s="660" t="s">
        <v>214</v>
      </c>
      <c r="T366" s="895"/>
      <c r="U366" s="496"/>
      <c r="V366" s="494"/>
      <c r="W366" s="494"/>
      <c r="X366" s="494"/>
      <c r="Y366" s="494"/>
      <c r="Z366" s="495"/>
      <c r="AA366" s="275"/>
      <c r="AB366" s="275"/>
      <c r="AC366" s="275"/>
      <c r="AD366" s="275"/>
      <c r="AE366" s="275"/>
      <c r="AF366" s="275"/>
      <c r="AG366" s="476"/>
    </row>
    <row r="367" spans="2:33" s="274" customFormat="1" ht="35.1" customHeight="1">
      <c r="B367" s="1027"/>
      <c r="C367" s="898"/>
      <c r="D367" s="660"/>
      <c r="E367" s="660"/>
      <c r="F367" s="677"/>
      <c r="G367" s="668"/>
      <c r="H367" s="668"/>
      <c r="I367" s="395"/>
      <c r="J367" s="679"/>
      <c r="K367" s="1366"/>
      <c r="L367" s="1372"/>
      <c r="M367" s="1370"/>
      <c r="N367" s="679" t="s">
        <v>1193</v>
      </c>
      <c r="O367" s="679" t="s">
        <v>216</v>
      </c>
      <c r="P367" s="885">
        <v>44773</v>
      </c>
      <c r="Q367" s="660" t="s">
        <v>278</v>
      </c>
      <c r="R367" s="663" t="s">
        <v>131</v>
      </c>
      <c r="S367" s="660" t="s">
        <v>214</v>
      </c>
      <c r="T367" s="952"/>
      <c r="U367" s="496"/>
      <c r="V367" s="494"/>
      <c r="W367" s="494"/>
      <c r="X367" s="494"/>
      <c r="Y367" s="494"/>
      <c r="Z367" s="495"/>
      <c r="AA367" s="275"/>
      <c r="AB367" s="275"/>
      <c r="AC367" s="275"/>
      <c r="AD367" s="275"/>
      <c r="AE367" s="275"/>
      <c r="AF367" s="275"/>
      <c r="AG367" s="476"/>
    </row>
    <row r="368" spans="2:33" s="274" customFormat="1" ht="33.6" customHeight="1">
      <c r="B368" s="1007"/>
      <c r="C368" s="741"/>
      <c r="D368" s="663"/>
      <c r="E368" s="663"/>
      <c r="F368" s="788"/>
      <c r="G368" s="789"/>
      <c r="H368" s="789"/>
      <c r="I368" s="531"/>
      <c r="J368" s="487"/>
      <c r="K368" s="1366"/>
      <c r="L368" s="1362"/>
      <c r="M368" s="1360"/>
      <c r="N368" s="487" t="s">
        <v>1194</v>
      </c>
      <c r="O368" s="487" t="s">
        <v>582</v>
      </c>
      <c r="P368" s="885">
        <v>44773</v>
      </c>
      <c r="Q368" s="663" t="s">
        <v>935</v>
      </c>
      <c r="R368" s="663" t="s">
        <v>142</v>
      </c>
      <c r="S368" s="660" t="s">
        <v>214</v>
      </c>
      <c r="T368" s="895"/>
      <c r="U368" s="496"/>
      <c r="V368" s="494"/>
      <c r="W368" s="494"/>
      <c r="X368" s="494"/>
      <c r="Y368" s="494"/>
      <c r="Z368" s="495"/>
      <c r="AA368" s="275"/>
      <c r="AB368" s="275"/>
      <c r="AC368" s="275"/>
      <c r="AD368" s="275"/>
      <c r="AE368" s="275"/>
      <c r="AF368" s="275"/>
      <c r="AG368" s="476"/>
    </row>
    <row r="369" spans="2:33" s="274" customFormat="1" ht="63.6" customHeight="1">
      <c r="B369" s="1027"/>
      <c r="C369" s="898"/>
      <c r="D369" s="660"/>
      <c r="E369" s="660"/>
      <c r="F369" s="677"/>
      <c r="G369" s="668"/>
      <c r="H369" s="668"/>
      <c r="I369" s="395"/>
      <c r="J369" s="679"/>
      <c r="K369" s="1366"/>
      <c r="L369" s="824" t="s">
        <v>265</v>
      </c>
      <c r="M369" s="679" t="s">
        <v>1195</v>
      </c>
      <c r="N369" s="679" t="s">
        <v>1196</v>
      </c>
      <c r="O369" s="679" t="s">
        <v>582</v>
      </c>
      <c r="P369" s="885">
        <v>44804</v>
      </c>
      <c r="Q369" s="663" t="s">
        <v>1105</v>
      </c>
      <c r="R369" s="660" t="s">
        <v>140</v>
      </c>
      <c r="S369" s="660" t="s">
        <v>214</v>
      </c>
      <c r="T369" s="952"/>
      <c r="U369" s="496"/>
      <c r="V369" s="494"/>
      <c r="W369" s="494"/>
      <c r="X369" s="494"/>
      <c r="Y369" s="494"/>
      <c r="Z369" s="495"/>
      <c r="AA369" s="275"/>
      <c r="AB369" s="275"/>
      <c r="AC369" s="275"/>
      <c r="AD369" s="275"/>
      <c r="AE369" s="275"/>
      <c r="AF369" s="275"/>
      <c r="AG369" s="476"/>
    </row>
    <row r="370" spans="2:33" s="274" customFormat="1" ht="98.45" customHeight="1">
      <c r="B370" s="1007"/>
      <c r="C370" s="741"/>
      <c r="D370" s="663"/>
      <c r="E370" s="663"/>
      <c r="F370" s="788"/>
      <c r="G370" s="789"/>
      <c r="H370" s="789"/>
      <c r="I370" s="531"/>
      <c r="J370" s="487"/>
      <c r="K370" s="1366"/>
      <c r="L370" s="824" t="s">
        <v>265</v>
      </c>
      <c r="M370" s="487" t="s">
        <v>1197</v>
      </c>
      <c r="N370" s="487" t="s">
        <v>1198</v>
      </c>
      <c r="O370" s="487" t="s">
        <v>582</v>
      </c>
      <c r="P370" s="885">
        <v>44773</v>
      </c>
      <c r="Q370" s="663" t="s">
        <v>375</v>
      </c>
      <c r="R370" s="663" t="s">
        <v>131</v>
      </c>
      <c r="S370" s="663" t="s">
        <v>214</v>
      </c>
      <c r="T370" s="895"/>
      <c r="U370" s="496"/>
      <c r="V370" s="494"/>
      <c r="W370" s="494"/>
      <c r="X370" s="494"/>
      <c r="Y370" s="494"/>
      <c r="Z370" s="495"/>
      <c r="AA370" s="275"/>
      <c r="AB370" s="275"/>
      <c r="AC370" s="275"/>
      <c r="AD370" s="275"/>
      <c r="AE370" s="275"/>
      <c r="AF370" s="275"/>
      <c r="AG370" s="476"/>
    </row>
    <row r="371" spans="2:33" s="274" customFormat="1" ht="63.6" customHeight="1">
      <c r="B371" s="1027"/>
      <c r="C371" s="898"/>
      <c r="D371" s="660"/>
      <c r="E371" s="660"/>
      <c r="F371" s="677"/>
      <c r="G371" s="668"/>
      <c r="H371" s="668"/>
      <c r="I371" s="395"/>
      <c r="J371" s="679"/>
      <c r="K371" s="1366"/>
      <c r="L371" s="1361" t="s">
        <v>265</v>
      </c>
      <c r="M371" s="1354" t="s">
        <v>1199</v>
      </c>
      <c r="N371" s="679" t="s">
        <v>1200</v>
      </c>
      <c r="O371" s="679" t="s">
        <v>402</v>
      </c>
      <c r="P371" s="885">
        <v>44773</v>
      </c>
      <c r="Q371" s="663" t="s">
        <v>385</v>
      </c>
      <c r="R371" s="660" t="s">
        <v>138</v>
      </c>
      <c r="S371" s="663" t="s">
        <v>214</v>
      </c>
      <c r="T371" s="952"/>
      <c r="U371" s="496"/>
      <c r="V371" s="494"/>
      <c r="W371" s="494"/>
      <c r="X371" s="494"/>
      <c r="Y371" s="494"/>
      <c r="Z371" s="495"/>
      <c r="AA371" s="275"/>
      <c r="AB371" s="275"/>
      <c r="AC371" s="275"/>
      <c r="AD371" s="275"/>
      <c r="AE371" s="275"/>
      <c r="AF371" s="275"/>
      <c r="AG371" s="476"/>
    </row>
    <row r="372" spans="2:33" s="274" customFormat="1" ht="63.6" customHeight="1">
      <c r="B372" s="1007"/>
      <c r="C372" s="741"/>
      <c r="D372" s="663"/>
      <c r="E372" s="663"/>
      <c r="F372" s="788"/>
      <c r="G372" s="789"/>
      <c r="H372" s="789"/>
      <c r="I372" s="531"/>
      <c r="J372" s="487"/>
      <c r="K372" s="1366"/>
      <c r="L372" s="1372"/>
      <c r="M372" s="1370"/>
      <c r="N372" s="487" t="s">
        <v>1201</v>
      </c>
      <c r="O372" s="487" t="s">
        <v>402</v>
      </c>
      <c r="P372" s="885">
        <v>44773</v>
      </c>
      <c r="Q372" s="663" t="s">
        <v>385</v>
      </c>
      <c r="R372" s="663" t="s">
        <v>138</v>
      </c>
      <c r="S372" s="663" t="s">
        <v>214</v>
      </c>
      <c r="T372" s="895"/>
      <c r="U372" s="496"/>
      <c r="V372" s="494"/>
      <c r="W372" s="494"/>
      <c r="X372" s="494"/>
      <c r="Y372" s="494"/>
      <c r="Z372" s="495"/>
      <c r="AA372" s="275"/>
      <c r="AB372" s="275"/>
      <c r="AC372" s="275"/>
      <c r="AD372" s="275"/>
      <c r="AE372" s="275"/>
      <c r="AF372" s="275"/>
      <c r="AG372" s="476"/>
    </row>
    <row r="373" spans="2:33" s="274" customFormat="1" ht="63.6" customHeight="1">
      <c r="B373" s="1027"/>
      <c r="C373" s="898"/>
      <c r="D373" s="660"/>
      <c r="E373" s="660"/>
      <c r="F373" s="677"/>
      <c r="G373" s="668"/>
      <c r="H373" s="668"/>
      <c r="I373" s="395"/>
      <c r="J373" s="679"/>
      <c r="K373" s="1366"/>
      <c r="L373" s="1362"/>
      <c r="M373" s="1360"/>
      <c r="N373" s="679" t="s">
        <v>1202</v>
      </c>
      <c r="O373" s="487" t="s">
        <v>402</v>
      </c>
      <c r="P373" s="885">
        <v>44773</v>
      </c>
      <c r="Q373" s="663" t="s">
        <v>375</v>
      </c>
      <c r="R373" s="663" t="s">
        <v>131</v>
      </c>
      <c r="S373" s="660" t="s">
        <v>214</v>
      </c>
      <c r="T373" s="952"/>
      <c r="U373" s="496"/>
      <c r="V373" s="494"/>
      <c r="W373" s="494"/>
      <c r="X373" s="494"/>
      <c r="Y373" s="494"/>
      <c r="Z373" s="495"/>
      <c r="AA373" s="275"/>
      <c r="AB373" s="275"/>
      <c r="AC373" s="275"/>
      <c r="AD373" s="275"/>
      <c r="AE373" s="275"/>
      <c r="AF373" s="275"/>
      <c r="AG373" s="476"/>
    </row>
    <row r="374" spans="2:33" s="274" customFormat="1" ht="35.1" customHeight="1">
      <c r="B374" s="1007"/>
      <c r="C374" s="741"/>
      <c r="D374" s="663"/>
      <c r="E374" s="663"/>
      <c r="F374" s="788"/>
      <c r="G374" s="789"/>
      <c r="H374" s="789"/>
      <c r="I374" s="531"/>
      <c r="J374" s="487"/>
      <c r="K374" s="1366"/>
      <c r="L374" s="1361" t="s">
        <v>1011</v>
      </c>
      <c r="M374" s="1354" t="s">
        <v>1203</v>
      </c>
      <c r="N374" s="487" t="s">
        <v>1204</v>
      </c>
      <c r="O374" s="487" t="s">
        <v>216</v>
      </c>
      <c r="P374" s="885">
        <v>44773</v>
      </c>
      <c r="Q374" s="663" t="s">
        <v>375</v>
      </c>
      <c r="R374" s="663" t="s">
        <v>131</v>
      </c>
      <c r="S374" s="663" t="s">
        <v>214</v>
      </c>
      <c r="T374" s="895"/>
      <c r="U374" s="496"/>
      <c r="V374" s="494"/>
      <c r="W374" s="494"/>
      <c r="X374" s="494"/>
      <c r="Y374" s="494"/>
      <c r="Z374" s="495"/>
      <c r="AA374" s="275"/>
      <c r="AB374" s="275"/>
      <c r="AC374" s="275"/>
      <c r="AD374" s="275"/>
      <c r="AE374" s="275"/>
      <c r="AF374" s="275"/>
      <c r="AG374" s="476"/>
    </row>
    <row r="375" spans="2:33" s="274" customFormat="1" ht="87.95" customHeight="1" thickBot="1">
      <c r="B375" s="1028"/>
      <c r="C375" s="950"/>
      <c r="D375" s="661"/>
      <c r="E375" s="661"/>
      <c r="F375" s="802"/>
      <c r="G375" s="678"/>
      <c r="H375" s="678"/>
      <c r="I375" s="417"/>
      <c r="J375" s="711"/>
      <c r="K375" s="1367"/>
      <c r="L375" s="1373"/>
      <c r="M375" s="1355"/>
      <c r="N375" s="711" t="s">
        <v>1205</v>
      </c>
      <c r="O375" s="711" t="s">
        <v>402</v>
      </c>
      <c r="P375" s="675">
        <v>44773</v>
      </c>
      <c r="Q375" s="661" t="s">
        <v>375</v>
      </c>
      <c r="R375" s="664" t="s">
        <v>131</v>
      </c>
      <c r="S375" s="664" t="s">
        <v>214</v>
      </c>
      <c r="T375" s="951"/>
      <c r="U375" s="496"/>
      <c r="V375" s="494"/>
      <c r="W375" s="494"/>
      <c r="X375" s="494"/>
      <c r="Y375" s="494"/>
      <c r="Z375" s="495"/>
      <c r="AA375" s="275"/>
      <c r="AB375" s="275"/>
      <c r="AC375" s="275"/>
      <c r="AD375" s="275"/>
      <c r="AE375" s="275"/>
      <c r="AF375" s="275"/>
      <c r="AG375" s="476"/>
    </row>
    <row r="376" spans="2:33" s="274" customFormat="1" ht="156.75" customHeight="1">
      <c r="B376" s="1027">
        <v>56</v>
      </c>
      <c r="C376" s="898" t="s">
        <v>1113</v>
      </c>
      <c r="D376" s="660" t="s">
        <v>1206</v>
      </c>
      <c r="E376" s="660" t="s">
        <v>64</v>
      </c>
      <c r="F376" s="677">
        <v>44763</v>
      </c>
      <c r="G376" s="668" t="s">
        <v>1207</v>
      </c>
      <c r="H376" s="668" t="s">
        <v>150</v>
      </c>
      <c r="I376" s="395" t="s">
        <v>886</v>
      </c>
      <c r="J376" s="679"/>
      <c r="K376" s="1366" t="s">
        <v>1208</v>
      </c>
      <c r="L376" s="685" t="s">
        <v>209</v>
      </c>
      <c r="M376" s="679" t="s">
        <v>1209</v>
      </c>
      <c r="N376" s="679" t="s">
        <v>1210</v>
      </c>
      <c r="O376" s="679" t="s">
        <v>582</v>
      </c>
      <c r="P376" s="670">
        <v>44778</v>
      </c>
      <c r="Q376" s="660" t="s">
        <v>249</v>
      </c>
      <c r="R376" s="660" t="s">
        <v>140</v>
      </c>
      <c r="S376" s="665" t="s">
        <v>214</v>
      </c>
      <c r="T376" s="952" t="s">
        <v>57</v>
      </c>
      <c r="U376" s="496"/>
      <c r="V376" s="494"/>
      <c r="W376" s="494"/>
      <c r="X376" s="494"/>
      <c r="Y376" s="494"/>
      <c r="Z376" s="495"/>
      <c r="AA376" s="275"/>
      <c r="AB376" s="275"/>
      <c r="AC376" s="275"/>
      <c r="AD376" s="275"/>
      <c r="AE376" s="275"/>
      <c r="AF376" s="275"/>
      <c r="AG376" s="476"/>
    </row>
    <row r="377" spans="2:33" s="274" customFormat="1" ht="93" customHeight="1">
      <c r="B377" s="1007"/>
      <c r="C377" s="741"/>
      <c r="D377" s="663"/>
      <c r="E377" s="663"/>
      <c r="F377" s="788"/>
      <c r="G377" s="789"/>
      <c r="H377" s="789"/>
      <c r="I377" s="531"/>
      <c r="J377" s="487"/>
      <c r="K377" s="1366"/>
      <c r="L377" s="954" t="s">
        <v>209</v>
      </c>
      <c r="M377" s="956" t="s">
        <v>1211</v>
      </c>
      <c r="N377" s="955" t="s">
        <v>1210</v>
      </c>
      <c r="O377" s="487" t="s">
        <v>582</v>
      </c>
      <c r="P377" s="885">
        <v>44778</v>
      </c>
      <c r="Q377" s="663" t="s">
        <v>249</v>
      </c>
      <c r="R377" s="663" t="s">
        <v>140</v>
      </c>
      <c r="S377" s="663" t="s">
        <v>214</v>
      </c>
      <c r="T377" s="895"/>
      <c r="U377" s="496"/>
      <c r="V377" s="494"/>
      <c r="W377" s="494"/>
      <c r="X377" s="494"/>
      <c r="Y377" s="494"/>
      <c r="Z377" s="495"/>
      <c r="AA377" s="275"/>
      <c r="AB377" s="275"/>
      <c r="AC377" s="275"/>
      <c r="AD377" s="275"/>
      <c r="AE377" s="275"/>
      <c r="AF377" s="275"/>
      <c r="AG377" s="476"/>
    </row>
    <row r="378" spans="2:33" s="274" customFormat="1" ht="176.25" customHeight="1">
      <c r="B378" s="1007"/>
      <c r="C378" s="741"/>
      <c r="D378" s="663"/>
      <c r="E378" s="663"/>
      <c r="F378" s="788"/>
      <c r="G378" s="789"/>
      <c r="H378" s="789"/>
      <c r="I378" s="531"/>
      <c r="J378" s="487"/>
      <c r="K378" s="1366"/>
      <c r="L378" s="824" t="s">
        <v>265</v>
      </c>
      <c r="M378" s="680" t="s">
        <v>1212</v>
      </c>
      <c r="N378" s="487" t="s">
        <v>1213</v>
      </c>
      <c r="O378" s="487" t="s">
        <v>582</v>
      </c>
      <c r="P378" s="885">
        <v>44778</v>
      </c>
      <c r="Q378" s="663" t="s">
        <v>249</v>
      </c>
      <c r="R378" s="663" t="s">
        <v>140</v>
      </c>
      <c r="S378" s="663" t="s">
        <v>214</v>
      </c>
      <c r="T378" s="895"/>
      <c r="U378" s="496"/>
      <c r="V378" s="494"/>
      <c r="W378" s="494"/>
      <c r="X378" s="494"/>
      <c r="Y378" s="494"/>
      <c r="Z378" s="495"/>
      <c r="AA378" s="275"/>
      <c r="AB378" s="275"/>
      <c r="AC378" s="275"/>
      <c r="AD378" s="275"/>
      <c r="AE378" s="275"/>
      <c r="AF378" s="275"/>
      <c r="AG378" s="476"/>
    </row>
    <row r="379" spans="2:33" s="274" customFormat="1" ht="57.95" customHeight="1">
      <c r="B379" s="1007"/>
      <c r="C379" s="741"/>
      <c r="D379" s="663"/>
      <c r="E379" s="663"/>
      <c r="F379" s="788"/>
      <c r="G379" s="789"/>
      <c r="H379" s="789"/>
      <c r="I379" s="531"/>
      <c r="J379" s="487"/>
      <c r="K379" s="1366"/>
      <c r="L379" s="824" t="s">
        <v>261</v>
      </c>
      <c r="M379" s="487" t="s">
        <v>1214</v>
      </c>
      <c r="N379" s="487" t="s">
        <v>1210</v>
      </c>
      <c r="O379" s="487" t="s">
        <v>582</v>
      </c>
      <c r="P379" s="885">
        <v>44778</v>
      </c>
      <c r="Q379" s="663" t="s">
        <v>249</v>
      </c>
      <c r="R379" s="663" t="s">
        <v>140</v>
      </c>
      <c r="S379" s="663" t="s">
        <v>214</v>
      </c>
      <c r="T379" s="895"/>
      <c r="U379" s="496"/>
      <c r="V379" s="494"/>
      <c r="W379" s="494"/>
      <c r="X379" s="494"/>
      <c r="Y379" s="494"/>
      <c r="Z379" s="495"/>
      <c r="AA379" s="275"/>
      <c r="AB379" s="275"/>
      <c r="AC379" s="275"/>
      <c r="AD379" s="275"/>
      <c r="AE379" s="275"/>
      <c r="AF379" s="275"/>
      <c r="AG379" s="476"/>
    </row>
    <row r="380" spans="2:33" s="274" customFormat="1" ht="57.95" customHeight="1">
      <c r="B380" s="1007"/>
      <c r="C380" s="741"/>
      <c r="D380" s="663"/>
      <c r="E380" s="663"/>
      <c r="F380" s="788"/>
      <c r="G380" s="789"/>
      <c r="H380" s="789"/>
      <c r="I380" s="531"/>
      <c r="J380" s="487"/>
      <c r="K380" s="1366"/>
      <c r="L380" s="1361" t="s">
        <v>265</v>
      </c>
      <c r="M380" s="1354" t="s">
        <v>1215</v>
      </c>
      <c r="N380" s="487" t="s">
        <v>1216</v>
      </c>
      <c r="O380" s="487" t="s">
        <v>582</v>
      </c>
      <c r="P380" s="885">
        <v>44778</v>
      </c>
      <c r="Q380" s="663" t="s">
        <v>249</v>
      </c>
      <c r="R380" s="663" t="s">
        <v>140</v>
      </c>
      <c r="S380" s="663" t="s">
        <v>214</v>
      </c>
      <c r="T380" s="895"/>
      <c r="U380" s="496"/>
      <c r="V380" s="494"/>
      <c r="W380" s="494"/>
      <c r="X380" s="494"/>
      <c r="Y380" s="494"/>
      <c r="Z380" s="495"/>
      <c r="AA380" s="275"/>
      <c r="AB380" s="275"/>
      <c r="AC380" s="275"/>
      <c r="AD380" s="275"/>
      <c r="AE380" s="275"/>
      <c r="AF380" s="275"/>
      <c r="AG380" s="476"/>
    </row>
    <row r="381" spans="2:33" s="274" customFormat="1" ht="57.95" customHeight="1" thickBot="1">
      <c r="B381" s="1028"/>
      <c r="C381" s="950"/>
      <c r="D381" s="661"/>
      <c r="E381" s="661"/>
      <c r="F381" s="802"/>
      <c r="G381" s="678"/>
      <c r="H381" s="678"/>
      <c r="I381" s="417"/>
      <c r="J381" s="711"/>
      <c r="K381" s="1367"/>
      <c r="L381" s="1373"/>
      <c r="M381" s="1355"/>
      <c r="N381" s="711" t="s">
        <v>1217</v>
      </c>
      <c r="O381" s="711" t="s">
        <v>582</v>
      </c>
      <c r="P381" s="675">
        <v>44778</v>
      </c>
      <c r="Q381" s="661" t="s">
        <v>1218</v>
      </c>
      <c r="R381" s="661" t="s">
        <v>140</v>
      </c>
      <c r="S381" s="663" t="s">
        <v>214</v>
      </c>
      <c r="T381" s="951"/>
      <c r="U381" s="496"/>
      <c r="V381" s="494"/>
      <c r="W381" s="494"/>
      <c r="X381" s="494"/>
      <c r="Y381" s="494"/>
      <c r="Z381" s="495"/>
      <c r="AA381" s="275"/>
      <c r="AB381" s="275"/>
      <c r="AC381" s="275"/>
      <c r="AD381" s="275"/>
      <c r="AE381" s="275"/>
      <c r="AF381" s="275"/>
      <c r="AG381" s="476"/>
    </row>
    <row r="382" spans="2:33" s="274" customFormat="1" ht="57.95" customHeight="1">
      <c r="B382" s="1026">
        <v>57</v>
      </c>
      <c r="C382" s="919" t="s">
        <v>1113</v>
      </c>
      <c r="D382" s="659" t="s">
        <v>1219</v>
      </c>
      <c r="E382" s="659" t="s">
        <v>67</v>
      </c>
      <c r="F382" s="669">
        <v>44764</v>
      </c>
      <c r="G382" s="394" t="s">
        <v>1220</v>
      </c>
      <c r="H382" s="394" t="s">
        <v>149</v>
      </c>
      <c r="I382" s="530" t="s">
        <v>1221</v>
      </c>
      <c r="J382" s="712"/>
      <c r="K382" s="1368" t="s">
        <v>1222</v>
      </c>
      <c r="L382" s="1371" t="s">
        <v>209</v>
      </c>
      <c r="M382" s="1369" t="s">
        <v>1223</v>
      </c>
      <c r="N382" s="712" t="s">
        <v>1224</v>
      </c>
      <c r="O382" s="712" t="s">
        <v>216</v>
      </c>
      <c r="P382" s="947">
        <v>44765</v>
      </c>
      <c r="Q382" s="659" t="s">
        <v>375</v>
      </c>
      <c r="R382" s="659" t="s">
        <v>131</v>
      </c>
      <c r="S382" s="659" t="s">
        <v>214</v>
      </c>
      <c r="T382" s="948" t="s">
        <v>58</v>
      </c>
      <c r="U382" s="496"/>
      <c r="V382" s="494"/>
      <c r="W382" s="494"/>
      <c r="X382" s="494"/>
      <c r="Y382" s="494"/>
      <c r="Z382" s="495"/>
      <c r="AA382" s="275"/>
      <c r="AB382" s="275"/>
      <c r="AC382" s="275"/>
      <c r="AD382" s="275"/>
      <c r="AE382" s="275"/>
      <c r="AF382" s="275"/>
      <c r="AG382" s="476"/>
    </row>
    <row r="383" spans="2:33" s="274" customFormat="1" ht="57.95" customHeight="1">
      <c r="B383" s="1007"/>
      <c r="C383" s="741"/>
      <c r="D383" s="663"/>
      <c r="E383" s="663"/>
      <c r="F383" s="788"/>
      <c r="G383" s="789"/>
      <c r="H383" s="789"/>
      <c r="I383" s="531"/>
      <c r="J383" s="487"/>
      <c r="K383" s="1366"/>
      <c r="L383" s="1372"/>
      <c r="M383" s="1370"/>
      <c r="N383" s="487" t="s">
        <v>1225</v>
      </c>
      <c r="O383" s="487" t="s">
        <v>216</v>
      </c>
      <c r="P383" s="885">
        <v>44769</v>
      </c>
      <c r="Q383" s="663" t="s">
        <v>375</v>
      </c>
      <c r="R383" s="663" t="s">
        <v>131</v>
      </c>
      <c r="S383" s="663" t="s">
        <v>214</v>
      </c>
      <c r="T383" s="895"/>
      <c r="U383" s="496"/>
      <c r="V383" s="494"/>
      <c r="W383" s="494"/>
      <c r="X383" s="494"/>
      <c r="Y383" s="494"/>
      <c r="Z383" s="495"/>
      <c r="AA383" s="275"/>
      <c r="AB383" s="275"/>
      <c r="AC383" s="275"/>
      <c r="AD383" s="275"/>
      <c r="AE383" s="275"/>
      <c r="AF383" s="275"/>
      <c r="AG383" s="476"/>
    </row>
    <row r="384" spans="2:33" s="274" customFormat="1" ht="57.95" customHeight="1">
      <c r="B384" s="1007"/>
      <c r="C384" s="741"/>
      <c r="D384" s="663"/>
      <c r="E384" s="663"/>
      <c r="F384" s="788"/>
      <c r="G384" s="789"/>
      <c r="H384" s="789"/>
      <c r="I384" s="531"/>
      <c r="J384" s="487"/>
      <c r="K384" s="1366"/>
      <c r="L384" s="1362"/>
      <c r="M384" s="1360"/>
      <c r="N384" s="487" t="s">
        <v>1149</v>
      </c>
      <c r="O384" s="487" t="s">
        <v>216</v>
      </c>
      <c r="P384" s="885">
        <v>44783</v>
      </c>
      <c r="Q384" s="663" t="s">
        <v>375</v>
      </c>
      <c r="R384" s="663" t="s">
        <v>131</v>
      </c>
      <c r="S384" s="663" t="s">
        <v>214</v>
      </c>
      <c r="T384" s="895"/>
      <c r="U384" s="496"/>
      <c r="V384" s="494"/>
      <c r="W384" s="494"/>
      <c r="X384" s="494"/>
      <c r="Y384" s="494"/>
      <c r="Z384" s="495"/>
      <c r="AA384" s="275"/>
      <c r="AB384" s="275"/>
      <c r="AC384" s="275"/>
      <c r="AD384" s="275"/>
      <c r="AE384" s="275"/>
      <c r="AF384" s="275"/>
      <c r="AG384" s="476"/>
    </row>
    <row r="385" spans="2:33" s="274" customFormat="1" ht="57.95" customHeight="1">
      <c r="B385" s="1007"/>
      <c r="C385" s="741"/>
      <c r="D385" s="663"/>
      <c r="E385" s="663"/>
      <c r="F385" s="788"/>
      <c r="G385" s="789"/>
      <c r="H385" s="789"/>
      <c r="I385" s="531"/>
      <c r="J385" s="487"/>
      <c r="K385" s="1366"/>
      <c r="L385" s="1361" t="s">
        <v>261</v>
      </c>
      <c r="M385" s="1354" t="s">
        <v>1226</v>
      </c>
      <c r="N385" s="487" t="s">
        <v>1227</v>
      </c>
      <c r="O385" s="487" t="s">
        <v>216</v>
      </c>
      <c r="P385" s="885">
        <v>44769</v>
      </c>
      <c r="Q385" s="663" t="s">
        <v>549</v>
      </c>
      <c r="R385" s="663" t="s">
        <v>140</v>
      </c>
      <c r="S385" s="663" t="s">
        <v>214</v>
      </c>
      <c r="T385" s="895"/>
      <c r="U385" s="496"/>
      <c r="V385" s="494"/>
      <c r="W385" s="494"/>
      <c r="X385" s="494"/>
      <c r="Y385" s="494"/>
      <c r="Z385" s="495"/>
      <c r="AA385" s="275"/>
      <c r="AB385" s="275"/>
      <c r="AC385" s="275"/>
      <c r="AD385" s="275"/>
      <c r="AE385" s="275"/>
      <c r="AF385" s="275"/>
      <c r="AG385" s="476"/>
    </row>
    <row r="386" spans="2:33" s="274" customFormat="1" ht="57.95" customHeight="1">
      <c r="B386" s="1007"/>
      <c r="C386" s="741"/>
      <c r="D386" s="663"/>
      <c r="E386" s="663"/>
      <c r="F386" s="788"/>
      <c r="G386" s="789"/>
      <c r="H386" s="789"/>
      <c r="I386" s="531"/>
      <c r="J386" s="487"/>
      <c r="K386" s="1366"/>
      <c r="L386" s="1362"/>
      <c r="M386" s="1360"/>
      <c r="N386" s="487" t="s">
        <v>1228</v>
      </c>
      <c r="O386" s="487" t="s">
        <v>216</v>
      </c>
      <c r="P386" s="885">
        <v>44774</v>
      </c>
      <c r="Q386" s="663" t="s">
        <v>549</v>
      </c>
      <c r="R386" s="663" t="s">
        <v>140</v>
      </c>
      <c r="S386" s="663" t="s">
        <v>214</v>
      </c>
      <c r="T386" s="895"/>
      <c r="U386" s="496"/>
      <c r="V386" s="494"/>
      <c r="W386" s="494"/>
      <c r="X386" s="494"/>
      <c r="Y386" s="494"/>
      <c r="Z386" s="495"/>
      <c r="AA386" s="275"/>
      <c r="AB386" s="275"/>
      <c r="AC386" s="275"/>
      <c r="AD386" s="275"/>
      <c r="AE386" s="275"/>
      <c r="AF386" s="275"/>
      <c r="AG386" s="476"/>
    </row>
    <row r="387" spans="2:33" s="274" customFormat="1" ht="57.95" customHeight="1">
      <c r="B387" s="1007"/>
      <c r="C387" s="741"/>
      <c r="D387" s="663"/>
      <c r="E387" s="663"/>
      <c r="F387" s="788"/>
      <c r="G387" s="789"/>
      <c r="H387" s="789"/>
      <c r="I387" s="531"/>
      <c r="J387" s="487"/>
      <c r="K387" s="1366"/>
      <c r="L387" s="824" t="s">
        <v>261</v>
      </c>
      <c r="M387" s="487" t="s">
        <v>1229</v>
      </c>
      <c r="N387" s="487" t="s">
        <v>1230</v>
      </c>
      <c r="O387" s="487" t="s">
        <v>216</v>
      </c>
      <c r="P387" s="885">
        <v>44783</v>
      </c>
      <c r="Q387" s="663" t="s">
        <v>375</v>
      </c>
      <c r="R387" s="663" t="s">
        <v>131</v>
      </c>
      <c r="S387" s="663" t="s">
        <v>214</v>
      </c>
      <c r="T387" s="895"/>
      <c r="U387" s="496"/>
      <c r="V387" s="494"/>
      <c r="W387" s="494"/>
      <c r="X387" s="494"/>
      <c r="Y387" s="494"/>
      <c r="Z387" s="495"/>
      <c r="AA387" s="275"/>
      <c r="AB387" s="275"/>
      <c r="AC387" s="275"/>
      <c r="AD387" s="275"/>
      <c r="AE387" s="275"/>
      <c r="AF387" s="275"/>
      <c r="AG387" s="476"/>
    </row>
    <row r="388" spans="2:33" s="274" customFormat="1" ht="57.95" customHeight="1">
      <c r="B388" s="1007"/>
      <c r="C388" s="741"/>
      <c r="D388" s="663"/>
      <c r="E388" s="663"/>
      <c r="F388" s="788"/>
      <c r="G388" s="789"/>
      <c r="H388" s="789"/>
      <c r="I388" s="531"/>
      <c r="J388" s="487"/>
      <c r="K388" s="1366"/>
      <c r="L388" s="1361" t="s">
        <v>261</v>
      </c>
      <c r="M388" s="1354" t="s">
        <v>1231</v>
      </c>
      <c r="N388" s="949" t="s">
        <v>1232</v>
      </c>
      <c r="O388" s="487" t="s">
        <v>216</v>
      </c>
      <c r="P388" s="885">
        <v>44783</v>
      </c>
      <c r="Q388" s="663" t="s">
        <v>840</v>
      </c>
      <c r="R388" s="663" t="s">
        <v>142</v>
      </c>
      <c r="S388" s="663" t="s">
        <v>214</v>
      </c>
      <c r="T388" s="895"/>
      <c r="U388" s="496"/>
      <c r="V388" s="494"/>
      <c r="W388" s="494"/>
      <c r="X388" s="494"/>
      <c r="Y388" s="494"/>
      <c r="Z388" s="495"/>
      <c r="AA388" s="275"/>
      <c r="AB388" s="275"/>
      <c r="AC388" s="275"/>
      <c r="AD388" s="275"/>
      <c r="AE388" s="275"/>
      <c r="AF388" s="275"/>
      <c r="AG388" s="476"/>
    </row>
    <row r="389" spans="2:33" s="274" customFormat="1" ht="57.75" customHeight="1" thickBot="1">
      <c r="B389" s="1028"/>
      <c r="C389" s="950"/>
      <c r="D389" s="661"/>
      <c r="E389" s="661"/>
      <c r="F389" s="802"/>
      <c r="G389" s="678"/>
      <c r="H389" s="678"/>
      <c r="I389" s="417"/>
      <c r="J389" s="711"/>
      <c r="K389" s="1367"/>
      <c r="L389" s="1373"/>
      <c r="M389" s="1355"/>
      <c r="N389" s="711" t="s">
        <v>1233</v>
      </c>
      <c r="O389" s="711" t="s">
        <v>216</v>
      </c>
      <c r="P389" s="675">
        <v>44783</v>
      </c>
      <c r="Q389" s="661" t="s">
        <v>375</v>
      </c>
      <c r="R389" s="661" t="s">
        <v>131</v>
      </c>
      <c r="S389" s="661" t="s">
        <v>214</v>
      </c>
      <c r="T389" s="951"/>
      <c r="U389" s="496"/>
      <c r="V389" s="494"/>
      <c r="W389" s="494"/>
      <c r="X389" s="494"/>
      <c r="Y389" s="494"/>
      <c r="Z389" s="495"/>
      <c r="AA389" s="275"/>
      <c r="AB389" s="275"/>
      <c r="AC389" s="275"/>
      <c r="AD389" s="275"/>
      <c r="AE389" s="275"/>
      <c r="AF389" s="275"/>
      <c r="AG389" s="476"/>
    </row>
    <row r="390" spans="2:33" s="274" customFormat="1" ht="60" customHeight="1" thickBot="1">
      <c r="B390" s="1026">
        <v>58</v>
      </c>
      <c r="C390" s="919" t="s">
        <v>1113</v>
      </c>
      <c r="D390" s="659" t="s">
        <v>1234</v>
      </c>
      <c r="E390" s="659" t="s">
        <v>66</v>
      </c>
      <c r="F390" s="669">
        <v>44770</v>
      </c>
      <c r="G390" s="394" t="s">
        <v>1235</v>
      </c>
      <c r="H390" s="394" t="s">
        <v>149</v>
      </c>
      <c r="I390" s="605" t="s">
        <v>1236</v>
      </c>
      <c r="J390" s="712"/>
      <c r="K390" s="1535" t="s">
        <v>1237</v>
      </c>
      <c r="L390" s="1032" t="s">
        <v>261</v>
      </c>
      <c r="M390" s="1033" t="s">
        <v>1238</v>
      </c>
      <c r="N390" s="1033" t="s">
        <v>1239</v>
      </c>
      <c r="O390" s="1033" t="s">
        <v>216</v>
      </c>
      <c r="P390" s="1034">
        <v>44773</v>
      </c>
      <c r="Q390" s="1035" t="s">
        <v>226</v>
      </c>
      <c r="R390" s="1035" t="s">
        <v>131</v>
      </c>
      <c r="S390" s="1035" t="s">
        <v>214</v>
      </c>
      <c r="T390" s="948" t="s">
        <v>58</v>
      </c>
      <c r="U390" s="496"/>
      <c r="V390" s="494"/>
      <c r="W390" s="494"/>
      <c r="X390" s="494"/>
      <c r="Y390" s="494"/>
      <c r="Z390" s="495"/>
      <c r="AA390" s="275"/>
      <c r="AB390" s="275"/>
      <c r="AC390" s="275"/>
      <c r="AD390" s="275"/>
      <c r="AE390" s="275"/>
      <c r="AF390" s="275"/>
      <c r="AG390" s="476"/>
    </row>
    <row r="391" spans="2:33" s="274" customFormat="1" ht="60" customHeight="1">
      <c r="B391" s="1007"/>
      <c r="C391" s="741"/>
      <c r="D391" s="663"/>
      <c r="E391" s="663"/>
      <c r="F391" s="788"/>
      <c r="G391" s="789"/>
      <c r="H391" s="789"/>
      <c r="I391" s="606"/>
      <c r="J391" s="487"/>
      <c r="K391" s="1350"/>
      <c r="L391" s="1533" t="s">
        <v>265</v>
      </c>
      <c r="M391" s="1343" t="s">
        <v>1238</v>
      </c>
      <c r="N391" s="1044" t="s">
        <v>1240</v>
      </c>
      <c r="O391" s="1036" t="s">
        <v>216</v>
      </c>
      <c r="P391" s="1037">
        <v>44773</v>
      </c>
      <c r="Q391" s="1038" t="s">
        <v>1241</v>
      </c>
      <c r="R391" s="1038" t="s">
        <v>131</v>
      </c>
      <c r="S391" s="1035" t="s">
        <v>214</v>
      </c>
      <c r="T391" s="895"/>
      <c r="U391" s="496"/>
      <c r="V391" s="494"/>
      <c r="W391" s="494"/>
      <c r="X391" s="494"/>
      <c r="Y391" s="494"/>
      <c r="Z391" s="495"/>
      <c r="AA391" s="275"/>
      <c r="AB391" s="275"/>
      <c r="AC391" s="275"/>
      <c r="AD391" s="275"/>
      <c r="AE391" s="275"/>
      <c r="AF391" s="275"/>
      <c r="AG391" s="476"/>
    </row>
    <row r="392" spans="2:33" s="274" customFormat="1" ht="60" customHeight="1">
      <c r="B392" s="1007"/>
      <c r="C392" s="741"/>
      <c r="D392" s="663"/>
      <c r="E392" s="663"/>
      <c r="F392" s="788"/>
      <c r="G392" s="789"/>
      <c r="H392" s="789"/>
      <c r="I392" s="606"/>
      <c r="J392" s="487"/>
      <c r="K392" s="1350"/>
      <c r="L392" s="1537"/>
      <c r="M392" s="1342"/>
      <c r="N392" s="1036" t="s">
        <v>1242</v>
      </c>
      <c r="O392" s="1036" t="s">
        <v>216</v>
      </c>
      <c r="P392" s="1037">
        <v>44774</v>
      </c>
      <c r="Q392" s="1038" t="s">
        <v>1243</v>
      </c>
      <c r="R392" s="1038" t="s">
        <v>141</v>
      </c>
      <c r="S392" s="1038" t="s">
        <v>214</v>
      </c>
      <c r="T392" s="895"/>
      <c r="U392" s="496"/>
      <c r="V392" s="494"/>
      <c r="W392" s="494"/>
      <c r="X392" s="494"/>
      <c r="Y392" s="494"/>
      <c r="Z392" s="495"/>
      <c r="AA392" s="275"/>
      <c r="AB392" s="275"/>
      <c r="AC392" s="275"/>
      <c r="AD392" s="275"/>
      <c r="AE392" s="275"/>
      <c r="AF392" s="275"/>
      <c r="AG392" s="476"/>
    </row>
    <row r="393" spans="2:33" s="274" customFormat="1" ht="60" customHeight="1">
      <c r="B393" s="1007"/>
      <c r="C393" s="741"/>
      <c r="D393" s="663"/>
      <c r="E393" s="663"/>
      <c r="F393" s="788"/>
      <c r="G393" s="789"/>
      <c r="H393" s="789"/>
      <c r="I393" s="606"/>
      <c r="J393" s="487"/>
      <c r="K393" s="1350"/>
      <c r="L393" s="1039" t="s">
        <v>1011</v>
      </c>
      <c r="M393" s="1036" t="s">
        <v>1244</v>
      </c>
      <c r="N393" s="1036" t="s">
        <v>1245</v>
      </c>
      <c r="O393" s="1036" t="s">
        <v>216</v>
      </c>
      <c r="P393" s="1037">
        <v>44773</v>
      </c>
      <c r="Q393" s="1038" t="s">
        <v>1243</v>
      </c>
      <c r="R393" s="1038" t="s">
        <v>141</v>
      </c>
      <c r="S393" s="1038" t="s">
        <v>214</v>
      </c>
      <c r="T393" s="895"/>
      <c r="U393" s="496"/>
      <c r="V393" s="494"/>
      <c r="W393" s="494"/>
      <c r="X393" s="494"/>
      <c r="Y393" s="494"/>
      <c r="Z393" s="495"/>
      <c r="AA393" s="275"/>
      <c r="AB393" s="275"/>
      <c r="AC393" s="275"/>
      <c r="AD393" s="275"/>
      <c r="AE393" s="275"/>
      <c r="AF393" s="275"/>
      <c r="AG393" s="476"/>
    </row>
    <row r="394" spans="2:33" s="274" customFormat="1" ht="60" customHeight="1" thickBot="1">
      <c r="B394" s="1028"/>
      <c r="C394" s="950"/>
      <c r="D394" s="661"/>
      <c r="E394" s="661"/>
      <c r="F394" s="802"/>
      <c r="G394" s="678"/>
      <c r="H394" s="678"/>
      <c r="I394" s="607"/>
      <c r="J394" s="711"/>
      <c r="K394" s="1536"/>
      <c r="L394" s="1040" t="s">
        <v>209</v>
      </c>
      <c r="M394" s="1041" t="s">
        <v>1246</v>
      </c>
      <c r="N394" s="1075" t="s">
        <v>1247</v>
      </c>
      <c r="O394" s="1041" t="s">
        <v>402</v>
      </c>
      <c r="P394" s="1042">
        <v>44774</v>
      </c>
      <c r="Q394" s="1038" t="s">
        <v>1243</v>
      </c>
      <c r="R394" s="1043" t="s">
        <v>141</v>
      </c>
      <c r="S394" s="1038" t="s">
        <v>214</v>
      </c>
      <c r="T394" s="951"/>
      <c r="U394" s="496"/>
      <c r="V394" s="494"/>
      <c r="W394" s="494"/>
      <c r="X394" s="494"/>
      <c r="Y394" s="494"/>
      <c r="Z394" s="495"/>
      <c r="AA394" s="275"/>
      <c r="AB394" s="275"/>
      <c r="AC394" s="275"/>
      <c r="AD394" s="275"/>
      <c r="AE394" s="275"/>
      <c r="AF394" s="275"/>
      <c r="AG394" s="476"/>
    </row>
    <row r="395" spans="2:33" s="274" customFormat="1" ht="52.5">
      <c r="B395" s="1026">
        <v>59</v>
      </c>
      <c r="C395" s="919" t="s">
        <v>9</v>
      </c>
      <c r="D395" s="659" t="s">
        <v>1248</v>
      </c>
      <c r="E395" s="659" t="s">
        <v>67</v>
      </c>
      <c r="F395" s="669">
        <v>44777</v>
      </c>
      <c r="G395" s="394" t="s">
        <v>1249</v>
      </c>
      <c r="H395" s="394" t="s">
        <v>159</v>
      </c>
      <c r="I395" s="605" t="s">
        <v>1250</v>
      </c>
      <c r="J395" s="712"/>
      <c r="K395" s="1368" t="s">
        <v>1251</v>
      </c>
      <c r="L395" s="683" t="s">
        <v>265</v>
      </c>
      <c r="M395" s="712" t="s">
        <v>1252</v>
      </c>
      <c r="N395" s="712" t="s">
        <v>1253</v>
      </c>
      <c r="O395" s="712" t="s">
        <v>582</v>
      </c>
      <c r="P395" s="947">
        <v>44786</v>
      </c>
      <c r="Q395" s="712" t="s">
        <v>1254</v>
      </c>
      <c r="R395" s="659" t="s">
        <v>132</v>
      </c>
      <c r="S395" s="659" t="s">
        <v>214</v>
      </c>
      <c r="T395" s="948" t="s">
        <v>58</v>
      </c>
      <c r="U395" s="496"/>
      <c r="V395" s="494"/>
      <c r="W395" s="494"/>
      <c r="X395" s="494"/>
      <c r="Y395" s="494"/>
      <c r="Z395" s="495"/>
      <c r="AA395" s="275"/>
      <c r="AB395" s="275"/>
      <c r="AC395" s="275"/>
      <c r="AD395" s="275"/>
      <c r="AE395" s="275"/>
      <c r="AF395" s="275"/>
      <c r="AG395" s="476"/>
    </row>
    <row r="396" spans="2:33" s="274" customFormat="1" ht="70.5">
      <c r="B396" s="1007"/>
      <c r="C396" s="741"/>
      <c r="D396" s="663"/>
      <c r="E396" s="663"/>
      <c r="F396" s="788"/>
      <c r="G396" s="789"/>
      <c r="H396" s="789"/>
      <c r="I396" s="606"/>
      <c r="J396" s="487"/>
      <c r="K396" s="1366"/>
      <c r="L396" s="824" t="s">
        <v>265</v>
      </c>
      <c r="M396" s="487" t="s">
        <v>1255</v>
      </c>
      <c r="N396" s="487" t="s">
        <v>1256</v>
      </c>
      <c r="O396" s="487" t="s">
        <v>1257</v>
      </c>
      <c r="P396" s="885">
        <v>44787</v>
      </c>
      <c r="Q396" s="487" t="s">
        <v>249</v>
      </c>
      <c r="R396" s="663" t="s">
        <v>140</v>
      </c>
      <c r="S396" s="663" t="s">
        <v>214</v>
      </c>
      <c r="T396" s="895"/>
      <c r="U396" s="496"/>
      <c r="V396" s="494"/>
      <c r="W396" s="494"/>
      <c r="X396" s="494"/>
      <c r="Y396" s="494"/>
      <c r="Z396" s="495"/>
      <c r="AA396" s="275"/>
      <c r="AB396" s="275"/>
      <c r="AC396" s="275"/>
      <c r="AD396" s="275"/>
      <c r="AE396" s="275"/>
      <c r="AF396" s="275"/>
      <c r="AG396" s="476"/>
    </row>
    <row r="397" spans="2:33" s="274" customFormat="1" ht="70.5">
      <c r="B397" s="1007"/>
      <c r="C397" s="741"/>
      <c r="D397" s="663"/>
      <c r="E397" s="663"/>
      <c r="F397" s="788"/>
      <c r="G397" s="789"/>
      <c r="H397" s="789"/>
      <c r="I397" s="606"/>
      <c r="J397" s="487"/>
      <c r="K397" s="1366"/>
      <c r="L397" s="824" t="s">
        <v>265</v>
      </c>
      <c r="M397" s="487" t="s">
        <v>1258</v>
      </c>
      <c r="N397" s="487" t="s">
        <v>1259</v>
      </c>
      <c r="O397" s="487" t="s">
        <v>216</v>
      </c>
      <c r="P397" s="885">
        <v>44786</v>
      </c>
      <c r="Q397" s="487" t="s">
        <v>1254</v>
      </c>
      <c r="R397" s="663" t="s">
        <v>132</v>
      </c>
      <c r="S397" s="663" t="s">
        <v>214</v>
      </c>
      <c r="T397" s="895"/>
      <c r="U397" s="496"/>
      <c r="V397" s="494"/>
      <c r="W397" s="494"/>
      <c r="X397" s="494"/>
      <c r="Y397" s="494"/>
      <c r="Z397" s="495"/>
      <c r="AA397" s="275"/>
      <c r="AB397" s="275"/>
      <c r="AC397" s="275"/>
      <c r="AD397" s="275"/>
      <c r="AE397" s="275"/>
      <c r="AF397" s="275"/>
      <c r="AG397" s="476"/>
    </row>
    <row r="398" spans="2:33" s="274" customFormat="1" ht="53.1">
      <c r="B398" s="1007"/>
      <c r="C398" s="741"/>
      <c r="D398" s="663"/>
      <c r="E398" s="663"/>
      <c r="F398" s="788"/>
      <c r="G398" s="789"/>
      <c r="H398" s="789"/>
      <c r="I398" s="606"/>
      <c r="J398" s="487"/>
      <c r="K398" s="1366"/>
      <c r="L398" s="824" t="s">
        <v>209</v>
      </c>
      <c r="M398" s="487" t="s">
        <v>1260</v>
      </c>
      <c r="N398" s="1354" t="s">
        <v>1261</v>
      </c>
      <c r="O398" s="1354" t="s">
        <v>216</v>
      </c>
      <c r="P398" s="885">
        <v>44786</v>
      </c>
      <c r="Q398" s="1354" t="s">
        <v>1262</v>
      </c>
      <c r="R398" s="663" t="s">
        <v>132</v>
      </c>
      <c r="S398" s="663" t="s">
        <v>214</v>
      </c>
      <c r="T398" s="895"/>
      <c r="U398" s="496"/>
      <c r="V398" s="494"/>
      <c r="W398" s="494"/>
      <c r="X398" s="494"/>
      <c r="Y398" s="494"/>
      <c r="Z398" s="495"/>
      <c r="AA398" s="275"/>
      <c r="AB398" s="275"/>
      <c r="AC398" s="275"/>
      <c r="AD398" s="275"/>
      <c r="AE398" s="275"/>
      <c r="AF398" s="275"/>
      <c r="AG398" s="476"/>
    </row>
    <row r="399" spans="2:33" s="274" customFormat="1" ht="53.1">
      <c r="B399" s="1007"/>
      <c r="C399" s="741"/>
      <c r="D399" s="663"/>
      <c r="E399" s="663"/>
      <c r="F399" s="788"/>
      <c r="G399" s="789"/>
      <c r="H399" s="789"/>
      <c r="I399" s="606"/>
      <c r="J399" s="487"/>
      <c r="K399" s="1366"/>
      <c r="L399" s="824" t="s">
        <v>209</v>
      </c>
      <c r="M399" s="487" t="s">
        <v>1263</v>
      </c>
      <c r="N399" s="1360"/>
      <c r="O399" s="1360"/>
      <c r="P399" s="885">
        <v>44786</v>
      </c>
      <c r="Q399" s="1360"/>
      <c r="R399" s="663" t="s">
        <v>132</v>
      </c>
      <c r="S399" s="663" t="s">
        <v>214</v>
      </c>
      <c r="T399" s="895"/>
      <c r="U399" s="496"/>
      <c r="V399" s="494"/>
      <c r="W399" s="494"/>
      <c r="X399" s="494"/>
      <c r="Y399" s="494"/>
      <c r="Z399" s="495"/>
      <c r="AA399" s="275"/>
      <c r="AB399" s="275"/>
      <c r="AC399" s="275"/>
      <c r="AD399" s="275"/>
      <c r="AE399" s="275"/>
      <c r="AF399" s="275"/>
      <c r="AG399" s="476"/>
    </row>
    <row r="400" spans="2:33" s="274" customFormat="1" ht="60" customHeight="1">
      <c r="B400" s="1007"/>
      <c r="C400" s="741"/>
      <c r="D400" s="663"/>
      <c r="E400" s="663"/>
      <c r="F400" s="788"/>
      <c r="G400" s="789"/>
      <c r="H400" s="789"/>
      <c r="I400" s="606"/>
      <c r="J400" s="487"/>
      <c r="K400" s="1366"/>
      <c r="L400" s="1361" t="s">
        <v>209</v>
      </c>
      <c r="M400" s="1354" t="s">
        <v>1264</v>
      </c>
      <c r="N400" s="487" t="s">
        <v>1261</v>
      </c>
      <c r="O400" s="487" t="s">
        <v>582</v>
      </c>
      <c r="P400" s="885">
        <v>44786</v>
      </c>
      <c r="Q400" s="487" t="s">
        <v>1262</v>
      </c>
      <c r="R400" s="663" t="s">
        <v>132</v>
      </c>
      <c r="S400" s="663" t="s">
        <v>214</v>
      </c>
      <c r="T400" s="895"/>
      <c r="U400" s="496"/>
      <c r="V400" s="494"/>
      <c r="W400" s="494"/>
      <c r="X400" s="494"/>
      <c r="Y400" s="494"/>
      <c r="Z400" s="495"/>
      <c r="AA400" s="275"/>
      <c r="AB400" s="275"/>
      <c r="AC400" s="275"/>
      <c r="AD400" s="275"/>
      <c r="AE400" s="275"/>
      <c r="AF400" s="275"/>
      <c r="AG400" s="476"/>
    </row>
    <row r="401" spans="2:33" s="274" customFormat="1" ht="60" customHeight="1" thickBot="1">
      <c r="B401" s="1027"/>
      <c r="C401" s="898"/>
      <c r="D401" s="660"/>
      <c r="E401" s="660"/>
      <c r="F401" s="677"/>
      <c r="G401" s="668"/>
      <c r="H401" s="668"/>
      <c r="I401" s="969"/>
      <c r="J401" s="679"/>
      <c r="K401" s="1366"/>
      <c r="L401" s="1372"/>
      <c r="M401" s="1370"/>
      <c r="N401" s="679" t="s">
        <v>1265</v>
      </c>
      <c r="O401" s="679" t="s">
        <v>216</v>
      </c>
      <c r="P401" s="670">
        <v>44786</v>
      </c>
      <c r="Q401" s="679" t="s">
        <v>1262</v>
      </c>
      <c r="R401" s="660" t="s">
        <v>132</v>
      </c>
      <c r="S401" s="660" t="s">
        <v>214</v>
      </c>
      <c r="T401" s="952"/>
      <c r="U401" s="496"/>
      <c r="V401" s="494"/>
      <c r="W401" s="494"/>
      <c r="X401" s="494"/>
      <c r="Y401" s="494"/>
      <c r="Z401" s="495"/>
      <c r="AA401" s="275"/>
      <c r="AB401" s="275"/>
      <c r="AC401" s="275"/>
      <c r="AD401" s="275"/>
      <c r="AE401" s="275"/>
      <c r="AF401" s="275"/>
      <c r="AG401" s="476"/>
    </row>
    <row r="402" spans="2:33" s="274" customFormat="1" ht="78" customHeight="1">
      <c r="B402" s="1006">
        <v>60</v>
      </c>
      <c r="C402" s="736" t="s">
        <v>9</v>
      </c>
      <c r="D402" s="662" t="s">
        <v>1266</v>
      </c>
      <c r="E402" s="662" t="s">
        <v>67</v>
      </c>
      <c r="F402" s="784">
        <v>44780</v>
      </c>
      <c r="G402" s="785" t="s">
        <v>1267</v>
      </c>
      <c r="H402" s="785" t="s">
        <v>150</v>
      </c>
      <c r="I402" s="960" t="s">
        <v>1268</v>
      </c>
      <c r="J402" s="787"/>
      <c r="K402" s="1368" t="s">
        <v>1269</v>
      </c>
      <c r="L402" s="830" t="s">
        <v>1011</v>
      </c>
      <c r="M402" s="787" t="s">
        <v>1270</v>
      </c>
      <c r="N402" s="970" t="s">
        <v>1271</v>
      </c>
      <c r="O402" s="787" t="s">
        <v>1272</v>
      </c>
      <c r="P402" s="932">
        <v>44788</v>
      </c>
      <c r="Q402" s="662" t="s">
        <v>1273</v>
      </c>
      <c r="R402" s="662" t="s">
        <v>138</v>
      </c>
      <c r="S402" s="662" t="s">
        <v>214</v>
      </c>
      <c r="T402" s="892" t="s">
        <v>58</v>
      </c>
      <c r="U402" s="496"/>
      <c r="V402" s="494"/>
      <c r="W402" s="494"/>
      <c r="X402" s="494"/>
      <c r="Y402" s="494"/>
      <c r="Z402" s="495"/>
      <c r="AA402" s="275"/>
      <c r="AB402" s="275"/>
      <c r="AC402" s="275"/>
      <c r="AD402" s="275"/>
      <c r="AE402" s="275"/>
      <c r="AF402" s="275"/>
      <c r="AG402" s="476"/>
    </row>
    <row r="403" spans="2:33" s="274" customFormat="1" ht="60" customHeight="1">
      <c r="B403" s="1007"/>
      <c r="C403" s="741"/>
      <c r="D403" s="663"/>
      <c r="E403" s="663"/>
      <c r="F403" s="788"/>
      <c r="G403" s="789"/>
      <c r="H403" s="789"/>
      <c r="I403" s="606"/>
      <c r="J403" s="487"/>
      <c r="K403" s="1366"/>
      <c r="L403" s="1361" t="s">
        <v>209</v>
      </c>
      <c r="M403" s="1354" t="s">
        <v>1274</v>
      </c>
      <c r="N403" s="487" t="s">
        <v>1275</v>
      </c>
      <c r="O403" s="487" t="s">
        <v>216</v>
      </c>
      <c r="P403" s="885">
        <v>44788</v>
      </c>
      <c r="Q403" s="665" t="s">
        <v>607</v>
      </c>
      <c r="R403" s="663" t="s">
        <v>131</v>
      </c>
      <c r="S403" s="663" t="s">
        <v>214</v>
      </c>
      <c r="T403" s="895"/>
      <c r="U403" s="496"/>
      <c r="V403" s="494"/>
      <c r="W403" s="494"/>
      <c r="X403" s="494"/>
      <c r="Y403" s="494"/>
      <c r="Z403" s="495"/>
      <c r="AA403" s="275"/>
      <c r="AB403" s="275"/>
      <c r="AC403" s="275"/>
      <c r="AD403" s="275"/>
      <c r="AE403" s="275"/>
      <c r="AF403" s="275"/>
      <c r="AG403" s="476"/>
    </row>
    <row r="404" spans="2:33" s="274" customFormat="1" ht="60" customHeight="1">
      <c r="B404" s="1007"/>
      <c r="C404" s="741"/>
      <c r="D404" s="663"/>
      <c r="E404" s="663"/>
      <c r="F404" s="788"/>
      <c r="G404" s="789"/>
      <c r="H404" s="789"/>
      <c r="I404" s="606"/>
      <c r="J404" s="487"/>
      <c r="K404" s="1366"/>
      <c r="L404" s="1362"/>
      <c r="M404" s="1360"/>
      <c r="N404" s="949" t="s">
        <v>1276</v>
      </c>
      <c r="O404" s="487" t="s">
        <v>216</v>
      </c>
      <c r="P404" s="885">
        <v>44788</v>
      </c>
      <c r="Q404" s="665" t="s">
        <v>607</v>
      </c>
      <c r="R404" s="663" t="s">
        <v>131</v>
      </c>
      <c r="S404" s="663" t="s">
        <v>214</v>
      </c>
      <c r="T404" s="895"/>
      <c r="U404" s="496"/>
      <c r="V404" s="494"/>
      <c r="W404" s="494"/>
      <c r="X404" s="494"/>
      <c r="Y404" s="494"/>
      <c r="Z404" s="495"/>
      <c r="AA404" s="275"/>
      <c r="AB404" s="275"/>
      <c r="AC404" s="275"/>
      <c r="AD404" s="275"/>
      <c r="AE404" s="275"/>
      <c r="AF404" s="275"/>
      <c r="AG404" s="476"/>
    </row>
    <row r="405" spans="2:33" s="274" customFormat="1" ht="57.95" customHeight="1" thickBot="1">
      <c r="B405" s="1009"/>
      <c r="C405" s="747"/>
      <c r="D405" s="664"/>
      <c r="E405" s="664"/>
      <c r="F405" s="790"/>
      <c r="G405" s="791"/>
      <c r="H405" s="791"/>
      <c r="I405" s="961"/>
      <c r="J405" s="793"/>
      <c r="K405" s="1367"/>
      <c r="L405" s="827" t="s">
        <v>265</v>
      </c>
      <c r="M405" s="793" t="s">
        <v>1277</v>
      </c>
      <c r="N405" s="793" t="s">
        <v>1278</v>
      </c>
      <c r="O405" s="793" t="s">
        <v>216</v>
      </c>
      <c r="P405" s="933">
        <v>44785</v>
      </c>
      <c r="Q405" s="664" t="s">
        <v>1273</v>
      </c>
      <c r="R405" s="664" t="s">
        <v>138</v>
      </c>
      <c r="S405" s="664" t="s">
        <v>214</v>
      </c>
      <c r="T405" s="897"/>
      <c r="U405" s="496"/>
      <c r="V405" s="494"/>
      <c r="W405" s="494"/>
      <c r="X405" s="494"/>
      <c r="Y405" s="494"/>
      <c r="Z405" s="495"/>
      <c r="AA405" s="275"/>
      <c r="AB405" s="275"/>
      <c r="AC405" s="275"/>
      <c r="AD405" s="275"/>
      <c r="AE405" s="275"/>
      <c r="AF405" s="275"/>
      <c r="AG405" s="476"/>
    </row>
    <row r="406" spans="2:33" s="274" customFormat="1" ht="57.95" customHeight="1">
      <c r="B406" s="1029">
        <v>61</v>
      </c>
      <c r="C406" s="934" t="s">
        <v>9</v>
      </c>
      <c r="D406" s="665" t="s">
        <v>1279</v>
      </c>
      <c r="E406" s="665" t="s">
        <v>67</v>
      </c>
      <c r="F406" s="794">
        <v>44787</v>
      </c>
      <c r="G406" s="795" t="s">
        <v>1280</v>
      </c>
      <c r="H406" s="795" t="s">
        <v>149</v>
      </c>
      <c r="I406" s="959" t="s">
        <v>1281</v>
      </c>
      <c r="J406" s="680"/>
      <c r="K406" s="1366" t="s">
        <v>1282</v>
      </c>
      <c r="L406" s="820" t="s">
        <v>227</v>
      </c>
      <c r="M406" s="680" t="s">
        <v>1283</v>
      </c>
      <c r="N406" s="680" t="s">
        <v>1284</v>
      </c>
      <c r="O406" s="680" t="s">
        <v>216</v>
      </c>
      <c r="P406" s="943">
        <v>44787</v>
      </c>
      <c r="Q406" s="665" t="s">
        <v>607</v>
      </c>
      <c r="R406" s="665" t="s">
        <v>131</v>
      </c>
      <c r="S406" s="665" t="s">
        <v>214</v>
      </c>
      <c r="T406" s="937" t="s">
        <v>58</v>
      </c>
      <c r="U406" s="496"/>
      <c r="V406" s="494"/>
      <c r="W406" s="494"/>
      <c r="X406" s="494"/>
      <c r="Y406" s="494"/>
      <c r="Z406" s="495"/>
      <c r="AA406" s="275"/>
      <c r="AB406" s="275"/>
      <c r="AC406" s="275"/>
      <c r="AD406" s="275"/>
      <c r="AE406" s="275"/>
      <c r="AF406" s="275"/>
      <c r="AG406" s="476"/>
    </row>
    <row r="407" spans="2:33" s="274" customFormat="1" ht="57.95" customHeight="1" thickBot="1">
      <c r="B407" s="1009"/>
      <c r="C407" s="747"/>
      <c r="D407" s="664"/>
      <c r="E407" s="664"/>
      <c r="F407" s="790"/>
      <c r="G407" s="791"/>
      <c r="H407" s="791"/>
      <c r="I407" s="961"/>
      <c r="J407" s="793"/>
      <c r="K407" s="1367"/>
      <c r="L407" s="827" t="s">
        <v>265</v>
      </c>
      <c r="M407" s="793" t="s">
        <v>1285</v>
      </c>
      <c r="N407" s="793" t="s">
        <v>1286</v>
      </c>
      <c r="O407" s="793" t="s">
        <v>216</v>
      </c>
      <c r="P407" s="933">
        <v>44792</v>
      </c>
      <c r="Q407" s="664" t="s">
        <v>607</v>
      </c>
      <c r="R407" s="664" t="s">
        <v>131</v>
      </c>
      <c r="S407" s="664" t="s">
        <v>214</v>
      </c>
      <c r="T407" s="897"/>
      <c r="U407" s="496"/>
      <c r="V407" s="494"/>
      <c r="W407" s="494"/>
      <c r="X407" s="494"/>
      <c r="Y407" s="494"/>
      <c r="Z407" s="495"/>
      <c r="AA407" s="275"/>
      <c r="AB407" s="275"/>
      <c r="AC407" s="275"/>
      <c r="AD407" s="275"/>
      <c r="AE407" s="275"/>
      <c r="AF407" s="275"/>
      <c r="AG407" s="476"/>
    </row>
    <row r="408" spans="2:33" s="274" customFormat="1" ht="57.95" customHeight="1">
      <c r="B408" s="1006">
        <v>62</v>
      </c>
      <c r="C408" s="1055" t="s">
        <v>9</v>
      </c>
      <c r="D408" s="1053" t="s">
        <v>1287</v>
      </c>
      <c r="E408" s="1056" t="s">
        <v>67</v>
      </c>
      <c r="F408" s="1057">
        <v>44788</v>
      </c>
      <c r="G408" s="1058" t="s">
        <v>619</v>
      </c>
      <c r="H408" s="1058" t="s">
        <v>149</v>
      </c>
      <c r="I408" s="1059" t="s">
        <v>1288</v>
      </c>
      <c r="J408" s="1060"/>
      <c r="K408" s="1368" t="s">
        <v>1289</v>
      </c>
      <c r="L408" s="830" t="s">
        <v>209</v>
      </c>
      <c r="M408" s="1050" t="s">
        <v>1290</v>
      </c>
      <c r="N408" s="1051" t="s">
        <v>623</v>
      </c>
      <c r="O408" s="1050" t="s">
        <v>216</v>
      </c>
      <c r="P408" s="1052">
        <v>44795</v>
      </c>
      <c r="Q408" s="1053" t="s">
        <v>375</v>
      </c>
      <c r="R408" s="1053" t="s">
        <v>131</v>
      </c>
      <c r="S408" s="1053" t="s">
        <v>214</v>
      </c>
      <c r="T408" s="892" t="s">
        <v>58</v>
      </c>
      <c r="U408" s="496"/>
      <c r="V408" s="494"/>
      <c r="W408" s="494"/>
      <c r="X408" s="494"/>
      <c r="Y408" s="494"/>
      <c r="Z408" s="495"/>
      <c r="AA408" s="275"/>
      <c r="AB408" s="275"/>
      <c r="AC408" s="275"/>
      <c r="AD408" s="275"/>
      <c r="AE408" s="275"/>
      <c r="AF408" s="275"/>
      <c r="AG408" s="476"/>
    </row>
    <row r="409" spans="2:33" s="274" customFormat="1" ht="57.95" customHeight="1">
      <c r="B409" s="1029"/>
      <c r="C409" s="1061"/>
      <c r="D409" s="490"/>
      <c r="E409" s="490"/>
      <c r="F409" s="1062"/>
      <c r="G409" s="1063"/>
      <c r="H409" s="1063"/>
      <c r="I409" s="1064"/>
      <c r="J409" s="499"/>
      <c r="K409" s="1366"/>
      <c r="L409" s="820" t="s">
        <v>261</v>
      </c>
      <c r="M409" s="498" t="s">
        <v>1291</v>
      </c>
      <c r="N409" s="1054" t="s">
        <v>1292</v>
      </c>
      <c r="O409" s="1044" t="s">
        <v>216</v>
      </c>
      <c r="P409" s="1045">
        <v>44795</v>
      </c>
      <c r="Q409" s="1046" t="s">
        <v>375</v>
      </c>
      <c r="R409" s="1046" t="s">
        <v>131</v>
      </c>
      <c r="S409" s="1046" t="s">
        <v>214</v>
      </c>
      <c r="T409" s="937"/>
      <c r="U409" s="496"/>
      <c r="V409" s="494"/>
      <c r="W409" s="494"/>
      <c r="X409" s="494"/>
      <c r="Y409" s="494"/>
      <c r="Z409" s="495"/>
      <c r="AA409" s="275"/>
      <c r="AB409" s="275"/>
      <c r="AC409" s="275"/>
      <c r="AD409" s="275"/>
      <c r="AE409" s="275"/>
      <c r="AF409" s="275"/>
      <c r="AG409" s="476"/>
    </row>
    <row r="410" spans="2:33" s="274" customFormat="1" ht="57.95" customHeight="1">
      <c r="B410" s="1007"/>
      <c r="C410" s="1065"/>
      <c r="D410" s="1038"/>
      <c r="E410" s="1038"/>
      <c r="F410" s="1066"/>
      <c r="G410" s="1067"/>
      <c r="H410" s="1067"/>
      <c r="I410" s="1068"/>
      <c r="J410" s="1036"/>
      <c r="K410" s="1366"/>
      <c r="L410" s="824" t="s">
        <v>261</v>
      </c>
      <c r="M410" s="1044" t="s">
        <v>1293</v>
      </c>
      <c r="N410" s="1044" t="s">
        <v>1294</v>
      </c>
      <c r="O410" s="1044" t="s">
        <v>582</v>
      </c>
      <c r="P410" s="1045">
        <v>44798</v>
      </c>
      <c r="Q410" s="1046" t="s">
        <v>375</v>
      </c>
      <c r="R410" s="1046" t="s">
        <v>131</v>
      </c>
      <c r="S410" s="1046" t="s">
        <v>214</v>
      </c>
      <c r="T410" s="895"/>
      <c r="U410" s="496"/>
      <c r="V410" s="494"/>
      <c r="W410" s="494"/>
      <c r="X410" s="494"/>
      <c r="Y410" s="494"/>
      <c r="Z410" s="495"/>
      <c r="AA410" s="275"/>
      <c r="AB410" s="275"/>
      <c r="AC410" s="275"/>
      <c r="AD410" s="275"/>
      <c r="AE410" s="275"/>
      <c r="AF410" s="275"/>
      <c r="AG410" s="476"/>
    </row>
    <row r="411" spans="2:33" s="274" customFormat="1" ht="57.95" customHeight="1" thickBot="1">
      <c r="B411" s="1008"/>
      <c r="C411" s="1069"/>
      <c r="D411" s="1070"/>
      <c r="E411" s="1070"/>
      <c r="F411" s="1071"/>
      <c r="G411" s="1072"/>
      <c r="H411" s="1072"/>
      <c r="I411" s="1073"/>
      <c r="J411" s="1074"/>
      <c r="K411" s="1366"/>
      <c r="L411" s="835" t="s">
        <v>261</v>
      </c>
      <c r="M411" s="1047" t="s">
        <v>1295</v>
      </c>
      <c r="N411" s="1047" t="s">
        <v>1296</v>
      </c>
      <c r="O411" s="1047" t="s">
        <v>582</v>
      </c>
      <c r="P411" s="1048">
        <v>44798</v>
      </c>
      <c r="Q411" s="1049" t="s">
        <v>375</v>
      </c>
      <c r="R411" s="1049" t="s">
        <v>131</v>
      </c>
      <c r="S411" s="1049" t="s">
        <v>214</v>
      </c>
      <c r="T411" s="938"/>
      <c r="U411" s="496"/>
      <c r="V411" s="494"/>
      <c r="W411" s="494"/>
      <c r="X411" s="494"/>
      <c r="Y411" s="494"/>
      <c r="Z411" s="495"/>
      <c r="AA411" s="275"/>
      <c r="AB411" s="275"/>
      <c r="AC411" s="275"/>
      <c r="AD411" s="275"/>
      <c r="AE411" s="275"/>
      <c r="AF411" s="275"/>
      <c r="AG411" s="476"/>
    </row>
    <row r="412" spans="2:33" s="274" customFormat="1" ht="57.95" customHeight="1">
      <c r="B412" s="1006">
        <v>63</v>
      </c>
      <c r="C412" s="736" t="s">
        <v>9</v>
      </c>
      <c r="D412" s="662" t="s">
        <v>1297</v>
      </c>
      <c r="E412" s="662" t="s">
        <v>66</v>
      </c>
      <c r="F412" s="784">
        <v>44794</v>
      </c>
      <c r="G412" s="785" t="s">
        <v>1298</v>
      </c>
      <c r="H412" s="785" t="s">
        <v>151</v>
      </c>
      <c r="I412" s="960" t="s">
        <v>1299</v>
      </c>
      <c r="J412" s="787"/>
      <c r="K412" s="1356" t="s">
        <v>1300</v>
      </c>
      <c r="L412" s="830" t="s">
        <v>1011</v>
      </c>
      <c r="M412" s="787" t="s">
        <v>1301</v>
      </c>
      <c r="N412" s="787" t="s">
        <v>1302</v>
      </c>
      <c r="O412" s="787" t="s">
        <v>216</v>
      </c>
      <c r="P412" s="932">
        <v>44794</v>
      </c>
      <c r="Q412" s="662" t="s">
        <v>1303</v>
      </c>
      <c r="R412" s="662" t="s">
        <v>131</v>
      </c>
      <c r="S412" s="662" t="s">
        <v>214</v>
      </c>
      <c r="T412" s="892" t="s">
        <v>58</v>
      </c>
      <c r="U412" s="496"/>
      <c r="V412" s="494"/>
      <c r="W412" s="494"/>
      <c r="X412" s="494"/>
      <c r="Y412" s="494"/>
      <c r="Z412" s="495"/>
      <c r="AA412" s="275"/>
      <c r="AB412" s="275"/>
      <c r="AC412" s="275"/>
      <c r="AD412" s="275"/>
      <c r="AE412" s="275"/>
      <c r="AF412" s="275"/>
      <c r="AG412" s="476"/>
    </row>
    <row r="413" spans="2:33" s="274" customFormat="1" ht="57.95" customHeight="1">
      <c r="B413" s="1007"/>
      <c r="C413" s="741"/>
      <c r="D413" s="663"/>
      <c r="E413" s="663"/>
      <c r="F413" s="788"/>
      <c r="G413" s="789"/>
      <c r="H413" s="789"/>
      <c r="I413" s="606"/>
      <c r="J413" s="487"/>
      <c r="K413" s="1357"/>
      <c r="L413" s="824" t="s">
        <v>265</v>
      </c>
      <c r="M413" s="487" t="s">
        <v>1304</v>
      </c>
      <c r="N413" s="487" t="s">
        <v>1305</v>
      </c>
      <c r="O413" s="487" t="s">
        <v>582</v>
      </c>
      <c r="P413" s="885">
        <v>44805</v>
      </c>
      <c r="Q413" s="663" t="s">
        <v>1303</v>
      </c>
      <c r="R413" s="663" t="s">
        <v>131</v>
      </c>
      <c r="S413" s="693" t="s">
        <v>214</v>
      </c>
      <c r="T413" s="895"/>
      <c r="U413" s="496"/>
      <c r="V413" s="494"/>
      <c r="W413" s="494"/>
      <c r="X413" s="494"/>
      <c r="Y413" s="494"/>
      <c r="Z413" s="495"/>
      <c r="AA413" s="275"/>
      <c r="AB413" s="275"/>
      <c r="AC413" s="275"/>
      <c r="AD413" s="275"/>
      <c r="AE413" s="275"/>
      <c r="AF413" s="275"/>
      <c r="AG413" s="476"/>
    </row>
    <row r="414" spans="2:33" s="274" customFormat="1" ht="57.95" customHeight="1">
      <c r="B414" s="1007"/>
      <c r="C414" s="741"/>
      <c r="D414" s="663"/>
      <c r="E414" s="663"/>
      <c r="F414" s="788"/>
      <c r="G414" s="789"/>
      <c r="H414" s="789"/>
      <c r="I414" s="606"/>
      <c r="J414" s="487"/>
      <c r="K414" s="1357"/>
      <c r="L414" s="824" t="s">
        <v>209</v>
      </c>
      <c r="M414" s="487" t="s">
        <v>1306</v>
      </c>
      <c r="N414" s="487" t="s">
        <v>1307</v>
      </c>
      <c r="O414" s="487" t="s">
        <v>216</v>
      </c>
      <c r="P414" s="885">
        <v>44805</v>
      </c>
      <c r="Q414" s="663" t="s">
        <v>1303</v>
      </c>
      <c r="R414" s="663" t="s">
        <v>131</v>
      </c>
      <c r="S414" s="663" t="s">
        <v>214</v>
      </c>
      <c r="T414" s="895"/>
      <c r="U414" s="496"/>
      <c r="V414" s="494"/>
      <c r="W414" s="494"/>
      <c r="X414" s="494"/>
      <c r="Y414" s="494"/>
      <c r="Z414" s="495"/>
      <c r="AA414" s="275"/>
      <c r="AB414" s="275"/>
      <c r="AC414" s="275"/>
      <c r="AD414" s="275"/>
      <c r="AE414" s="275"/>
      <c r="AF414" s="275"/>
      <c r="AG414" s="476"/>
    </row>
    <row r="415" spans="2:33" s="274" customFormat="1" ht="57.95" customHeight="1" thickBot="1">
      <c r="B415" s="1008"/>
      <c r="C415" s="911"/>
      <c r="D415" s="693"/>
      <c r="E415" s="693"/>
      <c r="F415" s="797"/>
      <c r="G415" s="798"/>
      <c r="H415" s="798"/>
      <c r="I415" s="962"/>
      <c r="J415" s="681"/>
      <c r="K415" s="1358"/>
      <c r="L415" s="835" t="s">
        <v>261</v>
      </c>
      <c r="M415" s="681" t="s">
        <v>1308</v>
      </c>
      <c r="N415" s="681" t="s">
        <v>1309</v>
      </c>
      <c r="O415" s="681" t="s">
        <v>216</v>
      </c>
      <c r="P415" s="939">
        <v>44805</v>
      </c>
      <c r="Q415" s="693" t="s">
        <v>1303</v>
      </c>
      <c r="R415" s="693" t="s">
        <v>131</v>
      </c>
      <c r="S415" s="693" t="s">
        <v>214</v>
      </c>
      <c r="T415" s="938"/>
      <c r="U415" s="496"/>
      <c r="V415" s="494"/>
      <c r="W415" s="494"/>
      <c r="X415" s="494"/>
      <c r="Y415" s="494"/>
      <c r="Z415" s="495"/>
      <c r="AA415" s="275"/>
      <c r="AB415" s="275"/>
      <c r="AC415" s="275"/>
      <c r="AD415" s="275"/>
      <c r="AE415" s="275"/>
      <c r="AF415" s="275"/>
      <c r="AG415" s="476"/>
    </row>
    <row r="416" spans="2:33" s="274" customFormat="1" ht="57.95" customHeight="1">
      <c r="B416" s="1006">
        <v>64</v>
      </c>
      <c r="C416" s="736" t="s">
        <v>9</v>
      </c>
      <c r="D416" s="662" t="s">
        <v>1310</v>
      </c>
      <c r="E416" s="662" t="s">
        <v>67</v>
      </c>
      <c r="F416" s="784">
        <v>44796</v>
      </c>
      <c r="G416" s="785" t="s">
        <v>1311</v>
      </c>
      <c r="H416" s="785" t="s">
        <v>155</v>
      </c>
      <c r="I416" s="960" t="s">
        <v>1312</v>
      </c>
      <c r="J416" s="787"/>
      <c r="K416" s="1356" t="s">
        <v>1313</v>
      </c>
      <c r="L416" s="830" t="s">
        <v>265</v>
      </c>
      <c r="M416" s="787" t="s">
        <v>1314</v>
      </c>
      <c r="N416" s="787" t="s">
        <v>1315</v>
      </c>
      <c r="O416" s="787" t="s">
        <v>216</v>
      </c>
      <c r="P416" s="932">
        <v>44803</v>
      </c>
      <c r="Q416" s="662" t="s">
        <v>527</v>
      </c>
      <c r="R416" s="662" t="s">
        <v>141</v>
      </c>
      <c r="S416" s="662" t="s">
        <v>214</v>
      </c>
      <c r="T416" s="892" t="s">
        <v>58</v>
      </c>
      <c r="U416" s="496"/>
      <c r="V416" s="494"/>
      <c r="W416" s="494"/>
      <c r="X416" s="494"/>
      <c r="Y416" s="494"/>
      <c r="Z416" s="495"/>
      <c r="AA416" s="275"/>
      <c r="AB416" s="275"/>
      <c r="AC416" s="275"/>
      <c r="AD416" s="275"/>
      <c r="AE416" s="275"/>
      <c r="AF416" s="275"/>
      <c r="AG416" s="476"/>
    </row>
    <row r="417" spans="2:33" s="274" customFormat="1" ht="57.95" customHeight="1">
      <c r="B417" s="1007"/>
      <c r="C417" s="741"/>
      <c r="D417" s="663"/>
      <c r="E417" s="663"/>
      <c r="F417" s="788"/>
      <c r="G417" s="789"/>
      <c r="H417" s="789"/>
      <c r="I417" s="606"/>
      <c r="J417" s="487"/>
      <c r="K417" s="1357"/>
      <c r="L417" s="824" t="s">
        <v>1011</v>
      </c>
      <c r="M417" s="487" t="s">
        <v>1316</v>
      </c>
      <c r="N417" s="487" t="s">
        <v>1317</v>
      </c>
      <c r="O417" s="487" t="s">
        <v>216</v>
      </c>
      <c r="P417" s="885">
        <v>44808</v>
      </c>
      <c r="Q417" s="663" t="s">
        <v>639</v>
      </c>
      <c r="R417" s="663" t="s">
        <v>139</v>
      </c>
      <c r="S417" s="663" t="s">
        <v>214</v>
      </c>
      <c r="T417" s="895"/>
      <c r="U417" s="496"/>
      <c r="V417" s="494"/>
      <c r="W417" s="494"/>
      <c r="X417" s="494"/>
      <c r="Y417" s="494"/>
      <c r="Z417" s="495"/>
      <c r="AA417" s="275"/>
      <c r="AB417" s="275"/>
      <c r="AC417" s="275"/>
      <c r="AD417" s="275"/>
      <c r="AE417" s="275"/>
      <c r="AF417" s="275"/>
      <c r="AG417" s="476"/>
    </row>
    <row r="418" spans="2:33" s="274" customFormat="1" ht="57.95" customHeight="1">
      <c r="B418" s="1007"/>
      <c r="C418" s="741"/>
      <c r="D418" s="663"/>
      <c r="E418" s="663"/>
      <c r="F418" s="788"/>
      <c r="G418" s="789"/>
      <c r="H418" s="789"/>
      <c r="I418" s="606"/>
      <c r="J418" s="487"/>
      <c r="K418" s="1357"/>
      <c r="L418" s="824" t="s">
        <v>1011</v>
      </c>
      <c r="M418" s="487" t="s">
        <v>1318</v>
      </c>
      <c r="N418" s="487" t="s">
        <v>1317</v>
      </c>
      <c r="O418" s="487" t="s">
        <v>216</v>
      </c>
      <c r="P418" s="885">
        <v>44808</v>
      </c>
      <c r="Q418" s="663" t="s">
        <v>639</v>
      </c>
      <c r="R418" s="663" t="s">
        <v>139</v>
      </c>
      <c r="S418" s="663" t="s">
        <v>214</v>
      </c>
      <c r="T418" s="895"/>
      <c r="U418" s="496"/>
      <c r="V418" s="494"/>
      <c r="W418" s="494"/>
      <c r="X418" s="494"/>
      <c r="Y418" s="494"/>
      <c r="Z418" s="495"/>
      <c r="AA418" s="275"/>
      <c r="AB418" s="275"/>
      <c r="AC418" s="275"/>
      <c r="AD418" s="275"/>
      <c r="AE418" s="275"/>
      <c r="AF418" s="275"/>
      <c r="AG418" s="476"/>
    </row>
    <row r="419" spans="2:33" s="274" customFormat="1" ht="57.95" customHeight="1">
      <c r="B419" s="1007"/>
      <c r="C419" s="741"/>
      <c r="D419" s="663"/>
      <c r="E419" s="663"/>
      <c r="F419" s="788"/>
      <c r="G419" s="789"/>
      <c r="H419" s="789"/>
      <c r="I419" s="606"/>
      <c r="J419" s="487"/>
      <c r="K419" s="1357"/>
      <c r="L419" s="824" t="s">
        <v>209</v>
      </c>
      <c r="M419" s="487" t="s">
        <v>1319</v>
      </c>
      <c r="N419" s="487" t="s">
        <v>1320</v>
      </c>
      <c r="O419" s="487" t="s">
        <v>216</v>
      </c>
      <c r="P419" s="885">
        <v>44808</v>
      </c>
      <c r="Q419" s="663" t="s">
        <v>639</v>
      </c>
      <c r="R419" s="663" t="s">
        <v>139</v>
      </c>
      <c r="S419" s="663" t="s">
        <v>214</v>
      </c>
      <c r="T419" s="895"/>
      <c r="U419" s="496"/>
      <c r="V419" s="494"/>
      <c r="W419" s="494"/>
      <c r="X419" s="494"/>
      <c r="Y419" s="494"/>
      <c r="Z419" s="495"/>
      <c r="AA419" s="275"/>
      <c r="AB419" s="275"/>
      <c r="AC419" s="275"/>
      <c r="AD419" s="275"/>
      <c r="AE419" s="275"/>
      <c r="AF419" s="275"/>
      <c r="AG419" s="476"/>
    </row>
    <row r="420" spans="2:33" s="274" customFormat="1" ht="57.95" customHeight="1" thickBot="1">
      <c r="B420" s="1009"/>
      <c r="C420" s="747"/>
      <c r="D420" s="664"/>
      <c r="E420" s="664"/>
      <c r="F420" s="790"/>
      <c r="G420" s="791"/>
      <c r="H420" s="791"/>
      <c r="I420" s="961"/>
      <c r="J420" s="793"/>
      <c r="K420" s="1359"/>
      <c r="L420" s="827" t="s">
        <v>261</v>
      </c>
      <c r="M420" s="793" t="s">
        <v>1321</v>
      </c>
      <c r="N420" s="793" t="s">
        <v>1322</v>
      </c>
      <c r="O420" s="793" t="s">
        <v>216</v>
      </c>
      <c r="P420" s="933">
        <v>44808</v>
      </c>
      <c r="Q420" s="664" t="s">
        <v>293</v>
      </c>
      <c r="R420" s="664" t="s">
        <v>140</v>
      </c>
      <c r="S420" s="664" t="s">
        <v>214</v>
      </c>
      <c r="T420" s="897"/>
      <c r="U420" s="496"/>
      <c r="V420" s="494"/>
      <c r="W420" s="494"/>
      <c r="X420" s="494"/>
      <c r="Y420" s="494"/>
      <c r="Z420" s="495"/>
      <c r="AA420" s="275"/>
      <c r="AB420" s="275"/>
      <c r="AC420" s="275"/>
      <c r="AD420" s="275"/>
      <c r="AE420" s="275"/>
      <c r="AF420" s="275"/>
      <c r="AG420" s="476"/>
    </row>
    <row r="421" spans="2:33" s="274" customFormat="1" ht="57.95" customHeight="1" thickBot="1">
      <c r="B421" s="1028">
        <v>65</v>
      </c>
      <c r="C421" s="1089" t="s">
        <v>9</v>
      </c>
      <c r="D421" s="1090" t="s">
        <v>1323</v>
      </c>
      <c r="E421" s="1043" t="s">
        <v>64</v>
      </c>
      <c r="F421" s="1091">
        <v>44797</v>
      </c>
      <c r="G421" s="1092" t="s">
        <v>1324</v>
      </c>
      <c r="H421" s="1092" t="s">
        <v>147</v>
      </c>
      <c r="I421" s="1093" t="s">
        <v>1325</v>
      </c>
      <c r="J421" s="1075"/>
      <c r="K421" s="980" t="s">
        <v>1326</v>
      </c>
      <c r="L421" s="687"/>
      <c r="M421" s="711"/>
      <c r="N421" s="711"/>
      <c r="O421" s="711"/>
      <c r="P421" s="675"/>
      <c r="Q421" s="661"/>
      <c r="R421" s="661"/>
      <c r="S421" s="661"/>
      <c r="T421" s="951" t="s">
        <v>57</v>
      </c>
      <c r="U421" s="496"/>
      <c r="V421" s="494"/>
      <c r="W421" s="494"/>
      <c r="X421" s="494"/>
      <c r="Y421" s="494"/>
      <c r="Z421" s="495"/>
      <c r="AA421" s="275"/>
      <c r="AB421" s="275"/>
      <c r="AC421" s="275"/>
      <c r="AD421" s="275"/>
      <c r="AE421" s="275"/>
      <c r="AF421" s="275"/>
      <c r="AG421" s="476"/>
    </row>
    <row r="422" spans="2:33" s="274" customFormat="1" ht="57.95" customHeight="1" thickBot="1">
      <c r="B422" s="1030">
        <v>66</v>
      </c>
      <c r="C422" s="1094" t="s">
        <v>9</v>
      </c>
      <c r="D422" s="1095" t="s">
        <v>1327</v>
      </c>
      <c r="E422" s="1100" t="s">
        <v>64</v>
      </c>
      <c r="F422" s="1096">
        <v>44799</v>
      </c>
      <c r="G422" s="1097" t="s">
        <v>1328</v>
      </c>
      <c r="H422" s="1097" t="s">
        <v>147</v>
      </c>
      <c r="I422" s="1098" t="s">
        <v>1329</v>
      </c>
      <c r="J422" s="1099"/>
      <c r="K422" s="965" t="s">
        <v>1330</v>
      </c>
      <c r="L422" s="966"/>
      <c r="M422" s="964"/>
      <c r="N422" s="964"/>
      <c r="O422" s="964"/>
      <c r="P422" s="967"/>
      <c r="Q422" s="963"/>
      <c r="R422" s="963"/>
      <c r="S422" s="963"/>
      <c r="T422" s="968" t="s">
        <v>58</v>
      </c>
      <c r="U422" s="496"/>
      <c r="V422" s="494"/>
      <c r="W422" s="494"/>
      <c r="X422" s="494"/>
      <c r="Y422" s="494"/>
      <c r="Z422" s="495"/>
      <c r="AA422" s="275"/>
      <c r="AB422" s="275"/>
      <c r="AC422" s="275"/>
      <c r="AD422" s="275"/>
      <c r="AE422" s="275"/>
      <c r="AF422" s="275"/>
      <c r="AG422" s="476"/>
    </row>
    <row r="423" spans="2:33" s="274" customFormat="1" ht="74.25" customHeight="1">
      <c r="B423" s="1006">
        <v>67</v>
      </c>
      <c r="C423" s="1114" t="s">
        <v>9</v>
      </c>
      <c r="D423" s="1053" t="s">
        <v>1331</v>
      </c>
      <c r="E423" s="1035" t="s">
        <v>64</v>
      </c>
      <c r="F423" s="1115">
        <v>44800</v>
      </c>
      <c r="G423" s="1111" t="s">
        <v>1332</v>
      </c>
      <c r="H423" s="1112" t="s">
        <v>147</v>
      </c>
      <c r="I423" s="1113" t="s">
        <v>1333</v>
      </c>
      <c r="J423" s="1078"/>
      <c r="K423" s="1110" t="s">
        <v>1334</v>
      </c>
      <c r="L423" s="830" t="s">
        <v>209</v>
      </c>
      <c r="M423" s="787" t="s">
        <v>1335</v>
      </c>
      <c r="N423" s="787" t="s">
        <v>1336</v>
      </c>
      <c r="O423" s="712" t="s">
        <v>216</v>
      </c>
      <c r="P423" s="947">
        <v>44805</v>
      </c>
      <c r="Q423" s="662" t="s">
        <v>1337</v>
      </c>
      <c r="R423" s="662" t="s">
        <v>131</v>
      </c>
      <c r="S423" s="1038" t="s">
        <v>214</v>
      </c>
      <c r="T423" s="948" t="s">
        <v>57</v>
      </c>
      <c r="U423" s="496"/>
      <c r="V423" s="494"/>
      <c r="W423" s="494"/>
      <c r="X423" s="494"/>
      <c r="Y423" s="494"/>
      <c r="Z423" s="495"/>
      <c r="AA423" s="275"/>
      <c r="AB423" s="275"/>
      <c r="AC423" s="275"/>
      <c r="AD423" s="275"/>
      <c r="AE423" s="275"/>
      <c r="AF423" s="275"/>
      <c r="AG423" s="476"/>
    </row>
    <row r="424" spans="2:33" s="274" customFormat="1" ht="66" customHeight="1">
      <c r="B424" s="1029"/>
      <c r="C424" s="741"/>
      <c r="D424" s="665"/>
      <c r="E424" s="741"/>
      <c r="F424" s="741"/>
      <c r="G424" s="665"/>
      <c r="H424" s="788"/>
      <c r="I424" s="789"/>
      <c r="J424" s="789"/>
      <c r="K424" s="606"/>
      <c r="L424" s="824" t="s">
        <v>1011</v>
      </c>
      <c r="M424" s="679" t="s">
        <v>1338</v>
      </c>
      <c r="N424" s="487" t="s">
        <v>1339</v>
      </c>
      <c r="O424" s="681" t="s">
        <v>582</v>
      </c>
      <c r="P424" s="939">
        <v>44805</v>
      </c>
      <c r="Q424" s="663" t="s">
        <v>1337</v>
      </c>
      <c r="R424" s="660" t="s">
        <v>131</v>
      </c>
      <c r="S424" s="1038" t="s">
        <v>214</v>
      </c>
      <c r="T424" s="895"/>
      <c r="U424" s="496"/>
      <c r="V424" s="494"/>
      <c r="W424" s="494"/>
      <c r="X424" s="494"/>
      <c r="Y424" s="494"/>
      <c r="Z424" s="495"/>
      <c r="AA424" s="275"/>
      <c r="AB424" s="275"/>
      <c r="AC424" s="275"/>
      <c r="AD424" s="275"/>
      <c r="AE424" s="275"/>
      <c r="AF424" s="275"/>
      <c r="AG424" s="476"/>
    </row>
    <row r="425" spans="2:33" s="274" customFormat="1" ht="59.25" customHeight="1">
      <c r="B425" s="1007"/>
      <c r="C425" s="741"/>
      <c r="D425" s="663"/>
      <c r="E425" s="741"/>
      <c r="F425" s="663"/>
      <c r="G425" s="663"/>
      <c r="H425" s="788"/>
      <c r="I425" s="789"/>
      <c r="J425" s="789"/>
      <c r="K425" s="606"/>
      <c r="L425" s="685" t="s">
        <v>261</v>
      </c>
      <c r="M425" s="1047" t="s">
        <v>1340</v>
      </c>
      <c r="N425" s="1118" t="s">
        <v>1341</v>
      </c>
      <c r="O425" s="1047" t="s">
        <v>1342</v>
      </c>
      <c r="P425" s="1048">
        <v>44819</v>
      </c>
      <c r="Q425" s="1046" t="s">
        <v>596</v>
      </c>
      <c r="R425" s="1046" t="s">
        <v>136</v>
      </c>
      <c r="S425" s="1038" t="s">
        <v>217</v>
      </c>
      <c r="T425" s="937"/>
      <c r="U425" s="496"/>
      <c r="V425" s="494"/>
      <c r="W425" s="494"/>
      <c r="X425" s="494"/>
      <c r="Y425" s="494"/>
      <c r="Z425" s="495"/>
      <c r="AA425" s="275"/>
      <c r="AB425" s="275"/>
      <c r="AC425" s="275"/>
      <c r="AD425" s="275"/>
      <c r="AE425" s="275"/>
      <c r="AF425" s="275"/>
      <c r="AG425" s="476"/>
    </row>
    <row r="426" spans="2:33" s="274" customFormat="1" ht="72" customHeight="1">
      <c r="B426" s="1007"/>
      <c r="C426" s="741"/>
      <c r="D426" s="663"/>
      <c r="E426" s="741"/>
      <c r="F426" s="663"/>
      <c r="G426" s="663"/>
      <c r="H426" s="788"/>
      <c r="I426" s="789"/>
      <c r="J426" s="789"/>
      <c r="K426" s="606"/>
      <c r="L426" s="824" t="s">
        <v>265</v>
      </c>
      <c r="M426" s="1354" t="s">
        <v>1343</v>
      </c>
      <c r="N426" s="681" t="s">
        <v>1344</v>
      </c>
      <c r="O426" s="681" t="s">
        <v>582</v>
      </c>
      <c r="P426" s="885">
        <v>44810</v>
      </c>
      <c r="Q426" s="663" t="s">
        <v>1337</v>
      </c>
      <c r="R426" s="660" t="s">
        <v>131</v>
      </c>
      <c r="S426" s="1038" t="s">
        <v>214</v>
      </c>
      <c r="T426" s="952"/>
      <c r="U426" s="496"/>
      <c r="V426" s="494"/>
      <c r="W426" s="494"/>
      <c r="X426" s="494"/>
      <c r="Y426" s="494"/>
      <c r="Z426" s="495"/>
      <c r="AA426" s="275"/>
      <c r="AB426" s="275"/>
      <c r="AC426" s="275"/>
      <c r="AD426" s="275"/>
      <c r="AE426" s="275"/>
      <c r="AF426" s="275"/>
      <c r="AG426" s="476"/>
    </row>
    <row r="427" spans="2:33" s="274" customFormat="1" ht="65.25" customHeight="1" thickBot="1">
      <c r="B427" s="1009"/>
      <c r="C427" s="747"/>
      <c r="D427" s="664"/>
      <c r="E427" s="747"/>
      <c r="F427" s="664"/>
      <c r="G427" s="664"/>
      <c r="H427" s="790"/>
      <c r="I427" s="791"/>
      <c r="J427" s="791"/>
      <c r="K427" s="961"/>
      <c r="L427" s="835"/>
      <c r="M427" s="1355"/>
      <c r="N427" s="815" t="s">
        <v>1345</v>
      </c>
      <c r="O427" s="793" t="s">
        <v>582</v>
      </c>
      <c r="P427" s="1146">
        <v>44831</v>
      </c>
      <c r="Q427" s="661" t="s">
        <v>1254</v>
      </c>
      <c r="R427" s="661" t="s">
        <v>135</v>
      </c>
      <c r="S427" s="1127" t="s">
        <v>214</v>
      </c>
      <c r="T427" s="897"/>
      <c r="U427" s="496"/>
      <c r="V427" s="494"/>
      <c r="W427" s="494"/>
      <c r="X427" s="494"/>
      <c r="Y427" s="494"/>
      <c r="Z427" s="495"/>
      <c r="AA427" s="275"/>
      <c r="AB427" s="275"/>
      <c r="AC427" s="275"/>
      <c r="AD427" s="275"/>
      <c r="AE427" s="275"/>
      <c r="AF427" s="275"/>
      <c r="AG427" s="476"/>
    </row>
    <row r="428" spans="2:33" s="274" customFormat="1" ht="77.25" customHeight="1">
      <c r="B428" s="1120">
        <v>68</v>
      </c>
      <c r="C428" s="1116" t="s">
        <v>10</v>
      </c>
      <c r="D428" s="1053" t="s">
        <v>1346</v>
      </c>
      <c r="E428" s="1035" t="s">
        <v>64</v>
      </c>
      <c r="F428" s="1124">
        <v>44826</v>
      </c>
      <c r="G428" s="1112" t="s">
        <v>1347</v>
      </c>
      <c r="H428" s="1117" t="s">
        <v>146</v>
      </c>
      <c r="I428" s="1113" t="s">
        <v>1348</v>
      </c>
      <c r="J428" s="1050"/>
      <c r="K428" s="1352" t="s">
        <v>1349</v>
      </c>
      <c r="L428" s="830" t="s">
        <v>209</v>
      </c>
      <c r="M428" s="679" t="s">
        <v>1350</v>
      </c>
      <c r="N428" s="787" t="s">
        <v>1351</v>
      </c>
      <c r="O428" s="679" t="s">
        <v>216</v>
      </c>
      <c r="P428" s="947">
        <v>44834</v>
      </c>
      <c r="Q428" s="659" t="s">
        <v>1102</v>
      </c>
      <c r="R428" s="663" t="s">
        <v>132</v>
      </c>
      <c r="S428" s="665" t="s">
        <v>214</v>
      </c>
      <c r="T428" s="948" t="s">
        <v>57</v>
      </c>
      <c r="U428" s="496"/>
      <c r="V428" s="494"/>
      <c r="W428" s="494"/>
      <c r="X428" s="494"/>
      <c r="Y428" s="494"/>
      <c r="Z428" s="495"/>
      <c r="AA428" s="275"/>
      <c r="AB428" s="275"/>
      <c r="AC428" s="275"/>
      <c r="AD428" s="275"/>
      <c r="AE428" s="275"/>
      <c r="AF428" s="275"/>
      <c r="AG428" s="476"/>
    </row>
    <row r="429" spans="2:33" s="274" customFormat="1" ht="96" customHeight="1">
      <c r="B429" s="1121"/>
      <c r="C429" s="1122"/>
      <c r="D429" s="1123"/>
      <c r="E429" s="1038"/>
      <c r="F429" s="1125"/>
      <c r="G429" s="1067"/>
      <c r="H429" s="1067"/>
      <c r="I429" s="1119"/>
      <c r="J429" s="1118"/>
      <c r="K429" s="1353"/>
      <c r="L429" s="824" t="s">
        <v>1011</v>
      </c>
      <c r="M429" s="487" t="s">
        <v>1352</v>
      </c>
      <c r="N429" s="487" t="s">
        <v>1353</v>
      </c>
      <c r="O429" s="681" t="s">
        <v>216</v>
      </c>
      <c r="P429" s="885">
        <v>44834</v>
      </c>
      <c r="Q429" s="663" t="s">
        <v>1102</v>
      </c>
      <c r="R429" s="663" t="s">
        <v>132</v>
      </c>
      <c r="S429" s="663" t="s">
        <v>214</v>
      </c>
      <c r="T429" s="938"/>
      <c r="U429" s="496"/>
      <c r="V429" s="494"/>
      <c r="W429" s="494"/>
      <c r="X429" s="494"/>
      <c r="Y429" s="494"/>
      <c r="Z429" s="495"/>
      <c r="AA429" s="275"/>
      <c r="AB429" s="275"/>
      <c r="AC429" s="275"/>
      <c r="AD429" s="275"/>
      <c r="AE429" s="275"/>
      <c r="AF429" s="275"/>
      <c r="AG429" s="476"/>
    </row>
    <row r="430" spans="2:33" s="274" customFormat="1" ht="96" customHeight="1">
      <c r="B430" s="1121"/>
      <c r="C430" s="1122"/>
      <c r="D430" s="1123"/>
      <c r="E430" s="1038"/>
      <c r="F430" s="1125"/>
      <c r="G430" s="1067"/>
      <c r="H430" s="1067"/>
      <c r="I430" s="1119"/>
      <c r="J430" s="1118"/>
      <c r="K430" s="1353"/>
      <c r="L430" s="824" t="s">
        <v>1011</v>
      </c>
      <c r="M430" s="680" t="s">
        <v>1354</v>
      </c>
      <c r="N430" s="487" t="s">
        <v>1355</v>
      </c>
      <c r="O430" s="681" t="s">
        <v>216</v>
      </c>
      <c r="P430" s="885">
        <v>44834</v>
      </c>
      <c r="Q430" s="693" t="s">
        <v>1102</v>
      </c>
      <c r="R430" s="663" t="s">
        <v>132</v>
      </c>
      <c r="S430" s="663" t="s">
        <v>214</v>
      </c>
      <c r="T430" s="938"/>
      <c r="U430" s="496"/>
      <c r="V430" s="494"/>
      <c r="W430" s="494"/>
      <c r="X430" s="494"/>
      <c r="Y430" s="494"/>
      <c r="Z430" s="495"/>
      <c r="AA430" s="275"/>
      <c r="AB430" s="275"/>
      <c r="AC430" s="275"/>
      <c r="AD430" s="275"/>
      <c r="AE430" s="275"/>
      <c r="AF430" s="275"/>
      <c r="AG430" s="476"/>
    </row>
    <row r="431" spans="2:33" s="274" customFormat="1" ht="96" customHeight="1">
      <c r="B431" s="1121"/>
      <c r="C431" s="1122"/>
      <c r="D431" s="1123"/>
      <c r="E431" s="1038"/>
      <c r="F431" s="1125"/>
      <c r="G431" s="1067"/>
      <c r="H431" s="1067"/>
      <c r="I431" s="1119"/>
      <c r="J431" s="1118"/>
      <c r="K431" s="1353"/>
      <c r="L431" s="824" t="s">
        <v>1011</v>
      </c>
      <c r="M431" s="680" t="s">
        <v>1356</v>
      </c>
      <c r="N431" s="487" t="s">
        <v>1357</v>
      </c>
      <c r="O431" s="681" t="s">
        <v>216</v>
      </c>
      <c r="P431" s="885">
        <v>44834</v>
      </c>
      <c r="Q431" s="693" t="s">
        <v>1102</v>
      </c>
      <c r="R431" s="663" t="s">
        <v>132</v>
      </c>
      <c r="S431" s="663" t="s">
        <v>214</v>
      </c>
      <c r="T431" s="938"/>
      <c r="U431" s="496"/>
      <c r="V431" s="494"/>
      <c r="W431" s="494"/>
      <c r="X431" s="494"/>
      <c r="Y431" s="494"/>
      <c r="Z431" s="495"/>
      <c r="AA431" s="275"/>
      <c r="AB431" s="275"/>
      <c r="AC431" s="275"/>
      <c r="AD431" s="275"/>
      <c r="AE431" s="275"/>
      <c r="AF431" s="275"/>
      <c r="AG431" s="476"/>
    </row>
    <row r="432" spans="2:33" s="274" customFormat="1" ht="96" customHeight="1">
      <c r="B432" s="1121"/>
      <c r="C432" s="1122"/>
      <c r="D432" s="1123"/>
      <c r="E432" s="1038"/>
      <c r="F432" s="1125"/>
      <c r="G432" s="1067"/>
      <c r="H432" s="1067"/>
      <c r="I432" s="1119"/>
      <c r="J432" s="1118"/>
      <c r="K432" s="1145"/>
      <c r="L432" s="824" t="s">
        <v>1011</v>
      </c>
      <c r="M432" s="680" t="s">
        <v>1358</v>
      </c>
      <c r="N432" s="487" t="s">
        <v>1359</v>
      </c>
      <c r="O432" s="681" t="s">
        <v>216</v>
      </c>
      <c r="P432" s="885">
        <v>44834</v>
      </c>
      <c r="Q432" s="693" t="s">
        <v>1102</v>
      </c>
      <c r="R432" s="663" t="s">
        <v>132</v>
      </c>
      <c r="S432" s="663" t="s">
        <v>214</v>
      </c>
      <c r="T432" s="938"/>
      <c r="U432" s="496"/>
      <c r="V432" s="494"/>
      <c r="W432" s="494"/>
      <c r="X432" s="494"/>
      <c r="Y432" s="494"/>
      <c r="Z432" s="495"/>
      <c r="AA432" s="275"/>
      <c r="AB432" s="275"/>
      <c r="AC432" s="275"/>
      <c r="AD432" s="275"/>
      <c r="AE432" s="275"/>
      <c r="AF432" s="275"/>
      <c r="AG432" s="476"/>
    </row>
    <row r="433" spans="2:33" s="274" customFormat="1" ht="96" customHeight="1">
      <c r="B433" s="1121"/>
      <c r="C433" s="1135"/>
      <c r="D433" s="1123"/>
      <c r="E433" s="1038"/>
      <c r="F433" s="1125"/>
      <c r="G433" s="1067"/>
      <c r="H433" s="1067"/>
      <c r="I433" s="1119"/>
      <c r="J433" s="498"/>
      <c r="K433" s="824"/>
      <c r="L433" s="824" t="s">
        <v>265</v>
      </c>
      <c r="M433" s="679" t="s">
        <v>1360</v>
      </c>
      <c r="N433" s="679" t="s">
        <v>1361</v>
      </c>
      <c r="O433" s="681" t="s">
        <v>216</v>
      </c>
      <c r="P433" s="939">
        <v>44834</v>
      </c>
      <c r="Q433" s="693" t="s">
        <v>1362</v>
      </c>
      <c r="R433" s="663" t="s">
        <v>132</v>
      </c>
      <c r="S433" s="660" t="s">
        <v>214</v>
      </c>
      <c r="T433" s="938"/>
      <c r="U433" s="496"/>
      <c r="V433" s="494"/>
      <c r="W433" s="494"/>
      <c r="X433" s="494"/>
      <c r="Y433" s="494"/>
      <c r="Z433" s="495"/>
      <c r="AA433" s="275"/>
      <c r="AB433" s="275"/>
      <c r="AC433" s="275"/>
      <c r="AD433" s="275"/>
      <c r="AE433" s="275"/>
      <c r="AF433" s="275"/>
      <c r="AG433" s="476"/>
    </row>
    <row r="434" spans="2:33" s="274" customFormat="1" ht="96" customHeight="1" thickBot="1">
      <c r="B434" s="1130"/>
      <c r="C434" s="1131"/>
      <c r="D434" s="1126"/>
      <c r="E434" s="1043"/>
      <c r="F434" s="1132"/>
      <c r="G434" s="1133"/>
      <c r="H434" s="1134"/>
      <c r="I434" s="1093"/>
      <c r="J434" s="1118"/>
      <c r="K434" s="685"/>
      <c r="L434" s="835"/>
      <c r="M434" s="1128"/>
      <c r="N434" s="681" t="s">
        <v>1363</v>
      </c>
      <c r="O434" s="681" t="s">
        <v>1364</v>
      </c>
      <c r="P434" s="939">
        <v>44834</v>
      </c>
      <c r="Q434" s="693" t="s">
        <v>1102</v>
      </c>
      <c r="R434" s="664" t="s">
        <v>132</v>
      </c>
      <c r="S434" s="664" t="s">
        <v>214</v>
      </c>
      <c r="T434" s="938"/>
      <c r="U434" s="496"/>
      <c r="V434" s="494"/>
      <c r="W434" s="494"/>
      <c r="X434" s="494"/>
      <c r="Y434" s="494"/>
      <c r="Z434" s="495"/>
      <c r="AA434" s="275"/>
      <c r="AB434" s="275"/>
      <c r="AC434" s="275"/>
      <c r="AD434" s="275"/>
      <c r="AE434" s="275"/>
      <c r="AF434" s="275"/>
      <c r="AG434" s="476"/>
    </row>
    <row r="435" spans="2:33" s="274" customFormat="1" ht="80.099999999999994" customHeight="1">
      <c r="B435" s="1026">
        <v>69</v>
      </c>
      <c r="C435" s="1114" t="s">
        <v>10</v>
      </c>
      <c r="D435" s="1080" t="s">
        <v>1365</v>
      </c>
      <c r="E435" s="1035" t="s">
        <v>64</v>
      </c>
      <c r="F435" s="1115">
        <v>44831</v>
      </c>
      <c r="G435" s="1112" t="s">
        <v>1366</v>
      </c>
      <c r="H435" s="1234" t="s">
        <v>149</v>
      </c>
      <c r="I435" s="1233" t="s">
        <v>1367</v>
      </c>
      <c r="J435" s="1078"/>
      <c r="K435" s="1363" t="s">
        <v>1368</v>
      </c>
      <c r="L435" s="683" t="s">
        <v>209</v>
      </c>
      <c r="M435" s="712" t="s">
        <v>1369</v>
      </c>
      <c r="N435" s="712" t="s">
        <v>1230</v>
      </c>
      <c r="O435" s="712" t="s">
        <v>582</v>
      </c>
      <c r="P435" s="947">
        <v>44844</v>
      </c>
      <c r="Q435" s="659" t="s">
        <v>1337</v>
      </c>
      <c r="R435" s="659" t="s">
        <v>131</v>
      </c>
      <c r="S435" s="659" t="s">
        <v>217</v>
      </c>
      <c r="T435" s="948" t="s">
        <v>57</v>
      </c>
      <c r="U435" s="496"/>
      <c r="V435" s="494"/>
      <c r="W435" s="494"/>
      <c r="X435" s="494"/>
      <c r="Y435" s="494"/>
      <c r="Z435" s="495"/>
      <c r="AA435" s="275"/>
      <c r="AB435" s="275"/>
      <c r="AC435" s="275"/>
      <c r="AD435" s="275"/>
      <c r="AE435" s="275"/>
      <c r="AF435" s="275"/>
      <c r="AG435" s="476"/>
    </row>
    <row r="436" spans="2:33" s="274" customFormat="1" ht="80.099999999999994" customHeight="1">
      <c r="B436" s="1007"/>
      <c r="C436" s="1136"/>
      <c r="D436" s="1046"/>
      <c r="E436" s="1038"/>
      <c r="F436" s="1137"/>
      <c r="G436" s="1125"/>
      <c r="H436" s="1068"/>
      <c r="I436" s="1119"/>
      <c r="J436" s="1044"/>
      <c r="K436" s="1364"/>
      <c r="L436" s="1361" t="s">
        <v>261</v>
      </c>
      <c r="M436" s="1354" t="s">
        <v>1370</v>
      </c>
      <c r="N436" s="487" t="s">
        <v>1230</v>
      </c>
      <c r="O436" s="487" t="s">
        <v>582</v>
      </c>
      <c r="P436" s="885">
        <v>44844</v>
      </c>
      <c r="Q436" s="663" t="s">
        <v>1337</v>
      </c>
      <c r="R436" s="663" t="s">
        <v>131</v>
      </c>
      <c r="S436" s="663" t="s">
        <v>217</v>
      </c>
      <c r="T436" s="895"/>
      <c r="U436" s="496"/>
      <c r="V436" s="494"/>
      <c r="W436" s="494"/>
      <c r="X436" s="494"/>
      <c r="Y436" s="494"/>
      <c r="Z436" s="495"/>
      <c r="AA436" s="275"/>
      <c r="AB436" s="275"/>
      <c r="AC436" s="275"/>
      <c r="AD436" s="275"/>
      <c r="AE436" s="275"/>
      <c r="AF436" s="275"/>
      <c r="AG436" s="476"/>
    </row>
    <row r="437" spans="2:33" s="274" customFormat="1" ht="80.099999999999994" customHeight="1">
      <c r="B437" s="1007"/>
      <c r="C437" s="1136"/>
      <c r="D437" s="1046"/>
      <c r="E437" s="1038"/>
      <c r="F437" s="1137"/>
      <c r="G437" s="1125"/>
      <c r="H437" s="1068"/>
      <c r="I437" s="1119"/>
      <c r="J437" s="1044"/>
      <c r="K437" s="1364"/>
      <c r="L437" s="1362"/>
      <c r="M437" s="1360"/>
      <c r="N437" s="487" t="s">
        <v>1371</v>
      </c>
      <c r="O437" s="487" t="s">
        <v>582</v>
      </c>
      <c r="P437" s="885">
        <v>44844</v>
      </c>
      <c r="Q437" s="663" t="s">
        <v>1337</v>
      </c>
      <c r="R437" s="663" t="s">
        <v>131</v>
      </c>
      <c r="S437" s="663" t="s">
        <v>217</v>
      </c>
      <c r="T437" s="895"/>
      <c r="U437" s="496"/>
      <c r="V437" s="494"/>
      <c r="W437" s="494"/>
      <c r="X437" s="494"/>
      <c r="Y437" s="494"/>
      <c r="Z437" s="495"/>
      <c r="AA437" s="275"/>
      <c r="AB437" s="275"/>
      <c r="AC437" s="275"/>
      <c r="AD437" s="275"/>
      <c r="AE437" s="275"/>
      <c r="AF437" s="275"/>
      <c r="AG437" s="476"/>
    </row>
    <row r="438" spans="2:33" s="274" customFormat="1" ht="80.099999999999994" customHeight="1">
      <c r="B438" s="1007"/>
      <c r="C438" s="1136"/>
      <c r="D438" s="1046"/>
      <c r="E438" s="1038"/>
      <c r="F438" s="1137"/>
      <c r="G438" s="1125"/>
      <c r="H438" s="1068"/>
      <c r="I438" s="1119"/>
      <c r="J438" s="1044"/>
      <c r="K438" s="1364"/>
      <c r="L438" s="824" t="s">
        <v>209</v>
      </c>
      <c r="M438" s="487" t="s">
        <v>1372</v>
      </c>
      <c r="N438" s="487" t="s">
        <v>1230</v>
      </c>
      <c r="O438" s="487" t="s">
        <v>582</v>
      </c>
      <c r="P438" s="885">
        <v>44844</v>
      </c>
      <c r="Q438" s="663" t="s">
        <v>1337</v>
      </c>
      <c r="R438" s="663" t="s">
        <v>131</v>
      </c>
      <c r="S438" s="663" t="s">
        <v>217</v>
      </c>
      <c r="T438" s="895"/>
      <c r="U438" s="496"/>
      <c r="V438" s="494"/>
      <c r="W438" s="494"/>
      <c r="X438" s="494"/>
      <c r="Y438" s="494"/>
      <c r="Z438" s="495"/>
      <c r="AA438" s="275"/>
      <c r="AB438" s="275"/>
      <c r="AC438" s="275"/>
      <c r="AD438" s="275"/>
      <c r="AE438" s="275"/>
      <c r="AF438" s="275"/>
      <c r="AG438" s="476"/>
    </row>
    <row r="439" spans="2:33" s="274" customFormat="1" ht="80.099999999999994" customHeight="1">
      <c r="B439" s="1007"/>
      <c r="C439" s="1136"/>
      <c r="D439" s="1046"/>
      <c r="E439" s="1038"/>
      <c r="F439" s="1137"/>
      <c r="G439" s="1125"/>
      <c r="H439" s="1068"/>
      <c r="I439" s="1119"/>
      <c r="J439" s="1044"/>
      <c r="K439" s="1364"/>
      <c r="L439" s="1361" t="s">
        <v>265</v>
      </c>
      <c r="M439" s="1354" t="s">
        <v>1373</v>
      </c>
      <c r="N439" s="487" t="s">
        <v>1374</v>
      </c>
      <c r="O439" s="487" t="s">
        <v>582</v>
      </c>
      <c r="P439" s="885">
        <v>44839</v>
      </c>
      <c r="Q439" s="663" t="s">
        <v>607</v>
      </c>
      <c r="R439" s="663" t="s">
        <v>131</v>
      </c>
      <c r="S439" s="663" t="s">
        <v>217</v>
      </c>
      <c r="T439" s="895"/>
      <c r="U439" s="496"/>
      <c r="V439" s="494"/>
      <c r="W439" s="494"/>
      <c r="X439" s="494"/>
      <c r="Y439" s="494"/>
      <c r="Z439" s="495"/>
      <c r="AA439" s="275"/>
      <c r="AB439" s="275"/>
      <c r="AC439" s="275"/>
      <c r="AD439" s="275"/>
      <c r="AE439" s="275"/>
      <c r="AF439" s="275"/>
      <c r="AG439" s="476"/>
    </row>
    <row r="440" spans="2:33" s="274" customFormat="1" ht="80.099999999999994" customHeight="1">
      <c r="B440" s="1007"/>
      <c r="C440" s="1136"/>
      <c r="D440" s="1046"/>
      <c r="E440" s="1038"/>
      <c r="F440" s="1137"/>
      <c r="G440" s="1125"/>
      <c r="H440" s="1068"/>
      <c r="I440" s="1119"/>
      <c r="J440" s="1044"/>
      <c r="K440" s="1364"/>
      <c r="L440" s="1362"/>
      <c r="M440" s="1360"/>
      <c r="N440" s="487" t="s">
        <v>1375</v>
      </c>
      <c r="O440" s="487" t="s">
        <v>582</v>
      </c>
      <c r="P440" s="885">
        <v>44839</v>
      </c>
      <c r="Q440" s="663" t="s">
        <v>607</v>
      </c>
      <c r="R440" s="663" t="s">
        <v>131</v>
      </c>
      <c r="S440" s="663" t="s">
        <v>217</v>
      </c>
      <c r="T440" s="895"/>
      <c r="U440" s="496"/>
      <c r="V440" s="494"/>
      <c r="W440" s="494"/>
      <c r="X440" s="494"/>
      <c r="Y440" s="494"/>
      <c r="Z440" s="495"/>
      <c r="AA440" s="275"/>
      <c r="AB440" s="275"/>
      <c r="AC440" s="275"/>
      <c r="AD440" s="275"/>
      <c r="AE440" s="275"/>
      <c r="AF440" s="275"/>
      <c r="AG440" s="476"/>
    </row>
    <row r="441" spans="2:33" s="274" customFormat="1" ht="80.099999999999994" customHeight="1" thickBot="1">
      <c r="B441" s="1009"/>
      <c r="C441" s="1238"/>
      <c r="D441" s="1085"/>
      <c r="E441" s="1127"/>
      <c r="F441" s="1239"/>
      <c r="G441" s="1240"/>
      <c r="H441" s="1241"/>
      <c r="I441" s="1242"/>
      <c r="J441" s="1083"/>
      <c r="K441" s="1365"/>
      <c r="L441" s="827" t="s">
        <v>1011</v>
      </c>
      <c r="M441" s="793" t="s">
        <v>1376</v>
      </c>
      <c r="N441" s="793" t="s">
        <v>1377</v>
      </c>
      <c r="O441" s="793" t="s">
        <v>582</v>
      </c>
      <c r="P441" s="933">
        <v>44839</v>
      </c>
      <c r="Q441" s="664" t="s">
        <v>371</v>
      </c>
      <c r="R441" s="664" t="s">
        <v>138</v>
      </c>
      <c r="S441" s="664" t="s">
        <v>217</v>
      </c>
      <c r="T441" s="897"/>
      <c r="U441" s="496"/>
      <c r="V441" s="494"/>
      <c r="W441" s="494"/>
      <c r="X441" s="494"/>
      <c r="Y441" s="494"/>
      <c r="Z441" s="495"/>
      <c r="AA441" s="275"/>
      <c r="AB441" s="275"/>
      <c r="AC441" s="275"/>
      <c r="AD441" s="275"/>
      <c r="AE441" s="275"/>
      <c r="AF441" s="275"/>
      <c r="AG441" s="476"/>
    </row>
    <row r="442" spans="2:33" s="274" customFormat="1" ht="109.5" customHeight="1">
      <c r="B442" s="1027">
        <v>70</v>
      </c>
      <c r="C442" s="1232" t="s">
        <v>10</v>
      </c>
      <c r="D442" s="1126" t="s">
        <v>1378</v>
      </c>
      <c r="E442" s="1231" t="s">
        <v>67</v>
      </c>
      <c r="F442" s="1235">
        <v>44829</v>
      </c>
      <c r="G442" s="1132" t="s">
        <v>679</v>
      </c>
      <c r="H442" s="1236" t="s">
        <v>147</v>
      </c>
      <c r="I442" s="1237" t="s">
        <v>1379</v>
      </c>
      <c r="J442" s="1118"/>
      <c r="K442" s="1106" t="s">
        <v>1380</v>
      </c>
      <c r="L442" s="820" t="s">
        <v>209</v>
      </c>
      <c r="M442" s="680" t="s">
        <v>1381</v>
      </c>
      <c r="N442" s="1342" t="s">
        <v>1382</v>
      </c>
      <c r="O442" s="1344" t="s">
        <v>1383</v>
      </c>
      <c r="P442" s="1346">
        <v>44839</v>
      </c>
      <c r="Q442" s="1348" t="s">
        <v>596</v>
      </c>
      <c r="R442" s="1350" t="s">
        <v>136</v>
      </c>
      <c r="S442" s="1350" t="s">
        <v>214</v>
      </c>
      <c r="T442" s="935" t="s">
        <v>58</v>
      </c>
      <c r="U442" s="496"/>
      <c r="V442" s="494"/>
      <c r="W442" s="494"/>
      <c r="X442" s="494"/>
      <c r="Y442" s="494"/>
      <c r="Z442" s="495"/>
      <c r="AA442" s="275"/>
      <c r="AB442" s="275"/>
      <c r="AC442" s="275"/>
      <c r="AD442" s="275"/>
      <c r="AE442" s="275"/>
      <c r="AF442" s="275"/>
      <c r="AG442" s="476"/>
    </row>
    <row r="443" spans="2:33" s="274" customFormat="1" ht="110.25" customHeight="1">
      <c r="B443" s="1007"/>
      <c r="C443" s="1136"/>
      <c r="D443" s="1046"/>
      <c r="E443" s="1038"/>
      <c r="F443" s="1137"/>
      <c r="G443" s="1125"/>
      <c r="H443" s="1125"/>
      <c r="I443" s="1119"/>
      <c r="J443" s="1044"/>
      <c r="K443" s="1138"/>
      <c r="L443" s="824" t="s">
        <v>261</v>
      </c>
      <c r="M443" s="1143" t="s">
        <v>1384</v>
      </c>
      <c r="N443" s="1343"/>
      <c r="O443" s="1345"/>
      <c r="P443" s="1347"/>
      <c r="Q443" s="1349"/>
      <c r="R443" s="1351"/>
      <c r="S443" s="1351"/>
      <c r="T443" s="935"/>
      <c r="U443" s="1107"/>
      <c r="V443" s="1108"/>
      <c r="W443" s="1108"/>
      <c r="X443" s="1108"/>
      <c r="Y443" s="1108"/>
      <c r="Z443" s="1109"/>
      <c r="AA443" s="275"/>
      <c r="AB443" s="275"/>
      <c r="AC443" s="275"/>
      <c r="AD443" s="275"/>
      <c r="AE443" s="275"/>
      <c r="AF443" s="275"/>
      <c r="AG443" s="476"/>
    </row>
    <row r="444" spans="2:33" s="274" customFormat="1" ht="84" customHeight="1">
      <c r="B444" s="1007"/>
      <c r="C444" s="1136"/>
      <c r="D444" s="1046"/>
      <c r="E444" s="1038"/>
      <c r="F444" s="1137"/>
      <c r="G444" s="1046"/>
      <c r="H444" s="1046"/>
      <c r="I444" s="1119"/>
      <c r="J444" s="1044"/>
      <c r="K444" s="1138"/>
      <c r="L444" s="954" t="s">
        <v>265</v>
      </c>
      <c r="M444" s="1141" t="s">
        <v>1385</v>
      </c>
      <c r="N444" s="487" t="s">
        <v>1386</v>
      </c>
      <c r="O444" s="487" t="s">
        <v>1383</v>
      </c>
      <c r="P444" s="885">
        <v>44844</v>
      </c>
      <c r="Q444" s="663" t="s">
        <v>1387</v>
      </c>
      <c r="R444" s="663" t="s">
        <v>131</v>
      </c>
      <c r="S444" s="1038" t="s">
        <v>217</v>
      </c>
      <c r="T444" s="935"/>
      <c r="U444" s="1107"/>
      <c r="V444" s="1108"/>
      <c r="W444" s="1108"/>
      <c r="X444" s="1108"/>
      <c r="Y444" s="1108"/>
      <c r="Z444" s="1109"/>
      <c r="AA444" s="275"/>
      <c r="AB444" s="275"/>
      <c r="AC444" s="275"/>
      <c r="AD444" s="275"/>
      <c r="AE444" s="275"/>
      <c r="AF444" s="275"/>
      <c r="AG444" s="476"/>
    </row>
    <row r="445" spans="2:33" s="274" customFormat="1" ht="84" customHeight="1">
      <c r="B445" s="1007"/>
      <c r="C445" s="1136"/>
      <c r="D445" s="1046"/>
      <c r="E445" s="1038"/>
      <c r="F445" s="1137"/>
      <c r="G445" s="1046"/>
      <c r="H445" s="1046"/>
      <c r="I445" s="1119"/>
      <c r="J445" s="1044"/>
      <c r="K445" s="1138"/>
      <c r="L445" s="1140" t="s">
        <v>1011</v>
      </c>
      <c r="M445" s="1141" t="s">
        <v>1388</v>
      </c>
      <c r="N445" s="487" t="s">
        <v>1389</v>
      </c>
      <c r="O445" s="487" t="s">
        <v>1390</v>
      </c>
      <c r="P445" s="885">
        <v>44839</v>
      </c>
      <c r="Q445" s="663" t="s">
        <v>1391</v>
      </c>
      <c r="R445" s="663" t="s">
        <v>138</v>
      </c>
      <c r="S445" s="1038" t="s">
        <v>214</v>
      </c>
      <c r="T445" s="1144"/>
      <c r="U445" s="1107"/>
      <c r="V445" s="1108"/>
      <c r="W445" s="1108"/>
      <c r="X445" s="1108"/>
      <c r="Y445" s="1108"/>
      <c r="Z445" s="1109"/>
      <c r="AA445" s="275"/>
      <c r="AB445" s="275"/>
      <c r="AC445" s="275"/>
      <c r="AD445" s="275"/>
      <c r="AE445" s="275"/>
      <c r="AF445" s="275"/>
      <c r="AG445" s="476"/>
    </row>
    <row r="446" spans="2:33" s="274" customFormat="1" ht="96" customHeight="1">
      <c r="B446" s="1121"/>
      <c r="C446" s="1135"/>
      <c r="D446" s="1046"/>
      <c r="E446" s="1038"/>
      <c r="F446" s="1125"/>
      <c r="G446" s="1067"/>
      <c r="H446" s="1067"/>
      <c r="I446" s="1119"/>
      <c r="J446" s="1044"/>
      <c r="K446" s="1139"/>
      <c r="L446" s="954" t="s">
        <v>209</v>
      </c>
      <c r="M446" s="487" t="s">
        <v>1392</v>
      </c>
      <c r="N446" s="487" t="s">
        <v>1393</v>
      </c>
      <c r="O446" s="487" t="s">
        <v>1390</v>
      </c>
      <c r="P446" s="885">
        <v>44839</v>
      </c>
      <c r="Q446" s="663" t="s">
        <v>1391</v>
      </c>
      <c r="R446" s="663" t="s">
        <v>138</v>
      </c>
      <c r="S446" s="1038" t="s">
        <v>214</v>
      </c>
      <c r="T446" s="1142"/>
      <c r="U446" s="496"/>
      <c r="V446" s="494"/>
      <c r="W446" s="494"/>
      <c r="X446" s="494"/>
      <c r="Y446" s="494"/>
      <c r="Z446" s="495"/>
      <c r="AA446" s="275"/>
      <c r="AB446" s="275"/>
      <c r="AC446" s="275"/>
      <c r="AD446" s="275"/>
      <c r="AE446" s="275"/>
      <c r="AF446" s="275"/>
      <c r="AG446" s="476"/>
    </row>
    <row r="447" spans="2:33" s="274" customFormat="1" ht="96" customHeight="1" thickBot="1">
      <c r="B447" s="1149"/>
      <c r="C447" s="1150"/>
      <c r="D447" s="1049"/>
      <c r="E447" s="1070"/>
      <c r="F447" s="1151"/>
      <c r="G447" s="1072"/>
      <c r="H447" s="1072"/>
      <c r="I447" s="1152"/>
      <c r="J447" s="1047"/>
      <c r="K447" s="1153"/>
      <c r="L447" s="1154" t="s">
        <v>261</v>
      </c>
      <c r="M447" s="681" t="s">
        <v>1394</v>
      </c>
      <c r="N447" s="681" t="s">
        <v>1395</v>
      </c>
      <c r="O447" s="681" t="s">
        <v>1390</v>
      </c>
      <c r="P447" s="939">
        <v>44864</v>
      </c>
      <c r="Q447" s="693" t="s">
        <v>260</v>
      </c>
      <c r="R447" s="693" t="s">
        <v>136</v>
      </c>
      <c r="S447" s="1070" t="s">
        <v>214</v>
      </c>
      <c r="T447" s="938"/>
      <c r="U447" s="496"/>
      <c r="V447" s="494"/>
      <c r="W447" s="494"/>
      <c r="X447" s="494"/>
      <c r="Y447" s="494"/>
      <c r="Z447" s="495"/>
      <c r="AA447" s="275"/>
      <c r="AB447" s="275"/>
      <c r="AC447" s="275"/>
      <c r="AD447" s="275"/>
      <c r="AE447" s="275"/>
      <c r="AF447" s="275"/>
      <c r="AG447" s="476"/>
    </row>
    <row r="448" spans="2:33" s="274" customFormat="1" ht="84" customHeight="1" thickBot="1">
      <c r="B448" s="1244">
        <v>71</v>
      </c>
      <c r="C448" s="1245" t="s">
        <v>122</v>
      </c>
      <c r="D448" s="1246" t="s">
        <v>1396</v>
      </c>
      <c r="E448" s="1246" t="s">
        <v>64</v>
      </c>
      <c r="F448" s="1247">
        <v>44842</v>
      </c>
      <c r="G448" s="1248" t="s">
        <v>733</v>
      </c>
      <c r="H448" s="1249" t="s">
        <v>147</v>
      </c>
      <c r="I448" s="1250" t="s">
        <v>1397</v>
      </c>
      <c r="J448" s="1251"/>
      <c r="K448" s="1252" t="s">
        <v>1398</v>
      </c>
      <c r="L448" s="1253"/>
      <c r="M448" s="1254"/>
      <c r="N448" s="1254"/>
      <c r="O448" s="1254"/>
      <c r="P448" s="1255"/>
      <c r="Q448" s="1256"/>
      <c r="R448" s="1256"/>
      <c r="S448" s="1256"/>
      <c r="T448" s="1257"/>
      <c r="U448" s="1107"/>
      <c r="V448" s="1108"/>
      <c r="W448" s="1108"/>
      <c r="X448" s="1108"/>
      <c r="Y448" s="1108"/>
      <c r="Z448" s="1109"/>
      <c r="AA448" s="275"/>
      <c r="AB448" s="275"/>
      <c r="AC448" s="275"/>
      <c r="AD448" s="275"/>
      <c r="AE448" s="275"/>
      <c r="AF448" s="275"/>
      <c r="AG448" s="476"/>
    </row>
    <row r="449" spans="2:33" s="274" customFormat="1" ht="84" customHeight="1">
      <c r="B449" s="1006">
        <v>72</v>
      </c>
      <c r="C449" s="1272" t="s">
        <v>122</v>
      </c>
      <c r="D449" s="1056" t="s">
        <v>1399</v>
      </c>
      <c r="E449" s="1056" t="s">
        <v>64</v>
      </c>
      <c r="F449" s="1124">
        <v>44845</v>
      </c>
      <c r="G449" s="1111" t="s">
        <v>1400</v>
      </c>
      <c r="H449" s="1053" t="s">
        <v>155</v>
      </c>
      <c r="I449" s="1273" t="s">
        <v>1401</v>
      </c>
      <c r="J449" s="1050"/>
      <c r="K449" s="1274" t="s">
        <v>1402</v>
      </c>
      <c r="L449" s="1275" t="s">
        <v>265</v>
      </c>
      <c r="M449" s="787" t="s">
        <v>1403</v>
      </c>
      <c r="N449" s="787" t="s">
        <v>1404</v>
      </c>
      <c r="O449" s="787" t="s">
        <v>216</v>
      </c>
      <c r="P449" s="932">
        <v>44848</v>
      </c>
      <c r="Q449" s="662" t="s">
        <v>1405</v>
      </c>
      <c r="R449" s="662" t="s">
        <v>1406</v>
      </c>
      <c r="S449" s="1056" t="s">
        <v>214</v>
      </c>
      <c r="T449" s="892" t="s">
        <v>58</v>
      </c>
      <c r="U449" s="1107"/>
      <c r="V449" s="1108"/>
      <c r="W449" s="1108"/>
      <c r="X449" s="1108"/>
      <c r="Y449" s="1108"/>
      <c r="Z449" s="1109"/>
      <c r="AA449" s="275"/>
      <c r="AB449" s="275"/>
      <c r="AC449" s="275"/>
      <c r="AD449" s="275"/>
      <c r="AE449" s="275"/>
      <c r="AF449" s="275"/>
      <c r="AG449" s="476"/>
    </row>
    <row r="450" spans="2:33" s="274" customFormat="1" ht="84" customHeight="1">
      <c r="B450" s="1007"/>
      <c r="C450" s="1136"/>
      <c r="D450" s="1038"/>
      <c r="E450" s="1038"/>
      <c r="F450" s="1137"/>
      <c r="G450" s="1125"/>
      <c r="H450" s="1046"/>
      <c r="I450" s="1119"/>
      <c r="J450" s="1044"/>
      <c r="K450" s="1138"/>
      <c r="L450" s="1086" t="s">
        <v>265</v>
      </c>
      <c r="M450" s="487" t="s">
        <v>1407</v>
      </c>
      <c r="N450" s="487" t="s">
        <v>1408</v>
      </c>
      <c r="O450" s="487" t="s">
        <v>582</v>
      </c>
      <c r="P450" s="885">
        <v>44848</v>
      </c>
      <c r="Q450" s="663" t="s">
        <v>1405</v>
      </c>
      <c r="R450" s="663" t="s">
        <v>1406</v>
      </c>
      <c r="S450" s="1038" t="s">
        <v>214</v>
      </c>
      <c r="T450" s="842"/>
      <c r="U450" s="1107"/>
      <c r="V450" s="1108"/>
      <c r="W450" s="1108"/>
      <c r="X450" s="1108"/>
      <c r="Y450" s="1108"/>
      <c r="Z450" s="1109"/>
      <c r="AA450" s="275"/>
      <c r="AB450" s="275"/>
      <c r="AC450" s="275"/>
      <c r="AD450" s="275"/>
      <c r="AE450" s="275"/>
      <c r="AF450" s="275"/>
      <c r="AG450" s="476"/>
    </row>
    <row r="451" spans="2:33" s="274" customFormat="1" ht="84" customHeight="1">
      <c r="B451" s="1007"/>
      <c r="C451" s="1136"/>
      <c r="D451" s="1038"/>
      <c r="E451" s="1038"/>
      <c r="F451" s="1137"/>
      <c r="G451" s="1125"/>
      <c r="H451" s="1046"/>
      <c r="I451" s="1119"/>
      <c r="J451" s="1044"/>
      <c r="K451" s="1138"/>
      <c r="L451" s="1086" t="s">
        <v>209</v>
      </c>
      <c r="M451" s="487" t="s">
        <v>1409</v>
      </c>
      <c r="N451" s="487" t="s">
        <v>1410</v>
      </c>
      <c r="O451" s="487" t="s">
        <v>216</v>
      </c>
      <c r="P451" s="885">
        <v>44848</v>
      </c>
      <c r="Q451" s="663" t="s">
        <v>1405</v>
      </c>
      <c r="R451" s="663" t="s">
        <v>1406</v>
      </c>
      <c r="S451" s="1038" t="s">
        <v>214</v>
      </c>
      <c r="T451" s="842"/>
      <c r="U451" s="1107"/>
      <c r="V451" s="1108"/>
      <c r="W451" s="1108"/>
      <c r="X451" s="1108"/>
      <c r="Y451" s="1108"/>
      <c r="Z451" s="1109"/>
      <c r="AA451" s="275"/>
      <c r="AB451" s="275"/>
      <c r="AC451" s="275"/>
      <c r="AD451" s="275"/>
      <c r="AE451" s="275"/>
      <c r="AF451" s="275"/>
      <c r="AG451" s="476"/>
    </row>
    <row r="452" spans="2:33" s="274" customFormat="1" ht="84" customHeight="1">
      <c r="B452" s="1007"/>
      <c r="C452" s="1136"/>
      <c r="D452" s="1038"/>
      <c r="E452" s="1038"/>
      <c r="F452" s="1137"/>
      <c r="G452" s="1125"/>
      <c r="H452" s="1046"/>
      <c r="I452" s="1119"/>
      <c r="J452" s="1044"/>
      <c r="K452" s="1138"/>
      <c r="L452" s="1086" t="s">
        <v>1011</v>
      </c>
      <c r="M452" s="487" t="s">
        <v>1411</v>
      </c>
      <c r="N452" s="487" t="s">
        <v>1412</v>
      </c>
      <c r="O452" s="487" t="s">
        <v>582</v>
      </c>
      <c r="P452" s="885">
        <v>44849</v>
      </c>
      <c r="Q452" s="663" t="s">
        <v>1405</v>
      </c>
      <c r="R452" s="663" t="s">
        <v>1406</v>
      </c>
      <c r="S452" s="1038" t="s">
        <v>214</v>
      </c>
      <c r="T452" s="842"/>
      <c r="U452" s="1107"/>
      <c r="V452" s="1108"/>
      <c r="W452" s="1108"/>
      <c r="X452" s="1108"/>
      <c r="Y452" s="1108"/>
      <c r="Z452" s="1109"/>
      <c r="AA452" s="275"/>
      <c r="AB452" s="275"/>
      <c r="AC452" s="275"/>
      <c r="AD452" s="275"/>
      <c r="AE452" s="275"/>
      <c r="AF452" s="275"/>
      <c r="AG452" s="476"/>
    </row>
    <row r="453" spans="2:33" s="274" customFormat="1" ht="84" customHeight="1">
      <c r="B453" s="1007"/>
      <c r="C453" s="1136"/>
      <c r="D453" s="1038"/>
      <c r="E453" s="1038"/>
      <c r="F453" s="1137"/>
      <c r="G453" s="1125"/>
      <c r="H453" s="1046"/>
      <c r="I453" s="1119"/>
      <c r="J453" s="1044"/>
      <c r="K453" s="1138"/>
      <c r="L453" s="1533" t="s">
        <v>1011</v>
      </c>
      <c r="M453" s="1531" t="s">
        <v>1413</v>
      </c>
      <c r="N453" s="487" t="s">
        <v>1414</v>
      </c>
      <c r="O453" s="487" t="s">
        <v>582</v>
      </c>
      <c r="P453" s="885">
        <v>44851</v>
      </c>
      <c r="Q453" s="663" t="s">
        <v>1405</v>
      </c>
      <c r="R453" s="663" t="s">
        <v>1406</v>
      </c>
      <c r="S453" s="1038" t="s">
        <v>214</v>
      </c>
      <c r="T453" s="842"/>
      <c r="U453" s="1107"/>
      <c r="V453" s="1108"/>
      <c r="W453" s="1108"/>
      <c r="X453" s="1108"/>
      <c r="Y453" s="1108"/>
      <c r="Z453" s="1109"/>
      <c r="AA453" s="275"/>
      <c r="AB453" s="275"/>
      <c r="AC453" s="275"/>
      <c r="AD453" s="275"/>
      <c r="AE453" s="275"/>
      <c r="AF453" s="275"/>
      <c r="AG453" s="476"/>
    </row>
    <row r="454" spans="2:33" s="274" customFormat="1" ht="84" customHeight="1" thickBot="1">
      <c r="B454" s="1009"/>
      <c r="C454" s="1238"/>
      <c r="D454" s="1127"/>
      <c r="E454" s="1127"/>
      <c r="F454" s="1239"/>
      <c r="G454" s="1240"/>
      <c r="H454" s="1085"/>
      <c r="I454" s="1242"/>
      <c r="J454" s="1083"/>
      <c r="K454" s="1243"/>
      <c r="L454" s="1534"/>
      <c r="M454" s="1532"/>
      <c r="N454" s="793" t="s">
        <v>1415</v>
      </c>
      <c r="O454" s="793" t="s">
        <v>582</v>
      </c>
      <c r="P454" s="933">
        <v>44850</v>
      </c>
      <c r="Q454" s="664" t="s">
        <v>1405</v>
      </c>
      <c r="R454" s="664" t="s">
        <v>1406</v>
      </c>
      <c r="S454" s="1127" t="s">
        <v>214</v>
      </c>
      <c r="T454" s="872"/>
      <c r="U454" s="1107"/>
      <c r="V454" s="1108"/>
      <c r="W454" s="1108"/>
      <c r="X454" s="1108"/>
      <c r="Y454" s="1108"/>
      <c r="Z454" s="1109"/>
      <c r="AA454" s="275"/>
      <c r="AB454" s="275"/>
      <c r="AC454" s="275"/>
      <c r="AD454" s="275"/>
      <c r="AE454" s="275"/>
      <c r="AF454" s="275"/>
      <c r="AG454" s="476"/>
    </row>
    <row r="455" spans="2:33" s="274" customFormat="1" ht="84" customHeight="1" thickBot="1">
      <c r="B455" s="1258">
        <v>73</v>
      </c>
      <c r="C455" s="1259" t="s">
        <v>122</v>
      </c>
      <c r="D455" s="1260" t="s">
        <v>1416</v>
      </c>
      <c r="E455" s="1260" t="s">
        <v>66</v>
      </c>
      <c r="F455" s="1261">
        <v>44845</v>
      </c>
      <c r="G455" s="1262" t="s">
        <v>1417</v>
      </c>
      <c r="H455" s="1263" t="s">
        <v>149</v>
      </c>
      <c r="I455" s="1264" t="s">
        <v>1418</v>
      </c>
      <c r="J455" s="1265"/>
      <c r="K455" s="1266" t="s">
        <v>1419</v>
      </c>
      <c r="L455" s="1267"/>
      <c r="M455" s="1268"/>
      <c r="N455" s="1268"/>
      <c r="O455" s="1268"/>
      <c r="P455" s="1269"/>
      <c r="Q455" s="1270"/>
      <c r="R455" s="1270"/>
      <c r="S455" s="1270"/>
      <c r="T455" s="1271"/>
      <c r="U455" s="1107"/>
      <c r="V455" s="1108"/>
      <c r="W455" s="1108"/>
      <c r="X455" s="1108"/>
      <c r="Y455" s="1108"/>
      <c r="Z455" s="1109"/>
      <c r="AA455" s="275"/>
      <c r="AB455" s="275"/>
      <c r="AC455" s="275"/>
      <c r="AD455" s="275"/>
      <c r="AE455" s="275"/>
      <c r="AF455" s="275"/>
      <c r="AG455" s="476"/>
    </row>
    <row r="456" spans="2:33" s="274" customFormat="1" ht="84" customHeight="1" thickTop="1" thickBot="1">
      <c r="B456" s="1258">
        <v>74</v>
      </c>
      <c r="C456" s="1259" t="s">
        <v>122</v>
      </c>
      <c r="D456" s="1260" t="s">
        <v>1420</v>
      </c>
      <c r="E456" s="1260" t="s">
        <v>67</v>
      </c>
      <c r="F456" s="1261">
        <v>44849</v>
      </c>
      <c r="G456" s="1262" t="s">
        <v>619</v>
      </c>
      <c r="H456" s="1263" t="s">
        <v>149</v>
      </c>
      <c r="I456" s="1264" t="s">
        <v>1421</v>
      </c>
      <c r="J456" s="1265"/>
      <c r="K456" s="1266" t="s">
        <v>1422</v>
      </c>
      <c r="L456" s="1267"/>
      <c r="M456" s="1268"/>
      <c r="N456" s="1268"/>
      <c r="O456" s="1268"/>
      <c r="P456" s="1269"/>
      <c r="Q456" s="1270"/>
      <c r="R456" s="1270"/>
      <c r="S456" s="1270"/>
      <c r="T456" s="1271"/>
      <c r="U456" s="1107"/>
      <c r="V456" s="1108"/>
      <c r="W456" s="1108"/>
      <c r="X456" s="1108"/>
      <c r="Y456" s="1108"/>
      <c r="Z456" s="1109"/>
      <c r="AA456" s="275"/>
      <c r="AB456" s="275"/>
      <c r="AC456" s="275"/>
      <c r="AD456" s="275"/>
      <c r="AE456" s="275"/>
      <c r="AF456" s="275"/>
      <c r="AG456" s="476"/>
    </row>
    <row r="457" spans="2:33" s="274" customFormat="1" ht="35.1" customHeight="1" thickTop="1">
      <c r="B457" s="1031"/>
      <c r="C457" s="89"/>
      <c r="D457" s="90"/>
      <c r="E457" s="90"/>
      <c r="F457" s="90"/>
      <c r="G457" s="91"/>
      <c r="H457" s="91"/>
      <c r="I457" s="92"/>
      <c r="J457" s="90"/>
      <c r="K457" s="90"/>
      <c r="L457" s="93"/>
      <c r="M457" s="424"/>
      <c r="N457" s="95"/>
      <c r="O457" s="96"/>
      <c r="P457" s="525"/>
      <c r="Q457" s="96"/>
      <c r="R457" s="96"/>
      <c r="S457" s="96"/>
      <c r="T457" s="275"/>
      <c r="U457" s="275"/>
      <c r="V457" s="275"/>
      <c r="W457" s="275"/>
      <c r="X457" s="275"/>
      <c r="Y457" s="275"/>
      <c r="Z457" s="275"/>
      <c r="AA457" s="275"/>
      <c r="AB457" s="275"/>
      <c r="AC457" s="275"/>
      <c r="AD457" s="275"/>
      <c r="AE457" s="275"/>
      <c r="AF457" s="275"/>
      <c r="AG457" s="476"/>
    </row>
    <row r="458" spans="2:33" s="274" customFormat="1" ht="35.1" customHeight="1">
      <c r="B458" s="1031"/>
      <c r="C458" s="275"/>
      <c r="D458" s="275"/>
      <c r="E458" s="275"/>
      <c r="F458" s="275"/>
      <c r="G458" s="275"/>
      <c r="H458" s="275"/>
      <c r="I458" s="275"/>
      <c r="J458" s="275"/>
      <c r="K458" s="275"/>
      <c r="L458" s="275"/>
      <c r="M458" s="425"/>
      <c r="N458" s="275"/>
      <c r="O458" s="275"/>
      <c r="P458" s="526"/>
      <c r="Q458" s="275"/>
      <c r="R458" s="275"/>
      <c r="S458" s="275"/>
      <c r="T458" s="275"/>
      <c r="U458" s="275"/>
      <c r="V458" s="275"/>
      <c r="W458" s="275"/>
      <c r="X458" s="275"/>
      <c r="Y458" s="275"/>
      <c r="Z458" s="275"/>
      <c r="AA458" s="275"/>
      <c r="AB458" s="275"/>
      <c r="AC458" s="275"/>
      <c r="AD458" s="275"/>
      <c r="AE458" s="275"/>
      <c r="AF458" s="275"/>
      <c r="AG458" s="476"/>
    </row>
    <row r="459" spans="2:33" s="274" customFormat="1" ht="35.1" customHeight="1">
      <c r="B459" s="1031"/>
      <c r="C459" s="1404" t="s">
        <v>1423</v>
      </c>
      <c r="D459" s="1405"/>
      <c r="E459" s="1406"/>
      <c r="F459" s="275"/>
      <c r="G459" s="275"/>
      <c r="H459" s="275"/>
      <c r="I459" s="275"/>
      <c r="J459" s="275"/>
      <c r="K459" s="275"/>
      <c r="L459" s="275"/>
      <c r="M459" s="425"/>
      <c r="N459" s="275"/>
      <c r="O459" s="275"/>
      <c r="P459" s="526"/>
      <c r="Q459" s="275"/>
      <c r="R459" s="275"/>
      <c r="S459" s="275"/>
      <c r="T459" s="275"/>
      <c r="U459" s="275"/>
      <c r="V459" s="275"/>
      <c r="W459" s="275"/>
      <c r="X459" s="275"/>
      <c r="Y459" s="275"/>
      <c r="Z459" s="275"/>
      <c r="AA459" s="275"/>
      <c r="AB459" s="275"/>
      <c r="AC459" s="275"/>
      <c r="AD459" s="275"/>
      <c r="AE459" s="275"/>
      <c r="AF459" s="275"/>
      <c r="AG459" s="476"/>
    </row>
    <row r="460" spans="2:33" s="274" customFormat="1" ht="35.1" customHeight="1">
      <c r="B460" s="1031"/>
      <c r="C460" s="276" t="s">
        <v>1424</v>
      </c>
      <c r="D460" s="277" t="s">
        <v>1425</v>
      </c>
      <c r="E460" s="277" t="s">
        <v>1426</v>
      </c>
      <c r="F460" s="275"/>
      <c r="G460" s="275"/>
      <c r="H460" s="275"/>
      <c r="I460" s="275"/>
      <c r="J460" s="275"/>
      <c r="K460" s="275"/>
      <c r="L460" s="275"/>
      <c r="M460" s="425"/>
      <c r="N460" s="275"/>
      <c r="O460" s="275"/>
      <c r="P460" s="526"/>
      <c r="Q460" s="275"/>
      <c r="R460" s="275"/>
      <c r="S460" s="275"/>
      <c r="T460" s="275"/>
      <c r="U460" s="275"/>
      <c r="V460" s="275"/>
      <c r="W460" s="275"/>
      <c r="X460" s="275"/>
      <c r="Y460" s="275"/>
      <c r="Z460" s="275"/>
      <c r="AA460" s="275"/>
      <c r="AB460" s="275"/>
      <c r="AC460" s="275"/>
      <c r="AD460" s="275"/>
      <c r="AE460" s="275"/>
      <c r="AF460" s="275"/>
      <c r="AG460" s="476"/>
    </row>
    <row r="461" spans="2:33" ht="20.100000000000001">
      <c r="B461" s="1031"/>
      <c r="C461" s="278" t="s">
        <v>1427</v>
      </c>
      <c r="D461" s="279"/>
      <c r="E461" s="280" t="e">
        <f>+D461/D$20</f>
        <v>#VALUE!</v>
      </c>
      <c r="F461" s="275"/>
      <c r="G461" s="275"/>
      <c r="H461" s="275"/>
      <c r="I461" s="275"/>
      <c r="J461" s="275"/>
      <c r="K461" s="275"/>
      <c r="L461" s="275"/>
      <c r="M461" s="425"/>
      <c r="N461" s="275"/>
      <c r="O461" s="275"/>
      <c r="P461" s="526"/>
      <c r="Q461" s="275"/>
      <c r="R461" s="275"/>
      <c r="S461" s="275"/>
      <c r="T461" s="96"/>
      <c r="U461" s="97"/>
      <c r="V461" s="98"/>
      <c r="W461" s="99"/>
      <c r="X461" s="99"/>
      <c r="Y461" s="99"/>
      <c r="Z461" s="99"/>
    </row>
    <row r="462" spans="2:33" ht="20.100000000000001">
      <c r="B462" s="1031"/>
      <c r="C462" s="281" t="s">
        <v>1428</v>
      </c>
      <c r="D462" s="282"/>
      <c r="E462" s="283" t="e">
        <f t="shared" ref="E462:E467" si="0">+D462/D$20</f>
        <v>#VALUE!</v>
      </c>
      <c r="F462" s="275"/>
      <c r="G462" s="275"/>
      <c r="H462" s="275"/>
      <c r="I462" s="275"/>
      <c r="J462" s="275"/>
      <c r="K462" s="275"/>
      <c r="L462" s="275"/>
      <c r="M462" s="425"/>
      <c r="N462" s="275"/>
      <c r="O462" s="275"/>
      <c r="P462" s="526"/>
      <c r="Q462" s="275"/>
      <c r="R462" s="275"/>
      <c r="S462" s="275"/>
      <c r="T462" s="96"/>
      <c r="U462" s="97"/>
      <c r="V462" s="98"/>
      <c r="W462" s="99"/>
      <c r="X462" s="99"/>
      <c r="Y462" s="99"/>
      <c r="Z462" s="99"/>
    </row>
    <row r="463" spans="2:33" ht="20.100000000000001">
      <c r="B463" s="1031"/>
      <c r="C463" s="281" t="s">
        <v>1429</v>
      </c>
      <c r="D463" s="284"/>
      <c r="E463" s="285" t="e">
        <f t="shared" si="0"/>
        <v>#VALUE!</v>
      </c>
      <c r="F463" s="275"/>
      <c r="G463" s="275"/>
      <c r="H463" s="275"/>
      <c r="I463" s="275"/>
      <c r="J463" s="275"/>
      <c r="K463" s="275"/>
      <c r="L463" s="275"/>
      <c r="M463" s="425"/>
      <c r="N463" s="275"/>
      <c r="O463" s="275"/>
      <c r="P463" s="526"/>
      <c r="Q463" s="275"/>
      <c r="R463" s="275"/>
      <c r="S463" s="275"/>
      <c r="T463" s="96"/>
      <c r="U463" s="97"/>
      <c r="V463" s="98"/>
      <c r="W463" s="99"/>
      <c r="X463" s="99"/>
      <c r="Y463" s="99"/>
      <c r="Z463" s="99"/>
    </row>
    <row r="464" spans="2:33" ht="20.100000000000001">
      <c r="B464" s="1031"/>
      <c r="C464" s="281" t="s">
        <v>1430</v>
      </c>
      <c r="D464" s="282"/>
      <c r="E464" s="286" t="e">
        <f t="shared" si="0"/>
        <v>#VALUE!</v>
      </c>
      <c r="F464" s="275"/>
      <c r="G464" s="275"/>
      <c r="H464" s="275"/>
      <c r="I464" s="275"/>
      <c r="J464" s="275"/>
      <c r="K464" s="275"/>
      <c r="L464" s="275"/>
      <c r="M464" s="425"/>
      <c r="N464" s="275"/>
      <c r="O464" s="275"/>
      <c r="P464" s="526"/>
      <c r="Q464" s="275"/>
      <c r="R464" s="275"/>
      <c r="S464" s="275"/>
      <c r="T464" s="96"/>
      <c r="U464" s="97"/>
      <c r="V464" s="98"/>
      <c r="W464" s="99"/>
      <c r="X464" s="99"/>
      <c r="Y464" s="99"/>
      <c r="Z464" s="99"/>
    </row>
    <row r="465" spans="2:26" ht="20.100000000000001">
      <c r="B465" s="1031"/>
      <c r="C465" s="281" t="s">
        <v>1431</v>
      </c>
      <c r="D465" s="282"/>
      <c r="E465" s="283" t="e">
        <f t="shared" si="0"/>
        <v>#VALUE!</v>
      </c>
      <c r="F465" s="275"/>
      <c r="G465" s="275"/>
      <c r="H465" s="275"/>
      <c r="I465" s="275"/>
      <c r="J465" s="275"/>
      <c r="K465" s="275"/>
      <c r="L465" s="275"/>
      <c r="M465" s="425"/>
      <c r="N465" s="275"/>
      <c r="O465" s="275"/>
      <c r="P465" s="526"/>
      <c r="Q465" s="275"/>
      <c r="R465" s="275"/>
      <c r="S465" s="275"/>
      <c r="T465" s="96"/>
      <c r="U465" s="97"/>
      <c r="V465" s="98"/>
      <c r="W465" s="99"/>
      <c r="X465" s="99"/>
      <c r="Y465" s="99"/>
      <c r="Z465" s="99"/>
    </row>
    <row r="466" spans="2:26" ht="20.100000000000001">
      <c r="B466" s="1031"/>
      <c r="C466" s="281" t="s">
        <v>1432</v>
      </c>
      <c r="D466" s="282"/>
      <c r="E466" s="286" t="e">
        <f t="shared" si="0"/>
        <v>#VALUE!</v>
      </c>
      <c r="F466" s="275"/>
      <c r="G466" s="275"/>
      <c r="H466" s="275"/>
      <c r="I466" s="275"/>
      <c r="J466" s="275"/>
      <c r="K466" s="275"/>
      <c r="L466" s="275"/>
      <c r="M466" s="425"/>
      <c r="N466" s="275"/>
      <c r="O466" s="275"/>
      <c r="P466" s="526"/>
      <c r="Q466" s="275"/>
      <c r="R466" s="275"/>
      <c r="S466" s="275"/>
      <c r="T466" s="96"/>
      <c r="U466" s="97"/>
      <c r="V466" s="98"/>
      <c r="W466" s="99"/>
      <c r="X466" s="99"/>
      <c r="Y466" s="99"/>
      <c r="Z466" s="99"/>
    </row>
    <row r="467" spans="2:26" ht="20.100000000000001">
      <c r="B467" s="1031"/>
      <c r="C467" s="287" t="s">
        <v>1433</v>
      </c>
      <c r="D467" s="288"/>
      <c r="E467" s="289" t="e">
        <f t="shared" si="0"/>
        <v>#VALUE!</v>
      </c>
      <c r="F467" s="275"/>
      <c r="G467" s="275"/>
      <c r="H467" s="275"/>
      <c r="I467" s="275"/>
      <c r="J467" s="275"/>
      <c r="K467" s="275"/>
      <c r="L467" s="275"/>
      <c r="M467" s="425"/>
      <c r="N467" s="275"/>
      <c r="O467" s="275"/>
      <c r="P467" s="526"/>
      <c r="Q467" s="275"/>
      <c r="R467" s="275"/>
      <c r="S467" s="275"/>
      <c r="T467" s="96"/>
      <c r="U467" s="97"/>
      <c r="V467" s="98"/>
      <c r="W467" s="99"/>
      <c r="X467" s="99"/>
      <c r="Y467" s="99"/>
      <c r="Z467" s="99"/>
    </row>
    <row r="468" spans="2:26" ht="20.100000000000001">
      <c r="B468" s="1031"/>
      <c r="C468" s="290" t="s">
        <v>144</v>
      </c>
      <c r="D468" s="291">
        <f>SUM(D461:D463)</f>
        <v>0</v>
      </c>
      <c r="E468" s="292" t="e">
        <f>SUM(E461:E463)</f>
        <v>#VALUE!</v>
      </c>
      <c r="F468" s="275"/>
      <c r="G468" s="275"/>
      <c r="H468" s="275"/>
      <c r="I468" s="275"/>
      <c r="J468" s="275"/>
      <c r="K468" s="275"/>
      <c r="L468" s="275"/>
      <c r="M468" s="425"/>
      <c r="N468" s="275"/>
      <c r="O468" s="275"/>
      <c r="P468" s="526"/>
      <c r="Q468" s="275"/>
      <c r="R468" s="275"/>
      <c r="S468" s="275"/>
      <c r="T468" s="96"/>
      <c r="U468" s="97"/>
      <c r="V468" s="98"/>
      <c r="W468" s="99"/>
      <c r="X468" s="99"/>
      <c r="Y468" s="99"/>
      <c r="Z468" s="99"/>
    </row>
    <row r="469" spans="2:26" ht="20.100000000000001">
      <c r="B469" s="1031"/>
      <c r="C469" s="275"/>
      <c r="D469" s="275"/>
      <c r="E469" s="275"/>
      <c r="F469" s="275"/>
      <c r="G469" s="275"/>
      <c r="H469" s="275"/>
      <c r="I469" s="275"/>
      <c r="J469" s="275"/>
      <c r="K469" s="275"/>
      <c r="L469" s="275"/>
      <c r="M469" s="425"/>
      <c r="N469" s="275"/>
      <c r="O469" s="275"/>
      <c r="P469" s="526"/>
      <c r="Q469" s="275"/>
      <c r="R469" s="275"/>
      <c r="S469" s="275"/>
      <c r="T469" s="96"/>
      <c r="U469" s="97"/>
      <c r="V469" s="98"/>
      <c r="W469" s="99"/>
      <c r="X469" s="99"/>
      <c r="Y469" s="99"/>
      <c r="Z469" s="99"/>
    </row>
    <row r="470" spans="2:26" ht="15.95">
      <c r="B470" s="1031"/>
      <c r="C470" s="89"/>
      <c r="D470" s="90"/>
      <c r="E470" s="90"/>
      <c r="F470" s="90"/>
      <c r="G470" s="91"/>
      <c r="H470" s="91"/>
      <c r="I470" s="92"/>
      <c r="J470" s="90"/>
      <c r="K470" s="90"/>
      <c r="L470" s="93"/>
      <c r="M470" s="424"/>
      <c r="N470" s="95"/>
      <c r="O470" s="96"/>
      <c r="P470" s="525"/>
      <c r="Q470" s="96"/>
      <c r="R470" s="96"/>
      <c r="S470" s="96"/>
      <c r="T470" s="96"/>
      <c r="U470" s="97"/>
      <c r="V470" s="98"/>
      <c r="W470" s="99"/>
      <c r="X470" s="99"/>
      <c r="Y470" s="99"/>
      <c r="Z470" s="99"/>
    </row>
    <row r="471" spans="2:26" ht="15.95">
      <c r="B471" s="1031"/>
      <c r="C471" s="89"/>
      <c r="D471" s="90"/>
      <c r="E471" s="90"/>
      <c r="F471" s="90"/>
      <c r="G471" s="91"/>
      <c r="H471" s="91"/>
      <c r="I471" s="92"/>
      <c r="J471" s="90"/>
      <c r="K471" s="90"/>
      <c r="L471" s="93"/>
      <c r="M471" s="424"/>
      <c r="N471" s="95"/>
      <c r="O471" s="96"/>
      <c r="P471" s="525"/>
      <c r="Q471" s="96"/>
      <c r="R471" s="96"/>
      <c r="S471" s="96"/>
      <c r="T471" s="96"/>
      <c r="U471" s="97"/>
      <c r="V471" s="98"/>
      <c r="W471" s="99"/>
      <c r="X471" s="99"/>
      <c r="Y471" s="99"/>
      <c r="Z471" s="99"/>
    </row>
    <row r="472" spans="2:26" ht="15.95">
      <c r="B472" s="1031"/>
      <c r="C472" s="89"/>
      <c r="D472" s="90"/>
      <c r="E472" s="90"/>
      <c r="F472" s="90"/>
      <c r="G472" s="91"/>
      <c r="H472" s="91"/>
      <c r="I472" s="92"/>
      <c r="J472" s="90"/>
      <c r="K472" s="90"/>
      <c r="L472" s="93"/>
      <c r="M472" s="424"/>
      <c r="N472" s="95"/>
      <c r="O472" s="96"/>
      <c r="P472" s="525"/>
      <c r="Q472" s="96"/>
      <c r="R472" s="96"/>
      <c r="S472" s="96"/>
      <c r="T472" s="96"/>
      <c r="U472" s="97"/>
      <c r="V472" s="98"/>
      <c r="W472" s="99"/>
      <c r="X472" s="99"/>
      <c r="Y472" s="99"/>
      <c r="Z472" s="99"/>
    </row>
    <row r="473" spans="2:26" ht="15.95">
      <c r="B473" s="1031"/>
      <c r="C473" s="89"/>
      <c r="D473" s="90"/>
      <c r="E473" s="90"/>
      <c r="F473" s="90"/>
      <c r="G473" s="91"/>
      <c r="H473" s="91"/>
      <c r="I473" s="92"/>
      <c r="J473" s="90"/>
      <c r="K473" s="90"/>
      <c r="L473" s="93"/>
      <c r="M473" s="424"/>
      <c r="N473" s="95"/>
      <c r="O473" s="96"/>
      <c r="P473" s="525"/>
      <c r="Q473" s="96"/>
      <c r="R473" s="96"/>
      <c r="S473" s="96"/>
      <c r="T473" s="96"/>
      <c r="U473" s="97"/>
      <c r="V473" s="98"/>
      <c r="W473" s="99"/>
      <c r="X473" s="99"/>
      <c r="Y473" s="99"/>
      <c r="Z473" s="99"/>
    </row>
    <row r="474" spans="2:26" ht="15.95">
      <c r="B474" s="1031"/>
      <c r="C474" s="89"/>
      <c r="D474" s="90"/>
      <c r="E474" s="90"/>
      <c r="F474" s="90"/>
      <c r="G474" s="91"/>
      <c r="H474" s="91"/>
      <c r="I474" s="92"/>
      <c r="J474" s="90"/>
      <c r="K474" s="90"/>
      <c r="L474" s="93"/>
      <c r="M474" s="424"/>
      <c r="N474" s="95"/>
      <c r="O474" s="96"/>
      <c r="P474" s="525"/>
      <c r="Q474" s="96"/>
      <c r="R474" s="96"/>
      <c r="S474" s="96"/>
      <c r="T474" s="96"/>
      <c r="U474" s="97"/>
      <c r="V474" s="98"/>
      <c r="W474" s="99"/>
      <c r="X474" s="99"/>
      <c r="Y474" s="99"/>
      <c r="Z474" s="99"/>
    </row>
    <row r="475" spans="2:26" ht="15.95">
      <c r="B475" s="1031"/>
      <c r="C475" s="89"/>
      <c r="D475" s="90"/>
      <c r="E475" s="90"/>
      <c r="F475" s="90"/>
      <c r="G475" s="91"/>
      <c r="H475" s="91"/>
      <c r="I475" s="92"/>
      <c r="J475" s="90"/>
      <c r="K475" s="90"/>
      <c r="L475" s="93"/>
      <c r="M475" s="424"/>
      <c r="N475" s="95"/>
      <c r="O475" s="96"/>
      <c r="P475" s="525"/>
      <c r="Q475" s="96"/>
      <c r="R475" s="96"/>
      <c r="S475" s="96"/>
      <c r="T475" s="96"/>
      <c r="U475" s="97"/>
      <c r="V475" s="98"/>
      <c r="W475" s="99"/>
      <c r="X475" s="99"/>
      <c r="Y475" s="99"/>
      <c r="Z475" s="99"/>
    </row>
    <row r="476" spans="2:26" ht="15.95">
      <c r="B476" s="1031"/>
      <c r="C476" s="89"/>
      <c r="D476" s="90"/>
      <c r="E476" s="90"/>
      <c r="F476" s="90"/>
      <c r="G476" s="91"/>
      <c r="H476" s="91"/>
      <c r="I476" s="92"/>
      <c r="J476" s="90"/>
      <c r="K476" s="90"/>
      <c r="L476" s="93"/>
      <c r="M476" s="424"/>
      <c r="N476" s="95"/>
      <c r="O476" s="96"/>
      <c r="P476" s="525"/>
      <c r="Q476" s="96"/>
      <c r="R476" s="96"/>
      <c r="S476" s="96"/>
      <c r="T476" s="96"/>
      <c r="U476" s="97"/>
      <c r="V476" s="98"/>
      <c r="W476" s="99"/>
      <c r="X476" s="99"/>
      <c r="Y476" s="99"/>
      <c r="Z476" s="99"/>
    </row>
    <row r="477" spans="2:26" ht="15.95">
      <c r="B477" s="1031"/>
      <c r="C477" s="89"/>
      <c r="D477" s="90"/>
      <c r="E477" s="90"/>
      <c r="F477" s="90"/>
      <c r="G477" s="91"/>
      <c r="H477" s="91"/>
      <c r="I477" s="92"/>
      <c r="J477" s="90"/>
      <c r="K477" s="90"/>
      <c r="L477" s="93"/>
      <c r="M477" s="424"/>
      <c r="N477" s="95"/>
      <c r="O477" s="96"/>
      <c r="P477" s="525"/>
      <c r="Q477" s="96"/>
      <c r="R477" s="96"/>
      <c r="S477" s="96"/>
      <c r="T477" s="96"/>
      <c r="U477" s="97"/>
      <c r="V477" s="98"/>
      <c r="W477" s="99"/>
      <c r="X477" s="99"/>
      <c r="Y477" s="99"/>
      <c r="Z477" s="99"/>
    </row>
    <row r="478" spans="2:26" ht="15.95">
      <c r="B478" s="1031"/>
      <c r="C478" s="89"/>
      <c r="D478" s="90"/>
      <c r="E478" s="90"/>
      <c r="F478" s="90"/>
      <c r="G478" s="91"/>
      <c r="H478" s="91"/>
      <c r="I478" s="92"/>
      <c r="J478" s="90"/>
      <c r="K478" s="90"/>
      <c r="L478" s="93"/>
      <c r="M478" s="424"/>
      <c r="N478" s="95"/>
      <c r="O478" s="96"/>
      <c r="P478" s="525"/>
      <c r="Q478" s="96"/>
      <c r="R478" s="96"/>
      <c r="S478" s="96"/>
      <c r="T478" s="96"/>
      <c r="U478" s="97"/>
      <c r="V478" s="98"/>
      <c r="W478" s="99"/>
      <c r="X478" s="99"/>
      <c r="Y478" s="99"/>
      <c r="Z478" s="99"/>
    </row>
    <row r="479" spans="2:26" ht="15.95">
      <c r="B479" s="1031"/>
      <c r="C479" s="89"/>
      <c r="D479" s="90"/>
      <c r="E479" s="90"/>
      <c r="F479" s="90"/>
      <c r="G479" s="91"/>
      <c r="H479" s="91"/>
      <c r="I479" s="92"/>
      <c r="J479" s="90"/>
      <c r="K479" s="90"/>
      <c r="L479" s="93"/>
      <c r="M479" s="424"/>
      <c r="N479" s="95"/>
      <c r="O479" s="96"/>
      <c r="P479" s="525"/>
      <c r="Q479" s="96"/>
      <c r="R479" s="96"/>
      <c r="S479" s="96"/>
      <c r="T479" s="96"/>
      <c r="U479" s="97"/>
      <c r="V479" s="98"/>
      <c r="W479" s="99"/>
      <c r="X479" s="99"/>
      <c r="Y479" s="99"/>
      <c r="Z479" s="99"/>
    </row>
    <row r="480" spans="2:26" ht="15.95">
      <c r="B480" s="1031"/>
      <c r="C480" s="89"/>
      <c r="D480" s="90"/>
      <c r="E480" s="90"/>
      <c r="F480" s="90"/>
      <c r="G480" s="91"/>
      <c r="H480" s="91"/>
      <c r="I480" s="92"/>
      <c r="J480" s="90"/>
      <c r="K480" s="90"/>
      <c r="L480" s="93"/>
      <c r="M480" s="424"/>
      <c r="N480" s="95"/>
      <c r="O480" s="96"/>
      <c r="P480" s="525"/>
      <c r="Q480" s="96"/>
      <c r="R480" s="96"/>
      <c r="S480" s="96"/>
      <c r="T480" s="96"/>
      <c r="U480" s="97"/>
      <c r="V480" s="98"/>
      <c r="W480" s="99"/>
      <c r="X480" s="99"/>
      <c r="Y480" s="99"/>
      <c r="Z480" s="99"/>
    </row>
    <row r="481" spans="2:26" ht="15.95">
      <c r="B481" s="1031"/>
      <c r="C481" s="89"/>
      <c r="D481" s="90"/>
      <c r="E481" s="90"/>
      <c r="F481" s="90"/>
      <c r="G481" s="91"/>
      <c r="H481" s="91"/>
      <c r="I481" s="92"/>
      <c r="J481" s="90"/>
      <c r="K481" s="90"/>
      <c r="L481" s="93"/>
      <c r="M481" s="424"/>
      <c r="N481" s="95"/>
      <c r="O481" s="96"/>
      <c r="P481" s="525"/>
      <c r="Q481" s="96"/>
      <c r="R481" s="96"/>
      <c r="S481" s="96"/>
      <c r="T481" s="96"/>
      <c r="U481" s="97"/>
      <c r="V481" s="98"/>
      <c r="W481" s="99"/>
      <c r="X481" s="99"/>
      <c r="Y481" s="99"/>
      <c r="Z481" s="99"/>
    </row>
    <row r="482" spans="2:26" ht="15.95">
      <c r="B482" s="1031"/>
      <c r="C482" s="89"/>
      <c r="D482" s="90"/>
      <c r="E482" s="90"/>
      <c r="F482" s="90"/>
      <c r="G482" s="91"/>
      <c r="H482" s="91"/>
      <c r="I482" s="92"/>
      <c r="J482" s="90"/>
      <c r="K482" s="90"/>
      <c r="L482" s="93"/>
      <c r="M482" s="424"/>
      <c r="N482" s="95"/>
      <c r="O482" s="96"/>
      <c r="P482" s="525"/>
      <c r="Q482" s="96"/>
      <c r="R482" s="96"/>
      <c r="S482" s="96"/>
      <c r="T482" s="96"/>
      <c r="U482" s="97"/>
      <c r="V482" s="98"/>
      <c r="W482" s="99"/>
      <c r="X482" s="99"/>
      <c r="Y482" s="99"/>
      <c r="Z482" s="99"/>
    </row>
    <row r="483" spans="2:26" ht="15.95">
      <c r="B483" s="1031"/>
      <c r="C483" s="89"/>
      <c r="D483" s="90"/>
      <c r="E483" s="90"/>
      <c r="F483" s="90"/>
      <c r="G483" s="91"/>
      <c r="H483" s="91"/>
      <c r="I483" s="92"/>
      <c r="J483" s="90"/>
      <c r="K483" s="90"/>
      <c r="L483" s="93"/>
      <c r="M483" s="424"/>
      <c r="N483" s="95"/>
      <c r="O483" s="96"/>
      <c r="P483" s="525"/>
      <c r="Q483" s="96"/>
      <c r="R483" s="96"/>
      <c r="S483" s="96"/>
      <c r="T483" s="96"/>
      <c r="U483" s="97"/>
      <c r="V483" s="98"/>
      <c r="W483" s="99"/>
      <c r="X483" s="99"/>
      <c r="Y483" s="99"/>
      <c r="Z483" s="99"/>
    </row>
    <row r="484" spans="2:26" ht="15.95">
      <c r="B484" s="1031"/>
      <c r="C484" s="89"/>
      <c r="D484" s="90"/>
      <c r="E484" s="90"/>
      <c r="F484" s="90"/>
      <c r="G484" s="91"/>
      <c r="H484" s="91"/>
      <c r="I484" s="92"/>
      <c r="J484" s="90"/>
      <c r="K484" s="90"/>
      <c r="L484" s="93"/>
      <c r="M484" s="424"/>
      <c r="N484" s="95"/>
      <c r="O484" s="96"/>
      <c r="P484" s="525"/>
      <c r="Q484" s="96"/>
      <c r="R484" s="96"/>
      <c r="S484" s="96"/>
      <c r="T484" s="96"/>
      <c r="U484" s="97"/>
      <c r="V484" s="98"/>
      <c r="W484" s="99"/>
      <c r="X484" s="99"/>
      <c r="Y484" s="99"/>
      <c r="Z484" s="99"/>
    </row>
    <row r="485" spans="2:26" ht="15.95">
      <c r="B485" s="1031"/>
      <c r="C485" s="89"/>
      <c r="D485" s="90"/>
      <c r="E485" s="90"/>
      <c r="F485" s="90"/>
      <c r="G485" s="91"/>
      <c r="H485" s="91"/>
      <c r="I485" s="92"/>
      <c r="J485" s="90"/>
      <c r="K485" s="90"/>
      <c r="L485" s="93"/>
      <c r="M485" s="424"/>
      <c r="N485" s="95"/>
      <c r="O485" s="96"/>
      <c r="P485" s="525"/>
      <c r="Q485" s="96"/>
      <c r="R485" s="96"/>
      <c r="S485" s="96"/>
      <c r="T485" s="96"/>
      <c r="U485" s="97"/>
      <c r="V485" s="98"/>
      <c r="W485" s="99"/>
      <c r="X485" s="99"/>
      <c r="Y485" s="99"/>
      <c r="Z485" s="99"/>
    </row>
    <row r="486" spans="2:26" ht="15.95">
      <c r="B486" s="1031"/>
      <c r="C486" s="89"/>
      <c r="D486" s="90"/>
      <c r="E486" s="90"/>
      <c r="F486" s="90"/>
      <c r="G486" s="91"/>
      <c r="H486" s="91"/>
      <c r="I486" s="92"/>
      <c r="J486" s="90"/>
      <c r="K486" s="90"/>
      <c r="L486" s="93"/>
      <c r="M486" s="424"/>
      <c r="N486" s="95"/>
      <c r="O486" s="96"/>
      <c r="P486" s="525"/>
      <c r="Q486" s="96"/>
      <c r="R486" s="96"/>
      <c r="S486" s="96"/>
      <c r="T486" s="96"/>
      <c r="U486" s="97"/>
      <c r="V486" s="98"/>
      <c r="W486" s="99"/>
      <c r="X486" s="99"/>
      <c r="Y486" s="99"/>
      <c r="Z486" s="99"/>
    </row>
    <row r="487" spans="2:26" ht="15.95">
      <c r="B487" s="1031"/>
      <c r="C487" s="89"/>
      <c r="D487" s="90"/>
      <c r="E487" s="90"/>
      <c r="F487" s="90"/>
      <c r="G487" s="91"/>
      <c r="H487" s="91"/>
      <c r="I487" s="92"/>
      <c r="J487" s="90"/>
      <c r="K487" s="90"/>
      <c r="L487" s="93"/>
      <c r="M487" s="424"/>
      <c r="N487" s="95"/>
      <c r="O487" s="96"/>
      <c r="P487" s="525"/>
      <c r="Q487" s="96"/>
      <c r="R487" s="96"/>
      <c r="S487" s="96"/>
      <c r="T487" s="96"/>
      <c r="U487" s="97"/>
      <c r="V487" s="98"/>
      <c r="W487" s="99"/>
      <c r="X487" s="99"/>
      <c r="Y487" s="99"/>
      <c r="Z487" s="99"/>
    </row>
    <row r="488" spans="2:26" ht="15.95">
      <c r="B488" s="1031"/>
      <c r="C488" s="89"/>
      <c r="D488" s="90"/>
      <c r="E488" s="90"/>
      <c r="F488" s="90"/>
      <c r="G488" s="91"/>
      <c r="H488" s="91"/>
      <c r="I488" s="92"/>
      <c r="J488" s="90"/>
      <c r="K488" s="90"/>
      <c r="L488" s="93"/>
      <c r="M488" s="424"/>
      <c r="N488" s="95"/>
      <c r="O488" s="96"/>
      <c r="P488" s="525"/>
      <c r="Q488" s="96"/>
      <c r="R488" s="96"/>
      <c r="S488" s="96"/>
      <c r="T488" s="96"/>
      <c r="U488" s="97"/>
      <c r="V488" s="98"/>
      <c r="W488" s="99"/>
      <c r="X488" s="99"/>
      <c r="Y488" s="99"/>
      <c r="Z488" s="99"/>
    </row>
    <row r="489" spans="2:26" ht="15.95">
      <c r="B489" s="1031"/>
      <c r="C489" s="89"/>
      <c r="D489" s="90"/>
      <c r="E489" s="90"/>
      <c r="F489" s="90"/>
      <c r="G489" s="91"/>
      <c r="H489" s="91"/>
      <c r="I489" s="92"/>
      <c r="J489" s="90"/>
      <c r="K489" s="90"/>
      <c r="L489" s="93"/>
      <c r="M489" s="424"/>
      <c r="N489" s="95"/>
      <c r="O489" s="96"/>
      <c r="P489" s="525"/>
      <c r="Q489" s="96"/>
      <c r="R489" s="96"/>
      <c r="S489" s="96"/>
      <c r="T489" s="96"/>
      <c r="U489" s="97"/>
      <c r="V489" s="98"/>
      <c r="W489" s="99"/>
      <c r="X489" s="99"/>
      <c r="Y489" s="99"/>
      <c r="Z489" s="99"/>
    </row>
    <row r="490" spans="2:26" ht="15.95">
      <c r="B490" s="1031"/>
      <c r="C490" s="89"/>
      <c r="D490" s="90"/>
      <c r="E490" s="90"/>
      <c r="F490" s="90"/>
      <c r="G490" s="91"/>
      <c r="H490" s="91"/>
      <c r="I490" s="92"/>
      <c r="J490" s="90"/>
      <c r="K490" s="90"/>
      <c r="L490" s="93"/>
      <c r="M490" s="424"/>
      <c r="N490" s="95"/>
      <c r="O490" s="96"/>
      <c r="P490" s="525"/>
      <c r="Q490" s="96"/>
      <c r="R490" s="96"/>
      <c r="S490" s="96"/>
      <c r="T490" s="96"/>
      <c r="U490" s="97"/>
      <c r="V490" s="98"/>
      <c r="W490" s="99"/>
      <c r="X490" s="99"/>
      <c r="Y490" s="99"/>
      <c r="Z490" s="99"/>
    </row>
    <row r="491" spans="2:26" ht="15.95">
      <c r="B491" s="1031"/>
      <c r="C491" s="89"/>
      <c r="D491" s="90"/>
      <c r="E491" s="90"/>
      <c r="F491" s="90"/>
      <c r="G491" s="91"/>
      <c r="H491" s="91"/>
      <c r="I491" s="92"/>
      <c r="J491" s="90"/>
      <c r="K491" s="90"/>
      <c r="L491" s="93"/>
      <c r="M491" s="424"/>
      <c r="N491" s="95"/>
      <c r="O491" s="96"/>
      <c r="P491" s="525"/>
      <c r="Q491" s="96"/>
      <c r="R491" s="96"/>
      <c r="S491" s="96"/>
      <c r="T491" s="96"/>
      <c r="U491" s="97"/>
      <c r="V491" s="98"/>
      <c r="W491" s="99"/>
      <c r="X491" s="99"/>
      <c r="Y491" s="99"/>
      <c r="Z491" s="99"/>
    </row>
    <row r="492" spans="2:26" ht="15.95">
      <c r="B492" s="1031"/>
      <c r="C492" s="89"/>
      <c r="D492" s="90"/>
      <c r="E492" s="90"/>
      <c r="F492" s="90"/>
      <c r="G492" s="91"/>
      <c r="H492" s="91"/>
      <c r="I492" s="92"/>
      <c r="J492" s="90"/>
      <c r="K492" s="90"/>
      <c r="L492" s="93"/>
      <c r="M492" s="424"/>
      <c r="N492" s="95"/>
      <c r="O492" s="96"/>
      <c r="P492" s="525"/>
      <c r="Q492" s="96"/>
      <c r="R492" s="96"/>
      <c r="S492" s="96"/>
      <c r="T492" s="96"/>
      <c r="U492" s="97"/>
      <c r="V492" s="98"/>
      <c r="W492" s="99"/>
      <c r="X492" s="99"/>
      <c r="Y492" s="99"/>
      <c r="Z492" s="99"/>
    </row>
    <row r="493" spans="2:26" ht="15.95">
      <c r="B493" s="1031"/>
      <c r="C493" s="89"/>
      <c r="D493" s="90"/>
      <c r="E493" s="90"/>
      <c r="F493" s="90"/>
      <c r="G493" s="91"/>
      <c r="H493" s="91"/>
      <c r="I493" s="92"/>
      <c r="J493" s="90"/>
      <c r="K493" s="90"/>
      <c r="L493" s="93"/>
      <c r="M493" s="424"/>
      <c r="N493" s="95"/>
      <c r="O493" s="96"/>
      <c r="P493" s="525"/>
      <c r="Q493" s="96"/>
      <c r="R493" s="96"/>
      <c r="S493" s="96"/>
      <c r="T493" s="96"/>
      <c r="U493" s="97"/>
      <c r="V493" s="98"/>
      <c r="W493" s="99"/>
      <c r="X493" s="99"/>
      <c r="Y493" s="99"/>
      <c r="Z493" s="99"/>
    </row>
    <row r="494" spans="2:26" ht="15.95">
      <c r="B494" s="1031"/>
      <c r="C494" s="89"/>
      <c r="D494" s="90"/>
      <c r="E494" s="90"/>
      <c r="F494" s="90"/>
      <c r="G494" s="91"/>
      <c r="H494" s="91"/>
      <c r="I494" s="92"/>
      <c r="J494" s="90"/>
      <c r="K494" s="90"/>
      <c r="L494" s="93"/>
      <c r="M494" s="424"/>
      <c r="N494" s="95"/>
      <c r="O494" s="96"/>
      <c r="P494" s="525"/>
      <c r="Q494" s="96"/>
      <c r="R494" s="96"/>
      <c r="S494" s="96"/>
      <c r="T494" s="96"/>
      <c r="U494" s="97"/>
      <c r="V494" s="98"/>
      <c r="W494" s="99"/>
      <c r="X494" s="99"/>
      <c r="Y494" s="99"/>
      <c r="Z494" s="99"/>
    </row>
    <row r="495" spans="2:26" ht="15.95">
      <c r="B495" s="1031"/>
      <c r="C495" s="89"/>
      <c r="D495" s="90"/>
      <c r="E495" s="90"/>
      <c r="F495" s="90"/>
      <c r="G495" s="91"/>
      <c r="H495" s="91"/>
      <c r="I495" s="92"/>
      <c r="J495" s="90"/>
      <c r="K495" s="90"/>
      <c r="L495" s="93"/>
      <c r="M495" s="424"/>
      <c r="N495" s="95"/>
      <c r="O495" s="96"/>
      <c r="P495" s="525"/>
      <c r="Q495" s="96"/>
      <c r="R495" s="96"/>
      <c r="S495" s="96"/>
      <c r="T495" s="96"/>
      <c r="U495" s="97"/>
      <c r="V495" s="98"/>
      <c r="W495" s="99"/>
      <c r="X495" s="99"/>
      <c r="Y495" s="99"/>
      <c r="Z495" s="99"/>
    </row>
    <row r="496" spans="2:26" ht="15.95">
      <c r="B496" s="1031"/>
      <c r="C496" s="89"/>
      <c r="D496" s="90"/>
      <c r="E496" s="90"/>
      <c r="F496" s="90"/>
      <c r="G496" s="91"/>
      <c r="H496" s="91"/>
      <c r="I496" s="92"/>
      <c r="J496" s="90"/>
      <c r="K496" s="90"/>
      <c r="L496" s="93"/>
      <c r="M496" s="424"/>
      <c r="N496" s="95"/>
      <c r="O496" s="96"/>
      <c r="P496" s="525"/>
      <c r="Q496" s="96"/>
      <c r="R496" s="96"/>
      <c r="S496" s="96"/>
      <c r="T496" s="96"/>
      <c r="U496" s="97"/>
      <c r="V496" s="98"/>
      <c r="W496" s="99"/>
      <c r="X496" s="99"/>
      <c r="Y496" s="99"/>
      <c r="Z496" s="99"/>
    </row>
    <row r="497" spans="2:26" ht="15.95">
      <c r="B497" s="1031"/>
      <c r="C497" s="89"/>
      <c r="D497" s="90"/>
      <c r="E497" s="90"/>
      <c r="F497" s="90"/>
      <c r="G497" s="91"/>
      <c r="H497" s="91"/>
      <c r="I497" s="92"/>
      <c r="J497" s="90"/>
      <c r="K497" s="90"/>
      <c r="L497" s="93"/>
      <c r="M497" s="424"/>
      <c r="N497" s="95"/>
      <c r="O497" s="96"/>
      <c r="P497" s="525"/>
      <c r="Q497" s="96"/>
      <c r="R497" s="96"/>
      <c r="S497" s="96"/>
      <c r="T497" s="96"/>
      <c r="U497" s="97"/>
      <c r="V497" s="98"/>
      <c r="W497" s="99"/>
      <c r="X497" s="99"/>
      <c r="Y497" s="99"/>
      <c r="Z497" s="99"/>
    </row>
    <row r="498" spans="2:26" ht="15.95">
      <c r="B498" s="1031"/>
      <c r="C498" s="89"/>
      <c r="D498" s="90"/>
      <c r="E498" s="90"/>
      <c r="F498" s="90"/>
      <c r="G498" s="91"/>
      <c r="H498" s="91"/>
      <c r="I498" s="92"/>
      <c r="J498" s="90"/>
      <c r="K498" s="90"/>
      <c r="L498" s="93"/>
      <c r="M498" s="424"/>
      <c r="N498" s="95"/>
      <c r="O498" s="96"/>
      <c r="P498" s="525"/>
      <c r="Q498" s="96"/>
      <c r="R498" s="96"/>
      <c r="S498" s="96"/>
      <c r="T498" s="96"/>
      <c r="U498" s="97"/>
      <c r="V498" s="98"/>
      <c r="W498" s="99"/>
      <c r="X498" s="99"/>
      <c r="Y498" s="99"/>
      <c r="Z498" s="99"/>
    </row>
    <row r="499" spans="2:26" ht="15.95">
      <c r="B499" s="1031"/>
      <c r="C499" s="89"/>
      <c r="D499" s="90"/>
      <c r="E499" s="90"/>
      <c r="F499" s="90"/>
      <c r="G499" s="91"/>
      <c r="H499" s="91"/>
      <c r="I499" s="92"/>
      <c r="J499" s="90"/>
      <c r="K499" s="90"/>
      <c r="L499" s="93"/>
      <c r="M499" s="424"/>
      <c r="N499" s="95"/>
      <c r="O499" s="96"/>
      <c r="P499" s="525"/>
      <c r="Q499" s="96"/>
      <c r="R499" s="96"/>
      <c r="S499" s="96"/>
      <c r="T499" s="96"/>
      <c r="U499" s="97"/>
      <c r="V499" s="98"/>
      <c r="W499" s="99"/>
      <c r="X499" s="99"/>
      <c r="Y499" s="99"/>
      <c r="Z499" s="99"/>
    </row>
    <row r="500" spans="2:26" ht="15.95">
      <c r="B500" s="1031"/>
      <c r="C500" s="89"/>
      <c r="D500" s="90"/>
      <c r="E500" s="90"/>
      <c r="F500" s="90"/>
      <c r="G500" s="91"/>
      <c r="H500" s="91"/>
      <c r="I500" s="92"/>
      <c r="J500" s="90"/>
      <c r="K500" s="90"/>
      <c r="L500" s="93"/>
      <c r="M500" s="424"/>
      <c r="N500" s="95"/>
      <c r="O500" s="96"/>
      <c r="P500" s="525"/>
      <c r="Q500" s="96"/>
      <c r="R500" s="96"/>
      <c r="S500" s="96"/>
      <c r="T500" s="96"/>
      <c r="U500" s="97"/>
      <c r="V500" s="98"/>
      <c r="W500" s="99"/>
      <c r="X500" s="99"/>
      <c r="Y500" s="99"/>
      <c r="Z500" s="99"/>
    </row>
    <row r="501" spans="2:26" ht="15.95">
      <c r="B501" s="1031"/>
      <c r="C501" s="89"/>
      <c r="D501" s="90"/>
      <c r="E501" s="90"/>
      <c r="F501" s="90"/>
      <c r="G501" s="91"/>
      <c r="H501" s="91"/>
      <c r="I501" s="92"/>
      <c r="J501" s="90"/>
      <c r="K501" s="90"/>
      <c r="L501" s="93"/>
      <c r="M501" s="424"/>
      <c r="N501" s="95"/>
      <c r="O501" s="96"/>
      <c r="P501" s="525"/>
      <c r="Q501" s="96"/>
      <c r="R501" s="96"/>
      <c r="S501" s="96"/>
      <c r="T501" s="96"/>
      <c r="U501" s="97"/>
      <c r="V501" s="98"/>
      <c r="W501" s="99"/>
      <c r="X501" s="99"/>
      <c r="Y501" s="99"/>
      <c r="Z501" s="99"/>
    </row>
    <row r="502" spans="2:26" ht="15.95">
      <c r="B502" s="1031"/>
      <c r="C502" s="89"/>
      <c r="D502" s="90"/>
      <c r="E502" s="90"/>
      <c r="F502" s="90"/>
      <c r="G502" s="91"/>
      <c r="H502" s="91"/>
      <c r="I502" s="92"/>
      <c r="J502" s="90"/>
      <c r="K502" s="90"/>
      <c r="L502" s="93"/>
      <c r="M502" s="424"/>
      <c r="N502" s="95"/>
      <c r="O502" s="96"/>
      <c r="P502" s="525"/>
      <c r="Q502" s="96"/>
      <c r="R502" s="96"/>
      <c r="S502" s="96"/>
      <c r="T502" s="96"/>
      <c r="U502" s="97"/>
      <c r="V502" s="98"/>
      <c r="W502" s="99"/>
      <c r="X502" s="99"/>
      <c r="Y502" s="99"/>
      <c r="Z502" s="99"/>
    </row>
    <row r="503" spans="2:26" ht="15.95">
      <c r="B503" s="1031"/>
      <c r="C503" s="89"/>
      <c r="D503" s="90"/>
      <c r="E503" s="90"/>
      <c r="F503" s="90"/>
      <c r="G503" s="91"/>
      <c r="H503" s="91"/>
      <c r="I503" s="92"/>
      <c r="J503" s="90"/>
      <c r="K503" s="90"/>
      <c r="L503" s="93"/>
      <c r="M503" s="424"/>
      <c r="N503" s="95"/>
      <c r="O503" s="96"/>
      <c r="P503" s="525"/>
      <c r="Q503" s="96"/>
      <c r="R503" s="96"/>
      <c r="S503" s="96"/>
      <c r="T503" s="96"/>
      <c r="U503" s="97"/>
      <c r="V503" s="98"/>
      <c r="W503" s="99"/>
      <c r="X503" s="99"/>
      <c r="Y503" s="99"/>
      <c r="Z503" s="99"/>
    </row>
    <row r="504" spans="2:26" ht="15.95">
      <c r="B504" s="1031"/>
      <c r="C504" s="89"/>
      <c r="D504" s="90"/>
      <c r="E504" s="90"/>
      <c r="F504" s="90"/>
      <c r="G504" s="91"/>
      <c r="H504" s="91"/>
      <c r="I504" s="92"/>
      <c r="J504" s="90"/>
      <c r="K504" s="90"/>
      <c r="L504" s="93"/>
      <c r="M504" s="424"/>
      <c r="N504" s="95"/>
      <c r="O504" s="96"/>
      <c r="P504" s="525"/>
      <c r="Q504" s="96"/>
      <c r="R504" s="96"/>
      <c r="S504" s="96"/>
      <c r="T504" s="96"/>
      <c r="U504" s="97"/>
      <c r="V504" s="98"/>
      <c r="W504" s="99"/>
      <c r="X504" s="99"/>
      <c r="Y504" s="99"/>
      <c r="Z504" s="99"/>
    </row>
    <row r="505" spans="2:26" ht="15.95">
      <c r="B505" s="1031"/>
      <c r="C505" s="89"/>
      <c r="D505" s="90"/>
      <c r="E505" s="90"/>
      <c r="F505" s="90"/>
      <c r="G505" s="91"/>
      <c r="H505" s="91"/>
      <c r="I505" s="92"/>
      <c r="J505" s="90"/>
      <c r="K505" s="90"/>
      <c r="L505" s="93"/>
      <c r="M505" s="424"/>
      <c r="N505" s="95"/>
      <c r="O505" s="96"/>
      <c r="P505" s="525"/>
      <c r="Q505" s="96"/>
      <c r="R505" s="96"/>
      <c r="S505" s="96"/>
      <c r="T505" s="96"/>
      <c r="U505" s="97"/>
      <c r="V505" s="98"/>
      <c r="W505" s="99"/>
      <c r="X505" s="99"/>
      <c r="Y505" s="99"/>
      <c r="Z505" s="99"/>
    </row>
    <row r="506" spans="2:26" ht="15.95">
      <c r="B506" s="1031"/>
      <c r="C506" s="89"/>
      <c r="D506" s="90"/>
      <c r="E506" s="90"/>
      <c r="F506" s="90"/>
      <c r="G506" s="91"/>
      <c r="H506" s="91"/>
      <c r="I506" s="92"/>
      <c r="J506" s="90"/>
      <c r="K506" s="90"/>
      <c r="L506" s="93"/>
      <c r="M506" s="424"/>
      <c r="N506" s="95"/>
      <c r="O506" s="96"/>
      <c r="P506" s="525"/>
      <c r="Q506" s="96"/>
      <c r="R506" s="96"/>
      <c r="S506" s="96"/>
      <c r="T506" s="96"/>
      <c r="U506" s="97"/>
      <c r="V506" s="98"/>
      <c r="W506" s="99"/>
      <c r="X506" s="99"/>
      <c r="Y506" s="99"/>
      <c r="Z506" s="99"/>
    </row>
    <row r="507" spans="2:26" ht="15.95">
      <c r="B507" s="1031"/>
      <c r="C507" s="89"/>
      <c r="D507" s="90"/>
      <c r="E507" s="90"/>
      <c r="F507" s="90"/>
      <c r="G507" s="91"/>
      <c r="H507" s="91"/>
      <c r="I507" s="92"/>
      <c r="J507" s="90"/>
      <c r="K507" s="90"/>
      <c r="L507" s="93"/>
      <c r="M507" s="424"/>
      <c r="N507" s="95"/>
      <c r="O507" s="96"/>
      <c r="P507" s="525"/>
      <c r="Q507" s="96"/>
      <c r="R507" s="96"/>
      <c r="S507" s="96"/>
      <c r="T507" s="96"/>
      <c r="U507" s="97"/>
      <c r="V507" s="98"/>
      <c r="W507" s="99"/>
      <c r="X507" s="99"/>
      <c r="Y507" s="99"/>
      <c r="Z507" s="99"/>
    </row>
    <row r="508" spans="2:26" ht="15.95">
      <c r="B508" s="1031"/>
      <c r="C508" s="89"/>
      <c r="D508" s="90"/>
      <c r="E508" s="90"/>
      <c r="F508" s="90"/>
      <c r="G508" s="91"/>
      <c r="H508" s="91"/>
      <c r="I508" s="92"/>
      <c r="J508" s="90"/>
      <c r="K508" s="90"/>
      <c r="L508" s="93"/>
      <c r="M508" s="424"/>
      <c r="N508" s="95"/>
      <c r="O508" s="96"/>
      <c r="P508" s="525"/>
      <c r="Q508" s="96"/>
      <c r="R508" s="96"/>
      <c r="S508" s="96"/>
      <c r="T508" s="96"/>
      <c r="U508" s="97"/>
      <c r="V508" s="98"/>
      <c r="W508" s="99"/>
      <c r="X508" s="99"/>
      <c r="Y508" s="99"/>
      <c r="Z508" s="99"/>
    </row>
    <row r="509" spans="2:26" ht="15.95">
      <c r="B509" s="1031"/>
      <c r="C509" s="89"/>
      <c r="D509" s="90"/>
      <c r="E509" s="90"/>
      <c r="F509" s="90"/>
      <c r="G509" s="91"/>
      <c r="H509" s="91"/>
      <c r="I509" s="92"/>
      <c r="J509" s="90"/>
      <c r="K509" s="90"/>
      <c r="L509" s="93"/>
      <c r="M509" s="424"/>
      <c r="N509" s="95"/>
      <c r="O509" s="96"/>
      <c r="P509" s="525"/>
      <c r="Q509" s="96"/>
      <c r="R509" s="96"/>
      <c r="S509" s="96"/>
      <c r="T509" s="96"/>
      <c r="U509" s="97"/>
      <c r="V509" s="98"/>
      <c r="W509" s="99"/>
      <c r="X509" s="99"/>
      <c r="Y509" s="99"/>
      <c r="Z509" s="99"/>
    </row>
    <row r="510" spans="2:26" ht="15.95">
      <c r="B510" s="1031"/>
      <c r="C510" s="89"/>
      <c r="D510" s="90"/>
      <c r="E510" s="90"/>
      <c r="F510" s="90"/>
      <c r="G510" s="91"/>
      <c r="H510" s="91"/>
      <c r="I510" s="92"/>
      <c r="J510" s="90"/>
      <c r="K510" s="90"/>
      <c r="L510" s="93"/>
      <c r="M510" s="424"/>
      <c r="N510" s="95"/>
      <c r="O510" s="96"/>
      <c r="P510" s="525"/>
      <c r="Q510" s="96"/>
      <c r="R510" s="96"/>
      <c r="S510" s="96"/>
      <c r="T510" s="96"/>
      <c r="U510" s="97"/>
      <c r="V510" s="98"/>
      <c r="W510" s="99"/>
      <c r="X510" s="99"/>
      <c r="Y510" s="99"/>
      <c r="Z510" s="99"/>
    </row>
    <row r="511" spans="2:26" ht="15.95">
      <c r="B511" s="1031"/>
      <c r="C511" s="89"/>
      <c r="D511" s="90"/>
      <c r="E511" s="90"/>
      <c r="F511" s="90"/>
      <c r="G511" s="91"/>
      <c r="H511" s="91"/>
      <c r="I511" s="92"/>
      <c r="J511" s="90"/>
      <c r="K511" s="90"/>
      <c r="L511" s="93"/>
      <c r="M511" s="424"/>
      <c r="N511" s="95"/>
      <c r="O511" s="96"/>
      <c r="P511" s="525"/>
      <c r="Q511" s="96"/>
      <c r="R511" s="96"/>
      <c r="S511" s="96"/>
      <c r="T511" s="96"/>
      <c r="U511" s="97"/>
      <c r="V511" s="98"/>
      <c r="W511" s="99"/>
      <c r="X511" s="99"/>
      <c r="Y511" s="99"/>
      <c r="Z511" s="99"/>
    </row>
    <row r="512" spans="2:26" ht="15.95">
      <c r="B512" s="1031"/>
      <c r="C512" s="89"/>
      <c r="D512" s="90"/>
      <c r="E512" s="90"/>
      <c r="F512" s="90"/>
      <c r="G512" s="91"/>
      <c r="H512" s="91"/>
      <c r="I512" s="92"/>
      <c r="J512" s="90"/>
      <c r="K512" s="90"/>
      <c r="L512" s="93"/>
      <c r="M512" s="424"/>
      <c r="N512" s="95"/>
      <c r="O512" s="96"/>
      <c r="P512" s="525"/>
      <c r="Q512" s="96"/>
      <c r="R512" s="96"/>
      <c r="S512" s="96"/>
      <c r="T512" s="96"/>
      <c r="U512" s="97"/>
      <c r="V512" s="98"/>
      <c r="W512" s="99"/>
      <c r="X512" s="99"/>
      <c r="Y512" s="99"/>
      <c r="Z512" s="99"/>
    </row>
    <row r="513" spans="2:26" ht="15.95">
      <c r="B513" s="1031"/>
      <c r="C513" s="89"/>
      <c r="D513" s="90"/>
      <c r="E513" s="90"/>
      <c r="F513" s="90"/>
      <c r="G513" s="91"/>
      <c r="H513" s="91"/>
      <c r="I513" s="92"/>
      <c r="J513" s="90"/>
      <c r="K513" s="90"/>
      <c r="L513" s="93"/>
      <c r="M513" s="424"/>
      <c r="N513" s="95"/>
      <c r="O513" s="96"/>
      <c r="P513" s="525"/>
      <c r="Q513" s="96"/>
      <c r="R513" s="96"/>
      <c r="S513" s="96"/>
      <c r="T513" s="96"/>
      <c r="U513" s="97"/>
      <c r="V513" s="98"/>
      <c r="W513" s="99"/>
      <c r="X513" s="99"/>
      <c r="Y513" s="99"/>
      <c r="Z513" s="99"/>
    </row>
    <row r="514" spans="2:26" ht="15.95">
      <c r="B514" s="1031"/>
      <c r="C514" s="89"/>
      <c r="D514" s="90"/>
      <c r="E514" s="90"/>
      <c r="F514" s="90"/>
      <c r="G514" s="91"/>
      <c r="H514" s="91"/>
      <c r="I514" s="92"/>
      <c r="J514" s="90"/>
      <c r="K514" s="90"/>
      <c r="L514" s="93"/>
      <c r="M514" s="424"/>
      <c r="N514" s="95"/>
      <c r="O514" s="96"/>
      <c r="P514" s="525"/>
      <c r="Q514" s="96"/>
      <c r="R514" s="96"/>
      <c r="S514" s="96"/>
      <c r="T514" s="96"/>
      <c r="U514" s="97"/>
      <c r="V514" s="98"/>
      <c r="W514" s="99"/>
      <c r="X514" s="99"/>
      <c r="Y514" s="99"/>
      <c r="Z514" s="99"/>
    </row>
    <row r="515" spans="2:26" ht="15.95">
      <c r="B515" s="1031"/>
      <c r="C515" s="89"/>
      <c r="D515" s="90"/>
      <c r="E515" s="90"/>
      <c r="F515" s="90"/>
      <c r="G515" s="91"/>
      <c r="H515" s="91"/>
      <c r="I515" s="92"/>
      <c r="J515" s="90"/>
      <c r="K515" s="90"/>
      <c r="L515" s="93"/>
      <c r="M515" s="424"/>
      <c r="N515" s="95"/>
      <c r="O515" s="96"/>
      <c r="P515" s="525"/>
      <c r="Q515" s="96"/>
      <c r="R515" s="96"/>
      <c r="S515" s="96"/>
      <c r="T515" s="96"/>
      <c r="U515" s="97"/>
      <c r="V515" s="98"/>
      <c r="W515" s="99"/>
      <c r="X515" s="99"/>
      <c r="Y515" s="99"/>
      <c r="Z515" s="99"/>
    </row>
    <row r="516" spans="2:26" ht="15.95">
      <c r="B516" s="1031"/>
      <c r="C516" s="89"/>
      <c r="D516" s="90"/>
      <c r="E516" s="90"/>
      <c r="F516" s="90"/>
      <c r="G516" s="91"/>
      <c r="H516" s="91"/>
      <c r="I516" s="92"/>
      <c r="J516" s="90"/>
      <c r="K516" s="90"/>
      <c r="L516" s="93"/>
      <c r="M516" s="424"/>
      <c r="N516" s="95"/>
      <c r="O516" s="96"/>
      <c r="P516" s="525"/>
      <c r="Q516" s="96"/>
      <c r="R516" s="96"/>
      <c r="S516" s="96"/>
      <c r="T516" s="96"/>
      <c r="U516" s="97"/>
      <c r="V516" s="98"/>
      <c r="W516" s="99"/>
      <c r="X516" s="99"/>
      <c r="Y516" s="99"/>
      <c r="Z516" s="99"/>
    </row>
    <row r="517" spans="2:26" ht="15.95">
      <c r="B517" s="1031"/>
      <c r="C517" s="89"/>
      <c r="D517" s="90"/>
      <c r="E517" s="90"/>
      <c r="F517" s="90"/>
      <c r="G517" s="91"/>
      <c r="H517" s="91"/>
      <c r="I517" s="92"/>
      <c r="J517" s="90"/>
      <c r="K517" s="90"/>
      <c r="L517" s="93"/>
      <c r="M517" s="424"/>
      <c r="N517" s="95"/>
      <c r="O517" s="96"/>
      <c r="P517" s="525"/>
      <c r="Q517" s="96"/>
      <c r="R517" s="96"/>
      <c r="S517" s="96"/>
      <c r="T517" s="96"/>
      <c r="U517" s="97"/>
      <c r="V517" s="98"/>
      <c r="W517" s="99"/>
      <c r="X517" s="99"/>
      <c r="Y517" s="99"/>
      <c r="Z517" s="99"/>
    </row>
    <row r="518" spans="2:26" ht="15.95">
      <c r="B518" s="1031"/>
      <c r="C518" s="89"/>
      <c r="D518" s="90"/>
      <c r="E518" s="90"/>
      <c r="F518" s="90"/>
      <c r="G518" s="91"/>
      <c r="H518" s="91"/>
      <c r="I518" s="92"/>
      <c r="J518" s="90"/>
      <c r="K518" s="90"/>
      <c r="L518" s="93"/>
      <c r="M518" s="424"/>
      <c r="N518" s="95"/>
      <c r="O518" s="96"/>
      <c r="P518" s="525"/>
      <c r="Q518" s="96"/>
      <c r="R518" s="96"/>
      <c r="S518" s="96"/>
      <c r="T518" s="96"/>
      <c r="U518" s="97"/>
      <c r="V518" s="98"/>
      <c r="W518" s="99"/>
      <c r="X518" s="99"/>
      <c r="Y518" s="99"/>
      <c r="Z518" s="99"/>
    </row>
    <row r="519" spans="2:26" ht="15.95">
      <c r="B519" s="1031"/>
      <c r="C519" s="89"/>
      <c r="D519" s="90"/>
      <c r="E519" s="90"/>
      <c r="F519" s="90"/>
      <c r="G519" s="91"/>
      <c r="H519" s="91"/>
      <c r="I519" s="92"/>
      <c r="J519" s="90"/>
      <c r="K519" s="90"/>
      <c r="L519" s="93"/>
      <c r="M519" s="424"/>
      <c r="N519" s="95"/>
      <c r="O519" s="96"/>
      <c r="P519" s="525"/>
      <c r="Q519" s="96"/>
      <c r="R519" s="96"/>
      <c r="S519" s="96"/>
      <c r="T519" s="96"/>
      <c r="U519" s="97"/>
      <c r="V519" s="98"/>
      <c r="W519" s="99"/>
      <c r="X519" s="99"/>
      <c r="Y519" s="99"/>
      <c r="Z519" s="99"/>
    </row>
    <row r="520" spans="2:26" ht="15.95">
      <c r="B520" s="1031"/>
      <c r="C520" s="89"/>
      <c r="D520" s="90"/>
      <c r="E520" s="90"/>
      <c r="F520" s="90"/>
      <c r="G520" s="91"/>
      <c r="H520" s="91"/>
      <c r="I520" s="92"/>
      <c r="J520" s="90"/>
      <c r="K520" s="90"/>
      <c r="L520" s="93"/>
      <c r="M520" s="424"/>
      <c r="N520" s="95"/>
      <c r="O520" s="96"/>
      <c r="P520" s="525"/>
      <c r="Q520" s="96"/>
      <c r="R520" s="96"/>
      <c r="S520" s="96"/>
      <c r="T520" s="96"/>
      <c r="U520" s="97"/>
      <c r="V520" s="98"/>
      <c r="W520" s="99"/>
      <c r="X520" s="99"/>
      <c r="Y520" s="99"/>
      <c r="Z520" s="99"/>
    </row>
    <row r="521" spans="2:26" ht="15.95">
      <c r="B521" s="1031"/>
      <c r="C521" s="89"/>
      <c r="D521" s="90"/>
      <c r="E521" s="90"/>
      <c r="F521" s="90"/>
      <c r="G521" s="91"/>
      <c r="H521" s="91"/>
      <c r="I521" s="92"/>
      <c r="J521" s="90"/>
      <c r="K521" s="90"/>
      <c r="L521" s="93"/>
      <c r="M521" s="424"/>
      <c r="N521" s="95"/>
      <c r="O521" s="96"/>
      <c r="P521" s="525"/>
      <c r="Q521" s="96"/>
      <c r="R521" s="96"/>
      <c r="S521" s="96"/>
      <c r="T521" s="96"/>
      <c r="U521" s="97"/>
      <c r="V521" s="98"/>
      <c r="W521" s="99"/>
      <c r="X521" s="99"/>
      <c r="Y521" s="99"/>
      <c r="Z521" s="99"/>
    </row>
    <row r="522" spans="2:26" ht="15.95">
      <c r="B522" s="1031"/>
      <c r="C522" s="89"/>
      <c r="D522" s="90"/>
      <c r="E522" s="90"/>
      <c r="F522" s="90"/>
      <c r="G522" s="91"/>
      <c r="H522" s="91"/>
      <c r="I522" s="92"/>
      <c r="J522" s="90"/>
      <c r="K522" s="90"/>
      <c r="L522" s="93"/>
      <c r="M522" s="424"/>
      <c r="N522" s="95"/>
      <c r="O522" s="96"/>
      <c r="P522" s="525"/>
      <c r="Q522" s="96"/>
      <c r="R522" s="96"/>
      <c r="S522" s="96"/>
      <c r="T522" s="96"/>
      <c r="U522" s="97"/>
      <c r="V522" s="98"/>
      <c r="W522" s="99"/>
      <c r="X522" s="99"/>
      <c r="Y522" s="99"/>
      <c r="Z522" s="99"/>
    </row>
    <row r="523" spans="2:26" ht="15.95">
      <c r="B523" s="1031"/>
      <c r="C523" s="89"/>
      <c r="D523" s="90"/>
      <c r="E523" s="90"/>
      <c r="F523" s="90"/>
      <c r="G523" s="91"/>
      <c r="H523" s="91"/>
      <c r="I523" s="92"/>
      <c r="J523" s="90"/>
      <c r="K523" s="90"/>
      <c r="L523" s="93"/>
      <c r="M523" s="424"/>
      <c r="N523" s="95"/>
      <c r="O523" s="96"/>
      <c r="P523" s="525"/>
      <c r="Q523" s="96"/>
      <c r="R523" s="96"/>
      <c r="S523" s="96"/>
      <c r="T523" s="96"/>
      <c r="U523" s="97"/>
      <c r="V523" s="98"/>
      <c r="W523" s="99"/>
      <c r="X523" s="99"/>
      <c r="Y523" s="99"/>
      <c r="Z523" s="99"/>
    </row>
    <row r="524" spans="2:26" ht="15.95">
      <c r="B524" s="1031"/>
      <c r="C524" s="89"/>
      <c r="D524" s="90"/>
      <c r="E524" s="90"/>
      <c r="F524" s="90"/>
      <c r="G524" s="91"/>
      <c r="H524" s="91"/>
      <c r="I524" s="92"/>
      <c r="J524" s="90"/>
      <c r="K524" s="90"/>
      <c r="L524" s="93"/>
      <c r="M524" s="424"/>
      <c r="N524" s="95"/>
      <c r="O524" s="96"/>
      <c r="P524" s="525"/>
      <c r="Q524" s="96"/>
      <c r="R524" s="96"/>
      <c r="S524" s="96"/>
      <c r="T524" s="96"/>
      <c r="U524" s="97"/>
      <c r="V524" s="98"/>
      <c r="W524" s="99"/>
      <c r="X524" s="99"/>
      <c r="Y524" s="99"/>
      <c r="Z524" s="99"/>
    </row>
    <row r="525" spans="2:26" ht="15.95">
      <c r="B525" s="1031"/>
      <c r="C525" s="89"/>
      <c r="D525" s="90"/>
      <c r="E525" s="90"/>
      <c r="F525" s="90"/>
      <c r="G525" s="91"/>
      <c r="H525" s="91"/>
      <c r="I525" s="92"/>
      <c r="J525" s="90"/>
      <c r="K525" s="90"/>
      <c r="L525" s="93"/>
      <c r="M525" s="424"/>
      <c r="N525" s="95"/>
      <c r="O525" s="96"/>
      <c r="P525" s="525"/>
      <c r="Q525" s="96"/>
      <c r="R525" s="96"/>
      <c r="S525" s="96"/>
      <c r="T525" s="96"/>
      <c r="U525" s="97"/>
      <c r="V525" s="98"/>
      <c r="W525" s="99"/>
      <c r="X525" s="99"/>
      <c r="Y525" s="99"/>
      <c r="Z525" s="99"/>
    </row>
    <row r="526" spans="2:26" ht="15.95">
      <c r="B526" s="1031"/>
      <c r="C526" s="89"/>
      <c r="D526" s="90"/>
      <c r="E526" s="90"/>
      <c r="F526" s="90"/>
      <c r="G526" s="91"/>
      <c r="H526" s="91"/>
      <c r="I526" s="92"/>
      <c r="J526" s="90"/>
      <c r="K526" s="90"/>
      <c r="L526" s="93"/>
      <c r="M526" s="424"/>
      <c r="N526" s="95"/>
      <c r="O526" s="96"/>
      <c r="P526" s="525"/>
      <c r="Q526" s="96"/>
      <c r="R526" s="96"/>
      <c r="S526" s="96"/>
      <c r="T526" s="96"/>
      <c r="U526" s="97"/>
      <c r="V526" s="98"/>
      <c r="W526" s="99"/>
      <c r="X526" s="99"/>
      <c r="Y526" s="99"/>
      <c r="Z526" s="99"/>
    </row>
    <row r="527" spans="2:26" ht="15.95">
      <c r="B527" s="1031"/>
      <c r="C527" s="89"/>
      <c r="D527" s="90"/>
      <c r="E527" s="90"/>
      <c r="F527" s="90"/>
      <c r="G527" s="91"/>
      <c r="H527" s="91"/>
      <c r="I527" s="92"/>
      <c r="J527" s="90"/>
      <c r="K527" s="90"/>
      <c r="L527" s="93"/>
      <c r="M527" s="424"/>
      <c r="N527" s="95"/>
      <c r="O527" s="96"/>
      <c r="P527" s="525"/>
      <c r="Q527" s="96"/>
      <c r="R527" s="96"/>
      <c r="S527" s="96"/>
      <c r="T527" s="96"/>
      <c r="U527" s="97"/>
      <c r="V527" s="98"/>
      <c r="W527" s="99"/>
      <c r="X527" s="99"/>
      <c r="Y527" s="99"/>
      <c r="Z527" s="99"/>
    </row>
    <row r="528" spans="2:26" ht="15.95">
      <c r="B528" s="1031"/>
      <c r="C528" s="89"/>
      <c r="D528" s="90"/>
      <c r="E528" s="90"/>
      <c r="F528" s="90"/>
      <c r="G528" s="91"/>
      <c r="H528" s="91"/>
      <c r="I528" s="92"/>
      <c r="J528" s="90"/>
      <c r="K528" s="90"/>
      <c r="L528" s="93"/>
      <c r="M528" s="424"/>
      <c r="N528" s="95"/>
      <c r="O528" s="96"/>
      <c r="P528" s="525"/>
      <c r="Q528" s="96"/>
      <c r="R528" s="96"/>
      <c r="S528" s="96"/>
      <c r="T528" s="96"/>
      <c r="U528" s="97"/>
      <c r="V528" s="98"/>
      <c r="W528" s="99"/>
      <c r="X528" s="99"/>
      <c r="Y528" s="99"/>
      <c r="Z528" s="99"/>
    </row>
    <row r="529" spans="2:26" ht="15.95">
      <c r="B529" s="1031"/>
      <c r="C529" s="89"/>
      <c r="D529" s="90"/>
      <c r="E529" s="90"/>
      <c r="F529" s="90"/>
      <c r="G529" s="91"/>
      <c r="H529" s="91"/>
      <c r="I529" s="92"/>
      <c r="J529" s="90"/>
      <c r="K529" s="90"/>
      <c r="L529" s="93"/>
      <c r="M529" s="424"/>
      <c r="N529" s="95"/>
      <c r="O529" s="96"/>
      <c r="P529" s="525"/>
      <c r="Q529" s="96"/>
      <c r="R529" s="96"/>
      <c r="S529" s="96"/>
      <c r="T529" s="96"/>
      <c r="U529" s="97"/>
      <c r="V529" s="98"/>
      <c r="W529" s="99"/>
      <c r="X529" s="99"/>
      <c r="Y529" s="99"/>
      <c r="Z529" s="99"/>
    </row>
    <row r="530" spans="2:26" ht="15.95">
      <c r="B530" s="1031"/>
      <c r="C530" s="89"/>
      <c r="D530" s="90"/>
      <c r="E530" s="90"/>
      <c r="F530" s="90"/>
      <c r="G530" s="91"/>
      <c r="H530" s="91"/>
      <c r="I530" s="92"/>
      <c r="J530" s="90"/>
      <c r="K530" s="90"/>
      <c r="L530" s="93"/>
      <c r="M530" s="424"/>
      <c r="N530" s="95"/>
      <c r="O530" s="96"/>
      <c r="P530" s="525"/>
      <c r="Q530" s="96"/>
      <c r="R530" s="96"/>
      <c r="S530" s="96"/>
      <c r="T530" s="96"/>
      <c r="U530" s="97"/>
      <c r="V530" s="98"/>
      <c r="W530" s="99"/>
      <c r="X530" s="99"/>
      <c r="Y530" s="99"/>
      <c r="Z530" s="99"/>
    </row>
    <row r="531" spans="2:26" ht="15.95">
      <c r="B531" s="1031"/>
      <c r="C531" s="89"/>
      <c r="D531" s="90"/>
      <c r="E531" s="90"/>
      <c r="F531" s="90"/>
      <c r="G531" s="91"/>
      <c r="H531" s="91"/>
      <c r="I531" s="92"/>
      <c r="J531" s="90"/>
      <c r="K531" s="90"/>
      <c r="L531" s="93"/>
      <c r="M531" s="424"/>
      <c r="N531" s="95"/>
      <c r="O531" s="96"/>
      <c r="P531" s="525"/>
      <c r="Q531" s="96"/>
      <c r="R531" s="96"/>
      <c r="S531" s="96"/>
      <c r="T531" s="96"/>
      <c r="U531" s="97"/>
      <c r="V531" s="98"/>
      <c r="W531" s="99"/>
      <c r="X531" s="99"/>
      <c r="Y531" s="99"/>
      <c r="Z531" s="99"/>
    </row>
    <row r="532" spans="2:26" ht="15.95">
      <c r="B532" s="1031"/>
      <c r="C532" s="89"/>
      <c r="D532" s="90"/>
      <c r="E532" s="90"/>
      <c r="F532" s="90"/>
      <c r="G532" s="91"/>
      <c r="H532" s="91"/>
      <c r="I532" s="92"/>
      <c r="J532" s="90"/>
      <c r="K532" s="90"/>
      <c r="L532" s="93"/>
      <c r="M532" s="424"/>
      <c r="N532" s="95"/>
      <c r="O532" s="96"/>
      <c r="P532" s="525"/>
      <c r="Q532" s="96"/>
      <c r="R532" s="96"/>
      <c r="S532" s="96"/>
      <c r="T532" s="96"/>
      <c r="U532" s="97"/>
      <c r="V532" s="98"/>
      <c r="W532" s="99"/>
      <c r="X532" s="99"/>
      <c r="Y532" s="99"/>
      <c r="Z532" s="99"/>
    </row>
    <row r="533" spans="2:26" ht="15.95">
      <c r="B533" s="1031"/>
      <c r="C533" s="89"/>
      <c r="D533" s="90"/>
      <c r="E533" s="90"/>
      <c r="F533" s="90"/>
      <c r="G533" s="91"/>
      <c r="H533" s="91"/>
      <c r="I533" s="92"/>
      <c r="J533" s="90"/>
      <c r="K533" s="90"/>
      <c r="L533" s="93"/>
      <c r="M533" s="424"/>
      <c r="N533" s="95"/>
      <c r="O533" s="96"/>
      <c r="P533" s="525"/>
      <c r="Q533" s="96"/>
      <c r="R533" s="96"/>
      <c r="S533" s="96"/>
      <c r="T533" s="96"/>
      <c r="U533" s="97"/>
      <c r="V533" s="98"/>
      <c r="W533" s="99"/>
      <c r="X533" s="99"/>
      <c r="Y533" s="99"/>
      <c r="Z533" s="99"/>
    </row>
    <row r="534" spans="2:26" ht="15.95">
      <c r="B534" s="1031"/>
      <c r="C534" s="89"/>
      <c r="D534" s="90"/>
      <c r="E534" s="90"/>
      <c r="F534" s="90"/>
      <c r="G534" s="91"/>
      <c r="H534" s="91"/>
      <c r="I534" s="92"/>
      <c r="J534" s="90"/>
      <c r="K534" s="90"/>
      <c r="L534" s="93"/>
      <c r="M534" s="424"/>
      <c r="N534" s="95"/>
      <c r="O534" s="96"/>
      <c r="P534" s="525"/>
      <c r="Q534" s="96"/>
      <c r="R534" s="96"/>
      <c r="S534" s="96"/>
      <c r="T534" s="96"/>
      <c r="U534" s="97"/>
      <c r="V534" s="98"/>
      <c r="W534" s="99"/>
      <c r="X534" s="99"/>
      <c r="Y534" s="99"/>
      <c r="Z534" s="99"/>
    </row>
    <row r="535" spans="2:26" ht="15.95">
      <c r="B535" s="1031"/>
      <c r="C535" s="89"/>
      <c r="D535" s="90"/>
      <c r="E535" s="90"/>
      <c r="F535" s="90"/>
      <c r="G535" s="91"/>
      <c r="H535" s="91"/>
      <c r="I535" s="92"/>
      <c r="J535" s="90"/>
      <c r="K535" s="90"/>
      <c r="L535" s="93"/>
      <c r="M535" s="424"/>
      <c r="N535" s="95"/>
      <c r="O535" s="96"/>
      <c r="P535" s="525"/>
      <c r="Q535" s="96"/>
      <c r="R535" s="96"/>
      <c r="S535" s="96"/>
      <c r="T535" s="96"/>
      <c r="U535" s="97"/>
      <c r="V535" s="98"/>
      <c r="W535" s="99"/>
      <c r="X535" s="99"/>
      <c r="Y535" s="99"/>
      <c r="Z535" s="99"/>
    </row>
    <row r="536" spans="2:26" ht="15.95">
      <c r="B536" s="1031"/>
      <c r="C536" s="89"/>
      <c r="D536" s="90"/>
      <c r="E536" s="90"/>
      <c r="F536" s="90"/>
      <c r="G536" s="91"/>
      <c r="H536" s="91"/>
      <c r="I536" s="92"/>
      <c r="J536" s="90"/>
      <c r="K536" s="90"/>
      <c r="L536" s="93"/>
      <c r="M536" s="424"/>
      <c r="N536" s="95"/>
      <c r="O536" s="96"/>
      <c r="P536" s="525"/>
      <c r="Q536" s="96"/>
      <c r="R536" s="96"/>
      <c r="S536" s="96"/>
      <c r="T536" s="96"/>
      <c r="U536" s="97"/>
      <c r="V536" s="98"/>
      <c r="W536" s="99"/>
      <c r="X536" s="99"/>
      <c r="Y536" s="99"/>
      <c r="Z536" s="99"/>
    </row>
    <row r="537" spans="2:26" ht="15.95">
      <c r="B537" s="1031"/>
      <c r="C537" s="89"/>
      <c r="D537" s="90"/>
      <c r="E537" s="90"/>
      <c r="F537" s="90"/>
      <c r="G537" s="91"/>
      <c r="H537" s="91"/>
      <c r="I537" s="92"/>
      <c r="J537" s="90"/>
      <c r="K537" s="90"/>
      <c r="L537" s="93"/>
      <c r="M537" s="424"/>
      <c r="N537" s="95"/>
      <c r="O537" s="96"/>
      <c r="P537" s="525"/>
      <c r="Q537" s="96"/>
      <c r="R537" s="96"/>
      <c r="S537" s="96"/>
      <c r="T537" s="96"/>
      <c r="U537" s="97"/>
      <c r="V537" s="98"/>
      <c r="W537" s="99"/>
      <c r="X537" s="99"/>
      <c r="Y537" s="99"/>
      <c r="Z537" s="99"/>
    </row>
    <row r="538" spans="2:26" ht="15.95">
      <c r="B538" s="1031"/>
      <c r="C538" s="89"/>
      <c r="D538" s="90"/>
      <c r="E538" s="90"/>
      <c r="F538" s="90"/>
      <c r="G538" s="91"/>
      <c r="H538" s="91"/>
      <c r="I538" s="92"/>
      <c r="J538" s="90"/>
      <c r="K538" s="90"/>
      <c r="L538" s="93"/>
      <c r="M538" s="424"/>
      <c r="N538" s="95"/>
      <c r="O538" s="96"/>
      <c r="P538" s="525"/>
      <c r="Q538" s="96"/>
      <c r="R538" s="96"/>
      <c r="S538" s="96"/>
      <c r="T538" s="96"/>
      <c r="U538" s="97"/>
      <c r="V538" s="98"/>
      <c r="W538" s="99"/>
      <c r="X538" s="99"/>
      <c r="Y538" s="99"/>
      <c r="Z538" s="99"/>
    </row>
    <row r="539" spans="2:26" ht="15.95">
      <c r="B539" s="1031"/>
      <c r="C539" s="89"/>
      <c r="D539" s="90"/>
      <c r="E539" s="90"/>
      <c r="F539" s="90"/>
      <c r="G539" s="91"/>
      <c r="H539" s="91"/>
      <c r="I539" s="92"/>
      <c r="J539" s="90"/>
      <c r="K539" s="90"/>
      <c r="L539" s="93"/>
      <c r="M539" s="424"/>
      <c r="N539" s="95"/>
      <c r="O539" s="96"/>
      <c r="P539" s="525"/>
      <c r="Q539" s="96"/>
      <c r="R539" s="96"/>
      <c r="S539" s="96"/>
      <c r="T539" s="96"/>
      <c r="U539" s="97"/>
      <c r="V539" s="98"/>
      <c r="W539" s="99"/>
      <c r="X539" s="99"/>
      <c r="Y539" s="99"/>
      <c r="Z539" s="99"/>
    </row>
    <row r="540" spans="2:26" ht="15.95">
      <c r="B540" s="1031"/>
      <c r="C540" s="89"/>
      <c r="D540" s="90"/>
      <c r="E540" s="90"/>
      <c r="F540" s="90"/>
      <c r="G540" s="91"/>
      <c r="H540" s="91"/>
      <c r="I540" s="92"/>
      <c r="J540" s="90"/>
      <c r="K540" s="90"/>
      <c r="L540" s="93"/>
      <c r="M540" s="424"/>
      <c r="N540" s="95"/>
      <c r="O540" s="96"/>
      <c r="P540" s="525"/>
      <c r="Q540" s="96"/>
      <c r="R540" s="96"/>
      <c r="S540" s="96"/>
      <c r="T540" s="96"/>
      <c r="U540" s="97"/>
      <c r="V540" s="98"/>
      <c r="W540" s="99"/>
      <c r="X540" s="99"/>
      <c r="Y540" s="99"/>
      <c r="Z540" s="99"/>
    </row>
    <row r="541" spans="2:26" ht="15.95">
      <c r="B541" s="1031"/>
      <c r="C541" s="89"/>
      <c r="D541" s="90"/>
      <c r="E541" s="90"/>
      <c r="F541" s="90"/>
      <c r="G541" s="91"/>
      <c r="H541" s="91"/>
      <c r="I541" s="92"/>
      <c r="J541" s="90"/>
      <c r="K541" s="90"/>
      <c r="L541" s="93"/>
      <c r="M541" s="424"/>
      <c r="N541" s="95"/>
      <c r="O541" s="96"/>
      <c r="P541" s="525"/>
      <c r="Q541" s="96"/>
      <c r="R541" s="96"/>
      <c r="S541" s="96"/>
      <c r="T541" s="96"/>
      <c r="U541" s="97"/>
      <c r="V541" s="98"/>
      <c r="W541" s="99"/>
      <c r="X541" s="99"/>
      <c r="Y541" s="99"/>
      <c r="Z541" s="99"/>
    </row>
    <row r="542" spans="2:26" ht="15.95">
      <c r="B542" s="1031"/>
      <c r="C542" s="89"/>
      <c r="D542" s="90"/>
      <c r="E542" s="90"/>
      <c r="F542" s="90"/>
      <c r="G542" s="91"/>
      <c r="H542" s="91"/>
      <c r="I542" s="92"/>
      <c r="J542" s="90"/>
      <c r="K542" s="90"/>
      <c r="L542" s="93"/>
      <c r="M542" s="424"/>
      <c r="N542" s="95"/>
      <c r="O542" s="96"/>
      <c r="P542" s="525"/>
      <c r="Q542" s="96"/>
      <c r="R542" s="96"/>
      <c r="S542" s="96"/>
      <c r="T542" s="96"/>
      <c r="U542" s="97"/>
      <c r="V542" s="98"/>
      <c r="W542" s="99"/>
      <c r="X542" s="99"/>
      <c r="Y542" s="99"/>
      <c r="Z542" s="99"/>
    </row>
    <row r="543" spans="2:26" ht="15.95">
      <c r="B543" s="1031"/>
      <c r="C543" s="89"/>
      <c r="D543" s="90"/>
      <c r="E543" s="90"/>
      <c r="F543" s="90"/>
      <c r="G543" s="91"/>
      <c r="H543" s="91"/>
      <c r="I543" s="92"/>
      <c r="J543" s="90"/>
      <c r="K543" s="90"/>
      <c r="L543" s="93"/>
      <c r="M543" s="424"/>
      <c r="N543" s="95"/>
      <c r="O543" s="96"/>
      <c r="P543" s="525"/>
      <c r="Q543" s="96"/>
      <c r="R543" s="96"/>
      <c r="S543" s="96"/>
      <c r="T543" s="96"/>
      <c r="U543" s="97"/>
      <c r="V543" s="98"/>
      <c r="W543" s="99"/>
      <c r="X543" s="99"/>
      <c r="Y543" s="99"/>
      <c r="Z543" s="99"/>
    </row>
    <row r="544" spans="2:26" ht="15.95">
      <c r="B544" s="1031"/>
      <c r="C544" s="89"/>
      <c r="D544" s="90"/>
      <c r="E544" s="90"/>
      <c r="F544" s="90"/>
      <c r="G544" s="91"/>
      <c r="H544" s="91"/>
      <c r="I544" s="92"/>
      <c r="J544" s="90"/>
      <c r="K544" s="90"/>
      <c r="L544" s="93"/>
      <c r="M544" s="424"/>
      <c r="N544" s="95"/>
      <c r="O544" s="96"/>
      <c r="P544" s="525"/>
      <c r="Q544" s="96"/>
      <c r="R544" s="96"/>
      <c r="S544" s="96"/>
      <c r="T544" s="96"/>
      <c r="U544" s="97"/>
      <c r="V544" s="98"/>
      <c r="W544" s="99"/>
      <c r="X544" s="99"/>
      <c r="Y544" s="99"/>
      <c r="Z544" s="99"/>
    </row>
    <row r="545" spans="2:26" ht="15.95">
      <c r="B545" s="1031"/>
      <c r="C545" s="89"/>
      <c r="D545" s="90"/>
      <c r="E545" s="90"/>
      <c r="F545" s="90"/>
      <c r="G545" s="91"/>
      <c r="H545" s="91"/>
      <c r="I545" s="92"/>
      <c r="J545" s="90"/>
      <c r="K545" s="90"/>
      <c r="L545" s="93"/>
      <c r="M545" s="424"/>
      <c r="N545" s="95"/>
      <c r="O545" s="96"/>
      <c r="P545" s="525"/>
      <c r="Q545" s="96"/>
      <c r="R545" s="96"/>
      <c r="S545" s="96"/>
      <c r="T545" s="96"/>
      <c r="U545" s="97"/>
      <c r="V545" s="98"/>
      <c r="W545" s="99"/>
      <c r="X545" s="99"/>
      <c r="Y545" s="99"/>
      <c r="Z545" s="99"/>
    </row>
    <row r="546" spans="2:26" ht="15.95">
      <c r="B546" s="1031"/>
      <c r="C546" s="89"/>
      <c r="D546" s="90"/>
      <c r="E546" s="90"/>
      <c r="F546" s="90"/>
      <c r="G546" s="91"/>
      <c r="H546" s="91"/>
      <c r="I546" s="92"/>
      <c r="J546" s="90"/>
      <c r="K546" s="90"/>
      <c r="L546" s="93"/>
      <c r="M546" s="424"/>
      <c r="N546" s="95"/>
      <c r="O546" s="96"/>
      <c r="P546" s="525"/>
      <c r="Q546" s="96"/>
      <c r="R546" s="96"/>
      <c r="S546" s="96"/>
      <c r="T546" s="96"/>
      <c r="U546" s="97"/>
      <c r="V546" s="98"/>
      <c r="W546" s="99"/>
      <c r="X546" s="99"/>
      <c r="Y546" s="99"/>
      <c r="Z546" s="99"/>
    </row>
    <row r="547" spans="2:26" ht="15.95">
      <c r="B547" s="1031"/>
      <c r="C547" s="89"/>
      <c r="D547" s="90"/>
      <c r="E547" s="90"/>
      <c r="F547" s="90"/>
      <c r="G547" s="91"/>
      <c r="H547" s="91"/>
      <c r="I547" s="92"/>
      <c r="J547" s="90"/>
      <c r="K547" s="90"/>
      <c r="L547" s="93"/>
      <c r="M547" s="424"/>
      <c r="N547" s="95"/>
      <c r="O547" s="96"/>
      <c r="P547" s="525"/>
      <c r="Q547" s="96"/>
      <c r="R547" s="96"/>
      <c r="S547" s="96"/>
      <c r="T547" s="96"/>
      <c r="U547" s="97"/>
      <c r="V547" s="98"/>
      <c r="W547" s="99"/>
      <c r="X547" s="99"/>
      <c r="Y547" s="99"/>
      <c r="Z547" s="99"/>
    </row>
    <row r="548" spans="2:26" ht="15.95">
      <c r="B548" s="1031"/>
      <c r="C548" s="89"/>
      <c r="D548" s="90"/>
      <c r="E548" s="90"/>
      <c r="F548" s="90"/>
      <c r="G548" s="91"/>
      <c r="H548" s="91"/>
      <c r="I548" s="92"/>
      <c r="J548" s="90"/>
      <c r="K548" s="90"/>
      <c r="L548" s="93"/>
      <c r="M548" s="424"/>
      <c r="N548" s="95"/>
      <c r="O548" s="96"/>
      <c r="P548" s="525"/>
      <c r="Q548" s="96"/>
      <c r="R548" s="96"/>
      <c r="S548" s="96"/>
      <c r="T548" s="96"/>
      <c r="U548" s="97"/>
      <c r="V548" s="98"/>
      <c r="W548" s="99"/>
      <c r="X548" s="99"/>
      <c r="Y548" s="99"/>
      <c r="Z548" s="99"/>
    </row>
    <row r="549" spans="2:26" ht="15.95">
      <c r="B549" s="1031"/>
      <c r="C549" s="89"/>
      <c r="D549" s="90"/>
      <c r="E549" s="90"/>
      <c r="F549" s="90"/>
      <c r="G549" s="91"/>
      <c r="H549" s="91"/>
      <c r="I549" s="92"/>
      <c r="J549" s="90"/>
      <c r="K549" s="90"/>
      <c r="L549" s="93"/>
      <c r="M549" s="424"/>
      <c r="N549" s="95"/>
      <c r="O549" s="96"/>
      <c r="P549" s="525"/>
      <c r="Q549" s="96"/>
      <c r="R549" s="96"/>
      <c r="S549" s="96"/>
      <c r="T549" s="96"/>
      <c r="U549" s="97"/>
      <c r="V549" s="98"/>
      <c r="W549" s="99"/>
      <c r="X549" s="99"/>
      <c r="Y549" s="99"/>
      <c r="Z549" s="99"/>
    </row>
    <row r="550" spans="2:26" ht="15.95">
      <c r="B550" s="1031"/>
      <c r="C550" s="89"/>
      <c r="D550" s="90"/>
      <c r="E550" s="90"/>
      <c r="F550" s="90"/>
      <c r="G550" s="91"/>
      <c r="H550" s="91"/>
      <c r="I550" s="92"/>
      <c r="J550" s="90"/>
      <c r="K550" s="90"/>
      <c r="L550" s="93"/>
      <c r="M550" s="424"/>
      <c r="N550" s="95"/>
      <c r="O550" s="96"/>
      <c r="P550" s="525"/>
      <c r="Q550" s="96"/>
      <c r="R550" s="96"/>
      <c r="S550" s="96"/>
      <c r="T550" s="96"/>
      <c r="U550" s="97"/>
      <c r="V550" s="98"/>
      <c r="W550" s="99"/>
      <c r="X550" s="99"/>
      <c r="Y550" s="99"/>
      <c r="Z550" s="99"/>
    </row>
    <row r="551" spans="2:26" ht="15.95">
      <c r="B551" s="1031"/>
      <c r="C551" s="89"/>
      <c r="D551" s="90"/>
      <c r="E551" s="90"/>
      <c r="F551" s="90"/>
      <c r="G551" s="91"/>
      <c r="H551" s="91"/>
      <c r="I551" s="92"/>
      <c r="J551" s="90"/>
      <c r="K551" s="90"/>
      <c r="L551" s="93"/>
      <c r="M551" s="424"/>
      <c r="N551" s="95"/>
      <c r="O551" s="96"/>
      <c r="P551" s="525"/>
      <c r="Q551" s="96"/>
      <c r="R551" s="96"/>
      <c r="S551" s="96"/>
      <c r="T551" s="96"/>
      <c r="U551" s="97"/>
      <c r="V551" s="98"/>
      <c r="W551" s="99"/>
      <c r="X551" s="99"/>
      <c r="Y551" s="99"/>
      <c r="Z551" s="99"/>
    </row>
    <row r="552" spans="2:26" ht="15.95">
      <c r="B552" s="1031"/>
      <c r="C552" s="89"/>
      <c r="D552" s="90"/>
      <c r="E552" s="90"/>
      <c r="F552" s="90"/>
      <c r="G552" s="91"/>
      <c r="H552" s="91"/>
      <c r="I552" s="92"/>
      <c r="J552" s="90"/>
      <c r="K552" s="90"/>
      <c r="L552" s="93"/>
      <c r="M552" s="424"/>
      <c r="N552" s="95"/>
      <c r="O552" s="96"/>
      <c r="P552" s="525"/>
      <c r="Q552" s="96"/>
      <c r="R552" s="96"/>
      <c r="S552" s="96"/>
      <c r="T552" s="96"/>
      <c r="U552" s="97"/>
      <c r="V552" s="98"/>
      <c r="W552" s="99"/>
      <c r="X552" s="99"/>
      <c r="Y552" s="99"/>
      <c r="Z552" s="99"/>
    </row>
    <row r="553" spans="2:26" ht="15.95">
      <c r="B553" s="1031"/>
      <c r="C553" s="89"/>
      <c r="D553" s="90"/>
      <c r="E553" s="90"/>
      <c r="F553" s="90"/>
      <c r="G553" s="91"/>
      <c r="H553" s="91"/>
      <c r="I553" s="92"/>
      <c r="J553" s="90"/>
      <c r="K553" s="90"/>
      <c r="L553" s="93"/>
      <c r="M553" s="424"/>
      <c r="N553" s="95"/>
      <c r="O553" s="96"/>
      <c r="P553" s="525"/>
      <c r="Q553" s="96"/>
      <c r="R553" s="96"/>
      <c r="S553" s="96"/>
      <c r="T553" s="96"/>
      <c r="U553" s="97"/>
      <c r="V553" s="98"/>
      <c r="W553" s="99"/>
      <c r="X553" s="99"/>
      <c r="Y553" s="99"/>
      <c r="Z553" s="99"/>
    </row>
    <row r="554" spans="2:26" ht="15.95">
      <c r="B554" s="1031"/>
      <c r="C554" s="89"/>
      <c r="D554" s="90"/>
      <c r="E554" s="90"/>
      <c r="F554" s="90"/>
      <c r="G554" s="91"/>
      <c r="H554" s="91"/>
      <c r="I554" s="92"/>
      <c r="J554" s="90"/>
      <c r="K554" s="90"/>
      <c r="L554" s="93"/>
      <c r="M554" s="424"/>
      <c r="N554" s="95"/>
      <c r="O554" s="96"/>
      <c r="P554" s="525"/>
      <c r="Q554" s="96"/>
      <c r="R554" s="96"/>
      <c r="S554" s="96"/>
      <c r="T554" s="96"/>
      <c r="U554" s="97"/>
      <c r="V554" s="98"/>
      <c r="W554" s="99"/>
      <c r="X554" s="99"/>
      <c r="Y554" s="99"/>
      <c r="Z554" s="99"/>
    </row>
    <row r="555" spans="2:26" ht="15.95">
      <c r="B555" s="1031"/>
      <c r="C555" s="89"/>
      <c r="D555" s="90"/>
      <c r="E555" s="90"/>
      <c r="F555" s="90"/>
      <c r="G555" s="91"/>
      <c r="H555" s="91"/>
      <c r="I555" s="92"/>
      <c r="J555" s="90"/>
      <c r="K555" s="90"/>
      <c r="L555" s="93"/>
      <c r="M555" s="424"/>
      <c r="N555" s="95"/>
      <c r="O555" s="96"/>
      <c r="P555" s="525"/>
      <c r="Q555" s="96"/>
      <c r="R555" s="96"/>
      <c r="S555" s="96"/>
      <c r="T555" s="96"/>
      <c r="U555" s="97"/>
      <c r="V555" s="98"/>
      <c r="W555" s="99"/>
      <c r="X555" s="99"/>
      <c r="Y555" s="99"/>
      <c r="Z555" s="99"/>
    </row>
    <row r="556" spans="2:26" ht="15.95">
      <c r="B556" s="1031"/>
      <c r="C556" s="89"/>
      <c r="D556" s="90"/>
      <c r="E556" s="90"/>
      <c r="F556" s="90"/>
      <c r="G556" s="91"/>
      <c r="H556" s="91"/>
      <c r="I556" s="92"/>
      <c r="J556" s="90"/>
      <c r="K556" s="90"/>
      <c r="L556" s="93"/>
      <c r="M556" s="424"/>
      <c r="N556" s="95"/>
      <c r="O556" s="96"/>
      <c r="P556" s="525"/>
      <c r="Q556" s="96"/>
      <c r="R556" s="96"/>
      <c r="S556" s="96"/>
      <c r="T556" s="96"/>
      <c r="U556" s="97"/>
      <c r="V556" s="98"/>
      <c r="W556" s="99"/>
      <c r="X556" s="99"/>
      <c r="Y556" s="99"/>
      <c r="Z556" s="99"/>
    </row>
    <row r="557" spans="2:26" ht="15.95">
      <c r="B557" s="1031"/>
      <c r="C557" s="89"/>
      <c r="D557" s="90"/>
      <c r="E557" s="90"/>
      <c r="F557" s="90"/>
      <c r="G557" s="91"/>
      <c r="H557" s="91"/>
      <c r="I557" s="92"/>
      <c r="J557" s="90"/>
      <c r="K557" s="90"/>
      <c r="L557" s="93"/>
      <c r="M557" s="424"/>
      <c r="N557" s="95"/>
      <c r="O557" s="96"/>
      <c r="P557" s="525"/>
      <c r="Q557" s="96"/>
      <c r="R557" s="96"/>
      <c r="S557" s="96"/>
      <c r="T557" s="96"/>
      <c r="U557" s="97"/>
      <c r="V557" s="98"/>
      <c r="W557" s="99"/>
      <c r="X557" s="99"/>
      <c r="Y557" s="99"/>
      <c r="Z557" s="99"/>
    </row>
    <row r="558" spans="2:26" ht="15.95">
      <c r="B558" s="1031"/>
      <c r="C558" s="89"/>
      <c r="D558" s="90"/>
      <c r="E558" s="90"/>
      <c r="F558" s="90"/>
      <c r="G558" s="91"/>
      <c r="H558" s="91"/>
      <c r="I558" s="92"/>
      <c r="J558" s="90"/>
      <c r="K558" s="90"/>
      <c r="L558" s="93"/>
      <c r="M558" s="424"/>
      <c r="N558" s="95"/>
      <c r="O558" s="96"/>
      <c r="P558" s="525"/>
      <c r="Q558" s="96"/>
      <c r="R558" s="96"/>
      <c r="S558" s="96"/>
      <c r="T558" s="96"/>
      <c r="U558" s="97"/>
      <c r="V558" s="98"/>
      <c r="W558" s="99"/>
      <c r="X558" s="99"/>
      <c r="Y558" s="99"/>
      <c r="Z558" s="99"/>
    </row>
    <row r="559" spans="2:26" ht="15.95">
      <c r="B559" s="1031"/>
      <c r="C559" s="89"/>
      <c r="D559" s="90"/>
      <c r="E559" s="90"/>
      <c r="F559" s="90"/>
      <c r="G559" s="91"/>
      <c r="H559" s="91"/>
      <c r="I559" s="92"/>
      <c r="J559" s="90"/>
      <c r="K559" s="90"/>
      <c r="L559" s="93"/>
      <c r="M559" s="424"/>
      <c r="N559" s="95"/>
      <c r="O559" s="96"/>
      <c r="P559" s="525"/>
      <c r="Q559" s="96"/>
      <c r="R559" s="96"/>
      <c r="S559" s="96"/>
      <c r="T559" s="96"/>
      <c r="U559" s="97"/>
      <c r="V559" s="98"/>
      <c r="W559" s="99"/>
      <c r="X559" s="99"/>
      <c r="Y559" s="99"/>
      <c r="Z559" s="99"/>
    </row>
    <row r="560" spans="2:26" ht="15.95">
      <c r="B560" s="1031"/>
      <c r="C560" s="89"/>
      <c r="D560" s="90"/>
      <c r="E560" s="90"/>
      <c r="F560" s="90"/>
      <c r="G560" s="91"/>
      <c r="H560" s="91"/>
      <c r="I560" s="92"/>
      <c r="J560" s="90"/>
      <c r="K560" s="90"/>
      <c r="L560" s="93"/>
      <c r="M560" s="424"/>
      <c r="N560" s="95"/>
      <c r="O560" s="96"/>
      <c r="P560" s="525"/>
      <c r="Q560" s="96"/>
      <c r="R560" s="96"/>
      <c r="S560" s="96"/>
      <c r="T560" s="96"/>
      <c r="U560" s="97"/>
      <c r="V560" s="98"/>
      <c r="W560" s="99"/>
      <c r="X560" s="99"/>
      <c r="Y560" s="99"/>
      <c r="Z560" s="99"/>
    </row>
    <row r="561" spans="2:26" ht="15.95">
      <c r="B561" s="1031"/>
      <c r="C561" s="89"/>
      <c r="D561" s="90"/>
      <c r="E561" s="90"/>
      <c r="F561" s="90"/>
      <c r="G561" s="91"/>
      <c r="H561" s="91"/>
      <c r="I561" s="92"/>
      <c r="J561" s="90"/>
      <c r="K561" s="90"/>
      <c r="L561" s="93"/>
      <c r="M561" s="424"/>
      <c r="N561" s="95"/>
      <c r="O561" s="96"/>
      <c r="P561" s="525"/>
      <c r="Q561" s="96"/>
      <c r="R561" s="96"/>
      <c r="S561" s="96"/>
      <c r="T561" s="96"/>
      <c r="U561" s="97"/>
      <c r="V561" s="98"/>
      <c r="W561" s="99"/>
      <c r="X561" s="99"/>
      <c r="Y561" s="99"/>
      <c r="Z561" s="99"/>
    </row>
    <row r="562" spans="2:26" ht="15.95">
      <c r="B562" s="1031"/>
      <c r="C562" s="89"/>
      <c r="D562" s="90"/>
      <c r="E562" s="90"/>
      <c r="F562" s="90"/>
      <c r="G562" s="91"/>
      <c r="H562" s="91"/>
      <c r="I562" s="92"/>
      <c r="J562" s="90"/>
      <c r="K562" s="90"/>
      <c r="L562" s="93"/>
      <c r="M562" s="424"/>
      <c r="N562" s="95"/>
      <c r="O562" s="96"/>
      <c r="P562" s="525"/>
      <c r="Q562" s="96"/>
      <c r="R562" s="96"/>
      <c r="S562" s="96"/>
      <c r="T562" s="96"/>
      <c r="U562" s="97"/>
      <c r="V562" s="98"/>
      <c r="W562" s="99"/>
      <c r="X562" s="99"/>
      <c r="Y562" s="99"/>
      <c r="Z562" s="99"/>
    </row>
    <row r="563" spans="2:26" ht="15.95">
      <c r="B563" s="1031"/>
      <c r="C563" s="89"/>
      <c r="D563" s="90"/>
      <c r="E563" s="90"/>
      <c r="F563" s="90"/>
      <c r="G563" s="91"/>
      <c r="H563" s="91"/>
      <c r="I563" s="92"/>
      <c r="J563" s="90"/>
      <c r="K563" s="90"/>
      <c r="L563" s="93"/>
      <c r="M563" s="424"/>
      <c r="N563" s="95"/>
      <c r="O563" s="96"/>
      <c r="P563" s="525"/>
      <c r="Q563" s="96"/>
      <c r="R563" s="96"/>
      <c r="S563" s="96"/>
      <c r="T563" s="96"/>
      <c r="U563" s="97"/>
      <c r="V563" s="98"/>
      <c r="W563" s="99"/>
      <c r="X563" s="99"/>
      <c r="Y563" s="99"/>
      <c r="Z563" s="99"/>
    </row>
    <row r="564" spans="2:26" ht="15.95">
      <c r="B564" s="1031"/>
      <c r="C564" s="89"/>
      <c r="D564" s="90"/>
      <c r="E564" s="90"/>
      <c r="F564" s="90"/>
      <c r="G564" s="91"/>
      <c r="H564" s="91"/>
      <c r="I564" s="92"/>
      <c r="J564" s="90"/>
      <c r="K564" s="90"/>
      <c r="L564" s="93"/>
      <c r="M564" s="424"/>
      <c r="N564" s="95"/>
      <c r="O564" s="96"/>
      <c r="P564" s="525"/>
      <c r="Q564" s="96"/>
      <c r="R564" s="96"/>
      <c r="S564" s="96"/>
      <c r="T564" s="96"/>
      <c r="U564" s="97"/>
      <c r="V564" s="98"/>
      <c r="W564" s="99"/>
      <c r="X564" s="99"/>
      <c r="Y564" s="99"/>
      <c r="Z564" s="99"/>
    </row>
    <row r="565" spans="2:26" ht="15.95">
      <c r="B565" s="1031"/>
      <c r="C565" s="89"/>
      <c r="D565" s="90"/>
      <c r="E565" s="90"/>
      <c r="F565" s="90"/>
      <c r="G565" s="91"/>
      <c r="H565" s="91"/>
      <c r="I565" s="92"/>
      <c r="J565" s="90"/>
      <c r="K565" s="90"/>
      <c r="L565" s="93"/>
      <c r="M565" s="424"/>
      <c r="N565" s="95"/>
      <c r="O565" s="96"/>
      <c r="P565" s="525"/>
      <c r="Q565" s="96"/>
      <c r="R565" s="96"/>
      <c r="S565" s="96"/>
      <c r="T565" s="96"/>
      <c r="U565" s="97"/>
      <c r="V565" s="98"/>
      <c r="W565" s="99"/>
      <c r="X565" s="99"/>
      <c r="Y565" s="99"/>
      <c r="Z565" s="99"/>
    </row>
    <row r="566" spans="2:26" ht="15.95">
      <c r="B566" s="1031"/>
      <c r="C566" s="89"/>
      <c r="D566" s="90"/>
      <c r="E566" s="90"/>
      <c r="F566" s="90"/>
      <c r="G566" s="91"/>
      <c r="H566" s="91"/>
      <c r="I566" s="92"/>
      <c r="J566" s="90"/>
      <c r="K566" s="90"/>
      <c r="L566" s="93"/>
      <c r="M566" s="424"/>
      <c r="N566" s="95"/>
      <c r="O566" s="96"/>
      <c r="P566" s="525"/>
      <c r="Q566" s="96"/>
      <c r="R566" s="96"/>
      <c r="S566" s="96"/>
      <c r="T566" s="96"/>
      <c r="U566" s="97"/>
      <c r="V566" s="98"/>
      <c r="W566" s="99"/>
      <c r="X566" s="99"/>
      <c r="Y566" s="99"/>
      <c r="Z566" s="99"/>
    </row>
    <row r="567" spans="2:26" ht="15.95">
      <c r="B567" s="1031"/>
      <c r="C567" s="89"/>
      <c r="D567" s="90"/>
      <c r="E567" s="90"/>
      <c r="F567" s="90"/>
      <c r="G567" s="91"/>
      <c r="H567" s="91"/>
      <c r="I567" s="92"/>
      <c r="J567" s="90"/>
      <c r="K567" s="90"/>
      <c r="L567" s="93"/>
      <c r="M567" s="424"/>
      <c r="N567" s="95"/>
      <c r="O567" s="96"/>
      <c r="P567" s="525"/>
      <c r="Q567" s="96"/>
      <c r="R567" s="96"/>
      <c r="S567" s="96"/>
      <c r="T567" s="96"/>
      <c r="U567" s="97"/>
      <c r="V567" s="98"/>
      <c r="W567" s="99"/>
      <c r="X567" s="99"/>
      <c r="Y567" s="99"/>
      <c r="Z567" s="99"/>
    </row>
    <row r="568" spans="2:26" ht="15.95">
      <c r="B568" s="1031"/>
      <c r="C568" s="89"/>
      <c r="D568" s="90"/>
      <c r="E568" s="90"/>
      <c r="F568" s="90"/>
      <c r="G568" s="91"/>
      <c r="H568" s="91"/>
      <c r="I568" s="92"/>
      <c r="J568" s="90"/>
      <c r="K568" s="90"/>
      <c r="L568" s="93"/>
      <c r="M568" s="424"/>
      <c r="N568" s="95"/>
      <c r="O568" s="96"/>
      <c r="P568" s="525"/>
      <c r="Q568" s="96"/>
      <c r="R568" s="96"/>
      <c r="S568" s="96"/>
      <c r="T568" s="96"/>
      <c r="U568" s="97"/>
      <c r="V568" s="98"/>
      <c r="W568" s="99"/>
      <c r="X568" s="99"/>
      <c r="Y568" s="99"/>
      <c r="Z568" s="99"/>
    </row>
    <row r="569" spans="2:26" ht="15.95">
      <c r="B569" s="1031"/>
      <c r="C569" s="89"/>
      <c r="D569" s="90"/>
      <c r="E569" s="90"/>
      <c r="F569" s="90"/>
      <c r="G569" s="91"/>
      <c r="H569" s="91"/>
      <c r="I569" s="92"/>
      <c r="J569" s="90"/>
      <c r="K569" s="90"/>
      <c r="L569" s="93"/>
      <c r="M569" s="424"/>
      <c r="N569" s="95"/>
      <c r="O569" s="96"/>
      <c r="P569" s="525"/>
      <c r="Q569" s="96"/>
      <c r="R569" s="96"/>
      <c r="S569" s="96"/>
      <c r="T569" s="96"/>
      <c r="U569" s="97"/>
      <c r="V569" s="98"/>
      <c r="W569" s="99"/>
      <c r="X569" s="99"/>
      <c r="Y569" s="99"/>
      <c r="Z569" s="99"/>
    </row>
    <row r="570" spans="2:26" ht="15.95">
      <c r="B570" s="1031"/>
      <c r="C570" s="89"/>
      <c r="D570" s="90"/>
      <c r="E570" s="90"/>
      <c r="F570" s="90"/>
      <c r="G570" s="91"/>
      <c r="H570" s="91"/>
      <c r="I570" s="92"/>
      <c r="J570" s="90"/>
      <c r="K570" s="90"/>
      <c r="L570" s="93"/>
      <c r="M570" s="424"/>
      <c r="N570" s="95"/>
      <c r="O570" s="96"/>
      <c r="P570" s="525"/>
      <c r="Q570" s="96"/>
      <c r="R570" s="96"/>
      <c r="S570" s="96"/>
      <c r="T570" s="96"/>
      <c r="U570" s="97"/>
      <c r="V570" s="98"/>
      <c r="W570" s="99"/>
      <c r="X570" s="99"/>
      <c r="Y570" s="99"/>
      <c r="Z570" s="99"/>
    </row>
    <row r="571" spans="2:26" ht="15.95">
      <c r="B571" s="1031"/>
      <c r="C571" s="89"/>
      <c r="D571" s="90"/>
      <c r="E571" s="90"/>
      <c r="F571" s="90"/>
      <c r="G571" s="91"/>
      <c r="H571" s="91"/>
      <c r="I571" s="92"/>
      <c r="J571" s="90"/>
      <c r="K571" s="90"/>
      <c r="L571" s="93"/>
      <c r="M571" s="424"/>
      <c r="N571" s="95"/>
      <c r="O571" s="96"/>
      <c r="P571" s="525"/>
      <c r="Q571" s="96"/>
      <c r="R571" s="96"/>
      <c r="S571" s="96"/>
      <c r="T571" s="96"/>
      <c r="U571" s="97"/>
      <c r="V571" s="98"/>
      <c r="W571" s="99"/>
      <c r="X571" s="99"/>
      <c r="Y571" s="99"/>
      <c r="Z571" s="99"/>
    </row>
    <row r="572" spans="2:26" ht="15.95">
      <c r="B572" s="1031"/>
      <c r="C572" s="89"/>
      <c r="D572" s="90"/>
      <c r="E572" s="90"/>
      <c r="F572" s="90"/>
      <c r="G572" s="91"/>
      <c r="H572" s="91"/>
      <c r="I572" s="92"/>
      <c r="J572" s="90"/>
      <c r="K572" s="90"/>
      <c r="L572" s="93"/>
      <c r="M572" s="424"/>
      <c r="N572" s="95"/>
      <c r="O572" s="96"/>
      <c r="P572" s="525"/>
      <c r="Q572" s="96"/>
      <c r="R572" s="96"/>
      <c r="S572" s="96"/>
      <c r="T572" s="96"/>
      <c r="U572" s="97"/>
      <c r="V572" s="98"/>
      <c r="W572" s="99"/>
      <c r="X572" s="99"/>
      <c r="Y572" s="99"/>
      <c r="Z572" s="99"/>
    </row>
    <row r="573" spans="2:26" ht="15.95">
      <c r="B573" s="1031"/>
      <c r="C573" s="89"/>
      <c r="D573" s="90"/>
      <c r="E573" s="90"/>
      <c r="F573" s="90"/>
      <c r="G573" s="91"/>
      <c r="H573" s="91"/>
      <c r="I573" s="92"/>
      <c r="J573" s="90"/>
      <c r="K573" s="90"/>
      <c r="L573" s="93"/>
      <c r="M573" s="424"/>
      <c r="N573" s="95"/>
      <c r="O573" s="96"/>
      <c r="P573" s="525"/>
      <c r="Q573" s="96"/>
      <c r="R573" s="96"/>
      <c r="S573" s="96"/>
      <c r="T573" s="96"/>
      <c r="U573" s="97"/>
      <c r="V573" s="98"/>
      <c r="W573" s="99"/>
      <c r="X573" s="99"/>
      <c r="Y573" s="99"/>
      <c r="Z573" s="99"/>
    </row>
    <row r="574" spans="2:26" ht="15.95">
      <c r="B574" s="1031"/>
      <c r="C574" s="89"/>
      <c r="D574" s="90"/>
      <c r="E574" s="90"/>
      <c r="F574" s="90"/>
      <c r="G574" s="91"/>
      <c r="H574" s="91"/>
      <c r="I574" s="92"/>
      <c r="J574" s="90"/>
      <c r="K574" s="90"/>
      <c r="L574" s="93"/>
      <c r="M574" s="424"/>
      <c r="N574" s="95"/>
      <c r="O574" s="96"/>
      <c r="P574" s="525"/>
      <c r="Q574" s="96"/>
      <c r="R574" s="96"/>
      <c r="S574" s="96"/>
      <c r="T574" s="96"/>
      <c r="U574" s="97"/>
      <c r="V574" s="98"/>
      <c r="W574" s="99"/>
      <c r="X574" s="99"/>
      <c r="Y574" s="99"/>
      <c r="Z574" s="99"/>
    </row>
    <row r="575" spans="2:26" ht="15.95">
      <c r="B575" s="1031"/>
      <c r="C575" s="89"/>
      <c r="D575" s="90"/>
      <c r="E575" s="90"/>
      <c r="F575" s="90"/>
      <c r="G575" s="91"/>
      <c r="H575" s="91"/>
      <c r="I575" s="92"/>
      <c r="J575" s="90"/>
      <c r="K575" s="90"/>
      <c r="L575" s="93"/>
      <c r="M575" s="424"/>
      <c r="N575" s="95"/>
      <c r="O575" s="96"/>
      <c r="P575" s="525"/>
      <c r="Q575" s="96"/>
      <c r="R575" s="96"/>
      <c r="S575" s="96"/>
      <c r="T575" s="96"/>
      <c r="U575" s="97"/>
      <c r="V575" s="98"/>
      <c r="W575" s="99"/>
      <c r="X575" s="99"/>
      <c r="Y575" s="99"/>
      <c r="Z575" s="99"/>
    </row>
    <row r="576" spans="2:26" ht="15.95">
      <c r="B576" s="1031"/>
      <c r="C576" s="89"/>
      <c r="D576" s="90"/>
      <c r="E576" s="90"/>
      <c r="F576" s="90"/>
      <c r="G576" s="91"/>
      <c r="H576" s="91"/>
      <c r="I576" s="92"/>
      <c r="J576" s="90"/>
      <c r="K576" s="90"/>
      <c r="L576" s="93"/>
      <c r="M576" s="424"/>
      <c r="N576" s="95"/>
      <c r="O576" s="96"/>
      <c r="P576" s="525"/>
      <c r="Q576" s="96"/>
      <c r="R576" s="96"/>
      <c r="S576" s="96"/>
      <c r="T576" s="96"/>
      <c r="U576" s="97"/>
      <c r="V576" s="98"/>
      <c r="W576" s="99"/>
      <c r="X576" s="99"/>
      <c r="Y576" s="99"/>
      <c r="Z576" s="99"/>
    </row>
    <row r="577" spans="2:26" ht="15.95">
      <c r="B577" s="1031"/>
      <c r="C577" s="89"/>
      <c r="D577" s="90"/>
      <c r="E577" s="90"/>
      <c r="F577" s="90"/>
      <c r="G577" s="91"/>
      <c r="H577" s="91"/>
      <c r="I577" s="92"/>
      <c r="J577" s="90"/>
      <c r="K577" s="90"/>
      <c r="L577" s="93"/>
      <c r="M577" s="424"/>
      <c r="N577" s="95"/>
      <c r="O577" s="96"/>
      <c r="P577" s="525"/>
      <c r="Q577" s="96"/>
      <c r="R577" s="96"/>
      <c r="S577" s="96"/>
      <c r="T577" s="96"/>
      <c r="U577" s="97"/>
      <c r="V577" s="98"/>
      <c r="W577" s="99"/>
      <c r="X577" s="99"/>
      <c r="Y577" s="99"/>
      <c r="Z577" s="99"/>
    </row>
    <row r="578" spans="2:26" ht="15.95">
      <c r="B578" s="1031"/>
      <c r="C578" s="89"/>
      <c r="D578" s="90"/>
      <c r="E578" s="90"/>
      <c r="F578" s="90"/>
      <c r="G578" s="91"/>
      <c r="H578" s="91"/>
      <c r="I578" s="92"/>
      <c r="J578" s="90"/>
      <c r="K578" s="90"/>
      <c r="L578" s="93"/>
      <c r="M578" s="424"/>
      <c r="N578" s="95"/>
      <c r="O578" s="96"/>
      <c r="P578" s="525"/>
      <c r="Q578" s="96"/>
      <c r="R578" s="96"/>
      <c r="S578" s="96"/>
      <c r="T578" s="96"/>
      <c r="U578" s="97"/>
      <c r="V578" s="98"/>
      <c r="W578" s="99"/>
      <c r="X578" s="99"/>
      <c r="Y578" s="99"/>
      <c r="Z578" s="99"/>
    </row>
    <row r="579" spans="2:26" ht="15.95">
      <c r="B579" s="1031"/>
      <c r="C579" s="89"/>
      <c r="D579" s="90"/>
      <c r="E579" s="90"/>
      <c r="F579" s="90"/>
      <c r="G579" s="91"/>
      <c r="H579" s="91"/>
      <c r="I579" s="92"/>
      <c r="J579" s="90"/>
      <c r="K579" s="90"/>
      <c r="L579" s="93"/>
      <c r="M579" s="424"/>
      <c r="N579" s="95"/>
      <c r="O579" s="96"/>
      <c r="P579" s="525"/>
      <c r="Q579" s="96"/>
      <c r="R579" s="96"/>
      <c r="S579" s="96"/>
      <c r="T579" s="96"/>
      <c r="U579" s="97"/>
      <c r="V579" s="98"/>
      <c r="W579" s="99"/>
      <c r="X579" s="99"/>
      <c r="Y579" s="99"/>
      <c r="Z579" s="99"/>
    </row>
    <row r="580" spans="2:26" ht="15.95">
      <c r="B580" s="1031"/>
      <c r="C580" s="89"/>
      <c r="D580" s="90"/>
      <c r="E580" s="90"/>
      <c r="F580" s="90"/>
      <c r="G580" s="91"/>
      <c r="H580" s="91"/>
      <c r="I580" s="92"/>
      <c r="J580" s="90"/>
      <c r="K580" s="90"/>
      <c r="L580" s="93"/>
      <c r="M580" s="424"/>
      <c r="N580" s="95"/>
      <c r="O580" s="96"/>
      <c r="P580" s="525"/>
      <c r="Q580" s="96"/>
      <c r="R580" s="96"/>
      <c r="S580" s="96"/>
      <c r="T580" s="96"/>
      <c r="U580" s="97"/>
      <c r="V580" s="98"/>
      <c r="W580" s="99"/>
      <c r="X580" s="99"/>
      <c r="Y580" s="99"/>
      <c r="Z580" s="99"/>
    </row>
    <row r="581" spans="2:26" ht="15.95">
      <c r="B581" s="1031"/>
      <c r="C581" s="89"/>
      <c r="D581" s="90"/>
      <c r="E581" s="90"/>
      <c r="F581" s="90"/>
      <c r="G581" s="91"/>
      <c r="H581" s="91"/>
      <c r="I581" s="92"/>
      <c r="J581" s="90"/>
      <c r="K581" s="90"/>
      <c r="L581" s="93"/>
      <c r="M581" s="424"/>
      <c r="N581" s="95"/>
      <c r="O581" s="96"/>
      <c r="P581" s="525"/>
      <c r="Q581" s="96"/>
      <c r="R581" s="96"/>
      <c r="S581" s="96"/>
      <c r="T581" s="96"/>
      <c r="U581" s="97"/>
      <c r="V581" s="98"/>
      <c r="W581" s="99"/>
      <c r="X581" s="99"/>
      <c r="Y581" s="99"/>
      <c r="Z581" s="99"/>
    </row>
    <row r="582" spans="2:26" ht="15.95">
      <c r="B582" s="1031"/>
      <c r="C582" s="89"/>
      <c r="D582" s="90"/>
      <c r="E582" s="90"/>
      <c r="F582" s="90"/>
      <c r="G582" s="91"/>
      <c r="H582" s="91"/>
      <c r="I582" s="92"/>
      <c r="J582" s="90"/>
      <c r="K582" s="90"/>
      <c r="L582" s="93"/>
      <c r="M582" s="424"/>
      <c r="N582" s="95"/>
      <c r="O582" s="96"/>
      <c r="P582" s="525"/>
      <c r="Q582" s="96"/>
      <c r="R582" s="96"/>
      <c r="S582" s="96"/>
      <c r="T582" s="96"/>
      <c r="U582" s="97"/>
      <c r="V582" s="98"/>
      <c r="W582" s="99"/>
      <c r="X582" s="99"/>
      <c r="Y582" s="99"/>
      <c r="Z582" s="99"/>
    </row>
    <row r="583" spans="2:26" ht="15.95">
      <c r="B583" s="1031"/>
      <c r="C583" s="89"/>
      <c r="D583" s="90"/>
      <c r="E583" s="90"/>
      <c r="F583" s="90"/>
      <c r="G583" s="91"/>
      <c r="H583" s="91"/>
      <c r="I583" s="92"/>
      <c r="J583" s="90"/>
      <c r="K583" s="90"/>
      <c r="L583" s="93"/>
      <c r="M583" s="424"/>
      <c r="N583" s="95"/>
      <c r="O583" s="96"/>
      <c r="P583" s="525"/>
      <c r="Q583" s="96"/>
      <c r="R583" s="96"/>
      <c r="S583" s="96"/>
      <c r="T583" s="96"/>
      <c r="U583" s="97"/>
      <c r="V583" s="98"/>
      <c r="W583" s="99"/>
      <c r="X583" s="99"/>
      <c r="Y583" s="99"/>
      <c r="Z583" s="99"/>
    </row>
    <row r="584" spans="2:26" ht="15.95">
      <c r="B584" s="1031"/>
      <c r="C584" s="89"/>
      <c r="D584" s="90"/>
      <c r="E584" s="90"/>
      <c r="F584" s="90"/>
      <c r="G584" s="91"/>
      <c r="H584" s="91"/>
      <c r="I584" s="92"/>
      <c r="J584" s="90"/>
      <c r="K584" s="90"/>
      <c r="L584" s="93"/>
      <c r="M584" s="424"/>
      <c r="N584" s="95"/>
      <c r="O584" s="96"/>
      <c r="P584" s="525"/>
      <c r="Q584" s="96"/>
      <c r="R584" s="96"/>
      <c r="S584" s="96"/>
      <c r="T584" s="96"/>
      <c r="U584" s="97"/>
      <c r="V584" s="98"/>
      <c r="W584" s="99"/>
      <c r="X584" s="99"/>
      <c r="Y584" s="99"/>
      <c r="Z584" s="99"/>
    </row>
    <row r="585" spans="2:26" ht="15.95">
      <c r="B585" s="1031"/>
      <c r="C585" s="89"/>
      <c r="D585" s="90"/>
      <c r="E585" s="90"/>
      <c r="F585" s="90"/>
      <c r="G585" s="91"/>
      <c r="H585" s="91"/>
      <c r="I585" s="92"/>
      <c r="J585" s="90"/>
      <c r="K585" s="90"/>
      <c r="L585" s="93"/>
      <c r="M585" s="424"/>
      <c r="N585" s="95"/>
      <c r="O585" s="96"/>
      <c r="P585" s="525"/>
      <c r="Q585" s="96"/>
      <c r="R585" s="96"/>
      <c r="S585" s="96"/>
      <c r="T585" s="96"/>
      <c r="U585" s="97"/>
      <c r="V585" s="98"/>
      <c r="W585" s="99"/>
      <c r="X585" s="99"/>
      <c r="Y585" s="99"/>
      <c r="Z585" s="99"/>
    </row>
    <row r="586" spans="2:26" ht="15.95">
      <c r="B586" s="1031"/>
      <c r="C586" s="89"/>
      <c r="D586" s="90"/>
      <c r="E586" s="90"/>
      <c r="F586" s="90"/>
      <c r="G586" s="91"/>
      <c r="H586" s="91"/>
      <c r="I586" s="92"/>
      <c r="J586" s="90"/>
      <c r="K586" s="90"/>
      <c r="L586" s="93"/>
      <c r="M586" s="424"/>
      <c r="N586" s="95"/>
      <c r="O586" s="96"/>
      <c r="P586" s="525"/>
      <c r="Q586" s="96"/>
      <c r="R586" s="96"/>
      <c r="S586" s="96"/>
      <c r="T586" s="96"/>
      <c r="U586" s="97"/>
      <c r="V586" s="98"/>
      <c r="W586" s="99"/>
      <c r="X586" s="99"/>
      <c r="Y586" s="99"/>
      <c r="Z586" s="99"/>
    </row>
    <row r="587" spans="2:26" ht="15.95">
      <c r="B587" s="1031"/>
      <c r="C587" s="89"/>
      <c r="D587" s="90"/>
      <c r="E587" s="90"/>
      <c r="F587" s="90"/>
      <c r="G587" s="91"/>
      <c r="H587" s="91"/>
      <c r="I587" s="92"/>
      <c r="J587" s="90"/>
      <c r="K587" s="90"/>
      <c r="L587" s="93"/>
      <c r="M587" s="424"/>
      <c r="N587" s="95"/>
      <c r="O587" s="96"/>
      <c r="P587" s="525"/>
      <c r="Q587" s="96"/>
      <c r="R587" s="96"/>
      <c r="S587" s="96"/>
      <c r="T587" s="96"/>
      <c r="U587" s="97"/>
      <c r="V587" s="98"/>
      <c r="W587" s="99"/>
      <c r="X587" s="99"/>
      <c r="Y587" s="99"/>
      <c r="Z587" s="99"/>
    </row>
    <row r="588" spans="2:26" ht="15.95">
      <c r="B588" s="1031"/>
      <c r="C588" s="89"/>
      <c r="D588" s="90"/>
      <c r="E588" s="90"/>
      <c r="F588" s="90"/>
      <c r="G588" s="91"/>
      <c r="H588" s="91"/>
      <c r="I588" s="92"/>
      <c r="J588" s="90"/>
      <c r="K588" s="90"/>
      <c r="L588" s="93"/>
      <c r="M588" s="424"/>
      <c r="N588" s="95"/>
      <c r="O588" s="96"/>
      <c r="P588" s="525"/>
      <c r="Q588" s="96"/>
      <c r="R588" s="96"/>
      <c r="S588" s="96"/>
      <c r="T588" s="96"/>
      <c r="U588" s="97"/>
      <c r="V588" s="98"/>
      <c r="W588" s="99"/>
      <c r="X588" s="99"/>
      <c r="Y588" s="99"/>
      <c r="Z588" s="99"/>
    </row>
    <row r="589" spans="2:26" ht="15.95">
      <c r="B589" s="1031"/>
      <c r="C589" s="89"/>
      <c r="D589" s="90"/>
      <c r="E589" s="90"/>
      <c r="F589" s="90"/>
      <c r="G589" s="91"/>
      <c r="H589" s="91"/>
      <c r="I589" s="92"/>
      <c r="J589" s="90"/>
      <c r="K589" s="90"/>
      <c r="L589" s="93"/>
      <c r="M589" s="424"/>
      <c r="N589" s="95"/>
      <c r="O589" s="96"/>
      <c r="P589" s="525"/>
      <c r="Q589" s="96"/>
      <c r="R589" s="96"/>
      <c r="S589" s="96"/>
      <c r="T589" s="96"/>
      <c r="U589" s="97"/>
      <c r="V589" s="98"/>
      <c r="W589" s="99"/>
      <c r="X589" s="99"/>
      <c r="Y589" s="99"/>
      <c r="Z589" s="99"/>
    </row>
    <row r="590" spans="2:26" ht="15.95">
      <c r="B590" s="1031"/>
      <c r="C590" s="89"/>
      <c r="D590" s="90"/>
      <c r="E590" s="90"/>
      <c r="F590" s="90"/>
      <c r="G590" s="91"/>
      <c r="H590" s="91"/>
      <c r="I590" s="92"/>
      <c r="J590" s="90"/>
      <c r="K590" s="90"/>
      <c r="L590" s="93"/>
      <c r="M590" s="424"/>
      <c r="N590" s="95"/>
      <c r="O590" s="96"/>
      <c r="P590" s="525"/>
      <c r="Q590" s="96"/>
      <c r="R590" s="96"/>
      <c r="S590" s="96"/>
      <c r="T590" s="96"/>
      <c r="U590" s="97"/>
      <c r="V590" s="98"/>
      <c r="W590" s="99"/>
      <c r="X590" s="99"/>
      <c r="Y590" s="99"/>
      <c r="Z590" s="99"/>
    </row>
    <row r="591" spans="2:26" ht="15.95">
      <c r="B591" s="1031"/>
      <c r="C591" s="89"/>
      <c r="D591" s="90"/>
      <c r="E591" s="90"/>
      <c r="F591" s="90"/>
      <c r="G591" s="91"/>
      <c r="H591" s="91"/>
      <c r="I591" s="92"/>
      <c r="J591" s="90"/>
      <c r="K591" s="90"/>
      <c r="L591" s="93"/>
      <c r="M591" s="424"/>
      <c r="N591" s="95"/>
      <c r="O591" s="96"/>
      <c r="P591" s="525"/>
      <c r="Q591" s="96"/>
      <c r="R591" s="96"/>
      <c r="S591" s="96"/>
      <c r="T591" s="96"/>
      <c r="U591" s="97"/>
      <c r="V591" s="98"/>
      <c r="W591" s="99"/>
      <c r="X591" s="99"/>
      <c r="Y591" s="99"/>
      <c r="Z591" s="99"/>
    </row>
    <row r="592" spans="2:26" ht="15.95">
      <c r="B592" s="1031"/>
      <c r="C592" s="89"/>
      <c r="D592" s="90"/>
      <c r="E592" s="90"/>
      <c r="F592" s="90"/>
      <c r="G592" s="91"/>
      <c r="H592" s="91"/>
      <c r="I592" s="92"/>
      <c r="J592" s="90"/>
      <c r="K592" s="90"/>
      <c r="L592" s="93"/>
      <c r="M592" s="424"/>
      <c r="N592" s="95"/>
      <c r="O592" s="96"/>
      <c r="P592" s="525"/>
      <c r="Q592" s="96"/>
      <c r="R592" s="96"/>
      <c r="S592" s="96"/>
      <c r="T592" s="96"/>
      <c r="U592" s="97"/>
      <c r="V592" s="98"/>
      <c r="W592" s="99"/>
      <c r="X592" s="99"/>
      <c r="Y592" s="99"/>
      <c r="Z592" s="99"/>
    </row>
    <row r="593" spans="2:26" ht="15.95">
      <c r="B593" s="1031"/>
      <c r="C593" s="89"/>
      <c r="D593" s="90"/>
      <c r="E593" s="90"/>
      <c r="F593" s="90"/>
      <c r="G593" s="91"/>
      <c r="H593" s="91"/>
      <c r="I593" s="92"/>
      <c r="J593" s="90"/>
      <c r="K593" s="90"/>
      <c r="L593" s="93"/>
      <c r="M593" s="424"/>
      <c r="N593" s="95"/>
      <c r="O593" s="96"/>
      <c r="P593" s="525"/>
      <c r="Q593" s="96"/>
      <c r="R593" s="96"/>
      <c r="S593" s="96"/>
      <c r="T593" s="96"/>
      <c r="U593" s="97"/>
      <c r="V593" s="98"/>
      <c r="W593" s="99"/>
      <c r="X593" s="99"/>
      <c r="Y593" s="99"/>
      <c r="Z593" s="99"/>
    </row>
    <row r="594" spans="2:26" ht="15.95">
      <c r="B594" s="1031"/>
      <c r="C594" s="89"/>
      <c r="D594" s="90"/>
      <c r="E594" s="90"/>
      <c r="F594" s="90"/>
      <c r="G594" s="91"/>
      <c r="H594" s="91"/>
      <c r="I594" s="92"/>
      <c r="J594" s="90"/>
      <c r="K594" s="90"/>
      <c r="L594" s="93"/>
      <c r="M594" s="424"/>
      <c r="N594" s="95"/>
      <c r="O594" s="96"/>
      <c r="P594" s="525"/>
      <c r="Q594" s="96"/>
      <c r="R594" s="96"/>
      <c r="S594" s="96"/>
      <c r="T594" s="96"/>
      <c r="U594" s="97"/>
      <c r="V594" s="98"/>
      <c r="W594" s="99"/>
      <c r="X594" s="99"/>
      <c r="Y594" s="99"/>
      <c r="Z594" s="99"/>
    </row>
    <row r="595" spans="2:26" ht="15.95">
      <c r="B595" s="1031"/>
      <c r="C595" s="89"/>
      <c r="D595" s="90"/>
      <c r="E595" s="90"/>
      <c r="F595" s="90"/>
      <c r="G595" s="91"/>
      <c r="H595" s="91"/>
      <c r="I595" s="92"/>
      <c r="J595" s="90"/>
      <c r="K595" s="90"/>
      <c r="L595" s="93"/>
      <c r="M595" s="424"/>
      <c r="N595" s="95"/>
      <c r="O595" s="96"/>
      <c r="P595" s="525"/>
      <c r="Q595" s="96"/>
      <c r="R595" s="96"/>
      <c r="S595" s="96"/>
      <c r="T595" s="96"/>
      <c r="U595" s="97"/>
      <c r="V595" s="98"/>
      <c r="W595" s="99"/>
      <c r="X595" s="99"/>
      <c r="Y595" s="99"/>
      <c r="Z595" s="99"/>
    </row>
    <row r="596" spans="2:26" ht="15.95">
      <c r="B596" s="1031"/>
      <c r="C596" s="89"/>
      <c r="D596" s="90"/>
      <c r="E596" s="90"/>
      <c r="F596" s="90"/>
      <c r="G596" s="91"/>
      <c r="H596" s="91"/>
      <c r="I596" s="92"/>
      <c r="J596" s="90"/>
      <c r="K596" s="90"/>
      <c r="L596" s="93"/>
      <c r="M596" s="424"/>
      <c r="N596" s="95"/>
      <c r="O596" s="96"/>
      <c r="P596" s="525"/>
      <c r="Q596" s="96"/>
      <c r="R596" s="96"/>
      <c r="S596" s="96"/>
      <c r="T596" s="96"/>
      <c r="U596" s="97"/>
      <c r="V596" s="98"/>
      <c r="W596" s="99"/>
      <c r="X596" s="99"/>
      <c r="Y596" s="99"/>
      <c r="Z596" s="99"/>
    </row>
    <row r="597" spans="2:26" ht="15.95">
      <c r="B597" s="1031"/>
      <c r="C597" s="89"/>
      <c r="D597" s="90"/>
      <c r="E597" s="90"/>
      <c r="F597" s="90"/>
      <c r="G597" s="91"/>
      <c r="H597" s="91"/>
      <c r="I597" s="92"/>
      <c r="J597" s="90"/>
      <c r="K597" s="90"/>
      <c r="L597" s="93"/>
      <c r="M597" s="424"/>
      <c r="N597" s="95"/>
      <c r="O597" s="96"/>
      <c r="P597" s="525"/>
      <c r="Q597" s="96"/>
      <c r="R597" s="96"/>
      <c r="S597" s="96"/>
      <c r="T597" s="96"/>
      <c r="U597" s="97"/>
      <c r="V597" s="98"/>
      <c r="W597" s="99"/>
      <c r="X597" s="99"/>
      <c r="Y597" s="99"/>
      <c r="Z597" s="99"/>
    </row>
    <row r="598" spans="2:26" ht="15.95">
      <c r="B598" s="1031"/>
      <c r="C598" s="89"/>
      <c r="D598" s="90"/>
      <c r="E598" s="90"/>
      <c r="F598" s="90"/>
      <c r="G598" s="91"/>
      <c r="H598" s="91"/>
      <c r="I598" s="92"/>
      <c r="J598" s="90"/>
      <c r="K598" s="90"/>
      <c r="L598" s="93"/>
      <c r="M598" s="424"/>
      <c r="N598" s="95"/>
      <c r="O598" s="96"/>
      <c r="P598" s="525"/>
      <c r="Q598" s="96"/>
      <c r="R598" s="96"/>
      <c r="S598" s="96"/>
      <c r="T598" s="96"/>
      <c r="U598" s="97"/>
      <c r="V598" s="98"/>
      <c r="W598" s="99"/>
      <c r="X598" s="99"/>
      <c r="Y598" s="99"/>
      <c r="Z598" s="99"/>
    </row>
    <row r="599" spans="2:26" ht="15.95">
      <c r="B599" s="1031"/>
      <c r="C599" s="89"/>
      <c r="D599" s="90"/>
      <c r="E599" s="90"/>
      <c r="F599" s="90"/>
      <c r="G599" s="91"/>
      <c r="H599" s="91"/>
      <c r="I599" s="92"/>
      <c r="J599" s="90"/>
      <c r="K599" s="90"/>
      <c r="L599" s="93"/>
      <c r="M599" s="424"/>
      <c r="N599" s="95"/>
      <c r="O599" s="96"/>
      <c r="P599" s="525"/>
      <c r="Q599" s="96"/>
      <c r="R599" s="96"/>
      <c r="S599" s="96"/>
      <c r="T599" s="96"/>
      <c r="U599" s="97"/>
      <c r="V599" s="98"/>
      <c r="W599" s="99"/>
      <c r="X599" s="99"/>
      <c r="Y599" s="99"/>
      <c r="Z599" s="99"/>
    </row>
    <row r="600" spans="2:26" ht="15.95">
      <c r="B600" s="1031"/>
      <c r="C600" s="89"/>
      <c r="D600" s="90"/>
      <c r="E600" s="90"/>
      <c r="F600" s="90"/>
      <c r="G600" s="91"/>
      <c r="H600" s="91"/>
      <c r="I600" s="92"/>
      <c r="J600" s="90"/>
      <c r="K600" s="90"/>
      <c r="L600" s="93"/>
      <c r="M600" s="424"/>
      <c r="N600" s="95"/>
      <c r="O600" s="96"/>
      <c r="P600" s="525"/>
      <c r="Q600" s="96"/>
      <c r="R600" s="96"/>
      <c r="S600" s="96"/>
      <c r="T600" s="96"/>
      <c r="U600" s="97"/>
      <c r="V600" s="98"/>
      <c r="W600" s="99"/>
      <c r="X600" s="99"/>
      <c r="Y600" s="99"/>
      <c r="Z600" s="99"/>
    </row>
    <row r="601" spans="2:26" ht="15.95">
      <c r="B601" s="1031"/>
      <c r="C601" s="89"/>
      <c r="D601" s="90"/>
      <c r="E601" s="90"/>
      <c r="F601" s="90"/>
      <c r="G601" s="91"/>
      <c r="H601" s="91"/>
      <c r="I601" s="92"/>
      <c r="J601" s="90"/>
      <c r="K601" s="90"/>
      <c r="L601" s="93"/>
      <c r="M601" s="424"/>
      <c r="N601" s="95"/>
      <c r="O601" s="96"/>
      <c r="P601" s="525"/>
      <c r="Q601" s="96"/>
      <c r="R601" s="96"/>
      <c r="S601" s="96"/>
      <c r="T601" s="96"/>
      <c r="U601" s="97"/>
      <c r="V601" s="98"/>
      <c r="W601" s="99"/>
      <c r="X601" s="99"/>
      <c r="Y601" s="99"/>
      <c r="Z601" s="99"/>
    </row>
    <row r="602" spans="2:26" ht="15.95">
      <c r="B602" s="1031"/>
      <c r="C602" s="89"/>
      <c r="D602" s="90"/>
      <c r="E602" s="90"/>
      <c r="F602" s="90"/>
      <c r="G602" s="91"/>
      <c r="H602" s="91"/>
      <c r="I602" s="92"/>
      <c r="J602" s="90"/>
      <c r="K602" s="90"/>
      <c r="L602" s="93"/>
      <c r="M602" s="424"/>
      <c r="N602" s="95"/>
      <c r="O602" s="96"/>
      <c r="P602" s="525"/>
      <c r="Q602" s="96"/>
      <c r="R602" s="96"/>
      <c r="S602" s="96"/>
      <c r="T602" s="96"/>
      <c r="U602" s="97"/>
      <c r="V602" s="98"/>
      <c r="W602" s="99"/>
      <c r="X602" s="99"/>
      <c r="Y602" s="99"/>
      <c r="Z602" s="99"/>
    </row>
    <row r="603" spans="2:26" ht="15.95">
      <c r="B603" s="1031"/>
      <c r="C603" s="89"/>
      <c r="D603" s="90"/>
      <c r="E603" s="90"/>
      <c r="F603" s="90"/>
      <c r="G603" s="91"/>
      <c r="H603" s="91"/>
      <c r="I603" s="92"/>
      <c r="J603" s="90"/>
      <c r="K603" s="90"/>
      <c r="L603" s="93"/>
      <c r="M603" s="424"/>
      <c r="N603" s="95"/>
      <c r="O603" s="96"/>
      <c r="P603" s="525"/>
      <c r="Q603" s="96"/>
      <c r="R603" s="96"/>
      <c r="S603" s="96"/>
      <c r="T603" s="96"/>
      <c r="U603" s="97"/>
      <c r="V603" s="98"/>
      <c r="W603" s="99"/>
      <c r="X603" s="99"/>
      <c r="Y603" s="99"/>
      <c r="Z603" s="99"/>
    </row>
    <row r="604" spans="2:26" ht="15.95">
      <c r="B604" s="1031"/>
      <c r="C604" s="89"/>
      <c r="D604" s="90"/>
      <c r="E604" s="90"/>
      <c r="F604" s="90"/>
      <c r="G604" s="91"/>
      <c r="H604" s="91"/>
      <c r="I604" s="92"/>
      <c r="J604" s="90"/>
      <c r="K604" s="90"/>
      <c r="L604" s="93"/>
      <c r="M604" s="424"/>
      <c r="N604" s="95"/>
      <c r="O604" s="96"/>
      <c r="P604" s="525"/>
      <c r="Q604" s="96"/>
      <c r="R604" s="96"/>
      <c r="S604" s="96"/>
      <c r="T604" s="96"/>
      <c r="U604" s="97"/>
      <c r="V604" s="98"/>
      <c r="W604" s="99"/>
      <c r="X604" s="99"/>
      <c r="Y604" s="99"/>
      <c r="Z604" s="99"/>
    </row>
    <row r="605" spans="2:26" ht="15.95">
      <c r="B605" s="1031"/>
      <c r="C605" s="89"/>
      <c r="D605" s="90"/>
      <c r="E605" s="90"/>
      <c r="F605" s="90"/>
      <c r="G605" s="91"/>
      <c r="H605" s="91"/>
      <c r="I605" s="92"/>
      <c r="J605" s="90"/>
      <c r="K605" s="90"/>
      <c r="L605" s="93"/>
      <c r="M605" s="424"/>
      <c r="N605" s="95"/>
      <c r="O605" s="96"/>
      <c r="P605" s="525"/>
      <c r="Q605" s="96"/>
      <c r="R605" s="96"/>
      <c r="S605" s="96"/>
      <c r="T605" s="96"/>
      <c r="U605" s="97"/>
      <c r="V605" s="98"/>
      <c r="W605" s="99"/>
      <c r="X605" s="99"/>
      <c r="Y605" s="99"/>
      <c r="Z605" s="99"/>
    </row>
    <row r="606" spans="2:26" ht="15.95">
      <c r="B606" s="1031"/>
      <c r="C606" s="89"/>
      <c r="D606" s="90"/>
      <c r="E606" s="90"/>
      <c r="F606" s="90"/>
      <c r="G606" s="91"/>
      <c r="H606" s="91"/>
      <c r="I606" s="92"/>
      <c r="J606" s="90"/>
      <c r="K606" s="90"/>
      <c r="L606" s="93"/>
      <c r="M606" s="424"/>
      <c r="N606" s="95"/>
      <c r="O606" s="96"/>
      <c r="P606" s="525"/>
      <c r="Q606" s="96"/>
      <c r="R606" s="96"/>
      <c r="S606" s="96"/>
      <c r="T606" s="96"/>
      <c r="U606" s="97"/>
      <c r="V606" s="98"/>
      <c r="W606" s="99"/>
      <c r="X606" s="99"/>
      <c r="Y606" s="99"/>
      <c r="Z606" s="99"/>
    </row>
    <row r="607" spans="2:26" ht="15.95">
      <c r="B607" s="1031"/>
      <c r="C607" s="89"/>
      <c r="D607" s="90"/>
      <c r="E607" s="90"/>
      <c r="F607" s="90"/>
      <c r="G607" s="91"/>
      <c r="H607" s="91"/>
      <c r="I607" s="92"/>
      <c r="J607" s="90"/>
      <c r="K607" s="90"/>
      <c r="L607" s="93"/>
      <c r="M607" s="424"/>
      <c r="N607" s="95"/>
      <c r="O607" s="96"/>
      <c r="P607" s="525"/>
      <c r="Q607" s="96"/>
      <c r="R607" s="96"/>
      <c r="S607" s="96"/>
      <c r="T607" s="96"/>
      <c r="U607" s="97"/>
      <c r="V607" s="98"/>
      <c r="W607" s="99"/>
      <c r="X607" s="99"/>
      <c r="Y607" s="99"/>
      <c r="Z607" s="99"/>
    </row>
    <row r="608" spans="2:26" ht="15.95">
      <c r="B608" s="1031"/>
      <c r="C608" s="89"/>
      <c r="D608" s="90"/>
      <c r="E608" s="90"/>
      <c r="F608" s="90"/>
      <c r="G608" s="91"/>
      <c r="H608" s="91"/>
      <c r="I608" s="92"/>
      <c r="J608" s="90"/>
      <c r="K608" s="90"/>
      <c r="L608" s="93"/>
      <c r="M608" s="424"/>
      <c r="N608" s="95"/>
      <c r="O608" s="96"/>
      <c r="P608" s="525"/>
      <c r="Q608" s="96"/>
      <c r="R608" s="96"/>
      <c r="S608" s="96"/>
      <c r="T608" s="96"/>
      <c r="U608" s="97"/>
      <c r="V608" s="98"/>
      <c r="W608" s="99"/>
      <c r="X608" s="99"/>
      <c r="Y608" s="99"/>
      <c r="Z608" s="99"/>
    </row>
    <row r="609" spans="2:26" ht="15.95">
      <c r="B609" s="1031"/>
      <c r="C609" s="89"/>
      <c r="D609" s="90"/>
      <c r="E609" s="90"/>
      <c r="F609" s="90"/>
      <c r="G609" s="91"/>
      <c r="H609" s="91"/>
      <c r="I609" s="92"/>
      <c r="J609" s="90"/>
      <c r="K609" s="90"/>
      <c r="L609" s="93"/>
      <c r="M609" s="424"/>
      <c r="N609" s="95"/>
      <c r="O609" s="96"/>
      <c r="P609" s="525"/>
      <c r="Q609" s="96"/>
      <c r="R609" s="96"/>
      <c r="S609" s="96"/>
      <c r="T609" s="96"/>
      <c r="U609" s="97"/>
      <c r="V609" s="98"/>
      <c r="W609" s="99"/>
      <c r="X609" s="99"/>
      <c r="Y609" s="99"/>
      <c r="Z609" s="99"/>
    </row>
    <row r="610" spans="2:26" ht="15.95">
      <c r="B610" s="1031"/>
      <c r="C610" s="89"/>
      <c r="D610" s="90"/>
      <c r="E610" s="90"/>
      <c r="F610" s="90"/>
      <c r="G610" s="91"/>
      <c r="H610" s="91"/>
      <c r="I610" s="92"/>
      <c r="J610" s="90"/>
      <c r="K610" s="90"/>
      <c r="L610" s="93"/>
      <c r="M610" s="424"/>
      <c r="N610" s="95"/>
      <c r="O610" s="96"/>
      <c r="P610" s="525"/>
      <c r="Q610" s="96"/>
      <c r="R610" s="96"/>
      <c r="S610" s="96"/>
      <c r="T610" s="96"/>
      <c r="U610" s="97"/>
      <c r="V610" s="98"/>
      <c r="W610" s="99"/>
      <c r="X610" s="99"/>
      <c r="Y610" s="99"/>
      <c r="Z610" s="99"/>
    </row>
    <row r="611" spans="2:26" ht="15.95">
      <c r="B611" s="1031"/>
      <c r="C611" s="89"/>
      <c r="D611" s="90"/>
      <c r="E611" s="90"/>
      <c r="F611" s="90"/>
      <c r="G611" s="91"/>
      <c r="H611" s="91"/>
      <c r="I611" s="92"/>
      <c r="J611" s="90"/>
      <c r="K611" s="90"/>
      <c r="L611" s="93"/>
      <c r="M611" s="424"/>
      <c r="N611" s="95"/>
      <c r="O611" s="96"/>
      <c r="P611" s="525"/>
      <c r="Q611" s="96"/>
      <c r="R611" s="96"/>
      <c r="S611" s="96"/>
      <c r="T611" s="96"/>
      <c r="U611" s="97"/>
      <c r="V611" s="98"/>
      <c r="W611" s="99"/>
      <c r="X611" s="99"/>
      <c r="Y611" s="99"/>
      <c r="Z611" s="99"/>
    </row>
    <row r="612" spans="2:26" ht="15.95">
      <c r="B612" s="1031"/>
      <c r="C612" s="89"/>
      <c r="D612" s="90"/>
      <c r="E612" s="90"/>
      <c r="F612" s="90"/>
      <c r="G612" s="91"/>
      <c r="H612" s="91"/>
      <c r="I612" s="92"/>
      <c r="J612" s="90"/>
      <c r="K612" s="90"/>
      <c r="L612" s="93"/>
      <c r="M612" s="424"/>
      <c r="N612" s="95"/>
      <c r="O612" s="96"/>
      <c r="P612" s="525"/>
      <c r="Q612" s="96"/>
      <c r="R612" s="96"/>
      <c r="S612" s="96"/>
      <c r="T612" s="96"/>
      <c r="U612" s="97"/>
      <c r="V612" s="98"/>
      <c r="W612" s="99"/>
      <c r="X612" s="99"/>
      <c r="Y612" s="99"/>
      <c r="Z612" s="99"/>
    </row>
    <row r="613" spans="2:26" ht="15.95">
      <c r="B613" s="1031"/>
      <c r="C613" s="89"/>
      <c r="D613" s="90"/>
      <c r="E613" s="90"/>
      <c r="F613" s="90"/>
      <c r="G613" s="91"/>
      <c r="H613" s="91"/>
      <c r="I613" s="92"/>
      <c r="J613" s="90"/>
      <c r="K613" s="90"/>
      <c r="L613" s="93"/>
      <c r="M613" s="424"/>
      <c r="N613" s="95"/>
      <c r="O613" s="96"/>
      <c r="P613" s="525"/>
      <c r="Q613" s="96"/>
      <c r="R613" s="96"/>
      <c r="S613" s="96"/>
      <c r="T613" s="96"/>
      <c r="U613" s="97"/>
      <c r="V613" s="98"/>
      <c r="W613" s="99"/>
      <c r="X613" s="99"/>
      <c r="Y613" s="99"/>
      <c r="Z613" s="99"/>
    </row>
    <row r="614" spans="2:26" ht="15.95">
      <c r="B614" s="1031"/>
      <c r="C614" s="89"/>
      <c r="D614" s="90"/>
      <c r="E614" s="90"/>
      <c r="F614" s="90"/>
      <c r="G614" s="91"/>
      <c r="H614" s="91"/>
      <c r="I614" s="92"/>
      <c r="J614" s="90"/>
      <c r="K614" s="90"/>
      <c r="L614" s="93"/>
      <c r="M614" s="424"/>
      <c r="N614" s="95"/>
      <c r="O614" s="96"/>
      <c r="P614" s="525"/>
      <c r="Q614" s="96"/>
      <c r="R614" s="96"/>
      <c r="S614" s="96"/>
      <c r="T614" s="96"/>
      <c r="U614" s="97"/>
      <c r="V614" s="98"/>
      <c r="W614" s="99"/>
      <c r="X614" s="99"/>
      <c r="Y614" s="99"/>
      <c r="Z614" s="99"/>
    </row>
    <row r="615" spans="2:26" ht="15.95">
      <c r="B615" s="1031"/>
      <c r="C615" s="89"/>
      <c r="D615" s="90"/>
      <c r="E615" s="90"/>
      <c r="F615" s="90"/>
      <c r="G615" s="91"/>
      <c r="H615" s="91"/>
      <c r="I615" s="92"/>
      <c r="J615" s="90"/>
      <c r="K615" s="90"/>
      <c r="L615" s="93"/>
      <c r="M615" s="424"/>
      <c r="N615" s="95"/>
      <c r="O615" s="96"/>
      <c r="P615" s="525"/>
      <c r="Q615" s="96"/>
      <c r="R615" s="96"/>
      <c r="S615" s="96"/>
      <c r="T615" s="96"/>
      <c r="U615" s="97"/>
      <c r="V615" s="98"/>
      <c r="W615" s="99"/>
      <c r="X615" s="99"/>
      <c r="Y615" s="99"/>
      <c r="Z615" s="99"/>
    </row>
    <row r="616" spans="2:26" ht="15.95">
      <c r="B616" s="1031"/>
      <c r="C616" s="89"/>
      <c r="D616" s="90"/>
      <c r="E616" s="90"/>
      <c r="F616" s="90"/>
      <c r="G616" s="91"/>
      <c r="H616" s="91"/>
      <c r="I616" s="92"/>
      <c r="J616" s="90"/>
      <c r="K616" s="90"/>
      <c r="L616" s="93"/>
      <c r="M616" s="424"/>
      <c r="N616" s="95"/>
      <c r="O616" s="96"/>
      <c r="P616" s="525"/>
      <c r="Q616" s="96"/>
      <c r="R616" s="96"/>
      <c r="S616" s="96"/>
      <c r="T616" s="96"/>
      <c r="U616" s="97"/>
      <c r="V616" s="98"/>
      <c r="W616" s="99"/>
      <c r="X616" s="99"/>
      <c r="Y616" s="99"/>
      <c r="Z616" s="99"/>
    </row>
    <row r="617" spans="2:26" ht="15.95">
      <c r="B617" s="1031"/>
      <c r="C617" s="89"/>
      <c r="D617" s="90"/>
      <c r="E617" s="90"/>
      <c r="F617" s="90"/>
      <c r="G617" s="91"/>
      <c r="H617" s="91"/>
      <c r="I617" s="92"/>
      <c r="J617" s="90"/>
      <c r="K617" s="90"/>
      <c r="L617" s="93"/>
      <c r="M617" s="424"/>
      <c r="N617" s="95"/>
      <c r="O617" s="96"/>
      <c r="P617" s="525"/>
      <c r="Q617" s="96"/>
      <c r="R617" s="96"/>
      <c r="S617" s="96"/>
      <c r="T617" s="96"/>
      <c r="U617" s="97"/>
      <c r="V617" s="98"/>
      <c r="W617" s="99"/>
      <c r="X617" s="99"/>
      <c r="Y617" s="99"/>
      <c r="Z617" s="99"/>
    </row>
    <row r="618" spans="2:26" ht="15.95">
      <c r="B618" s="1031"/>
      <c r="C618" s="89"/>
      <c r="D618" s="90"/>
      <c r="E618" s="90"/>
      <c r="F618" s="90"/>
      <c r="G618" s="91"/>
      <c r="H618" s="91"/>
      <c r="I618" s="92"/>
      <c r="J618" s="90"/>
      <c r="K618" s="90"/>
      <c r="L618" s="93"/>
      <c r="M618" s="424"/>
      <c r="N618" s="95"/>
      <c r="O618" s="96"/>
      <c r="P618" s="525"/>
      <c r="Q618" s="96"/>
      <c r="R618" s="96"/>
      <c r="S618" s="96"/>
      <c r="T618" s="96"/>
      <c r="U618" s="97"/>
      <c r="V618" s="98"/>
      <c r="W618" s="99"/>
      <c r="X618" s="99"/>
      <c r="Y618" s="99"/>
      <c r="Z618" s="99"/>
    </row>
    <row r="619" spans="2:26" ht="15.95">
      <c r="B619" s="1031"/>
      <c r="C619" s="89"/>
      <c r="D619" s="90"/>
      <c r="E619" s="90"/>
      <c r="F619" s="90"/>
      <c r="G619" s="91"/>
      <c r="H619" s="91"/>
      <c r="I619" s="92"/>
      <c r="J619" s="90"/>
      <c r="K619" s="90"/>
      <c r="L619" s="93"/>
      <c r="M619" s="424"/>
      <c r="N619" s="95"/>
      <c r="O619" s="96"/>
      <c r="P619" s="525"/>
      <c r="Q619" s="96"/>
      <c r="R619" s="96"/>
      <c r="S619" s="96"/>
      <c r="T619" s="96"/>
      <c r="U619" s="97"/>
      <c r="V619" s="98"/>
      <c r="W619" s="99"/>
      <c r="X619" s="99"/>
      <c r="Y619" s="99"/>
      <c r="Z619" s="99"/>
    </row>
    <row r="620" spans="2:26" ht="15.95">
      <c r="B620" s="1031"/>
      <c r="C620" s="89"/>
      <c r="D620" s="90"/>
      <c r="E620" s="90"/>
      <c r="F620" s="90"/>
      <c r="G620" s="91"/>
      <c r="H620" s="91"/>
      <c r="I620" s="92"/>
      <c r="J620" s="90"/>
      <c r="K620" s="90"/>
      <c r="L620" s="93"/>
      <c r="M620" s="424"/>
      <c r="N620" s="95"/>
      <c r="O620" s="96"/>
      <c r="P620" s="525"/>
      <c r="Q620" s="96"/>
      <c r="R620" s="96"/>
      <c r="S620" s="96"/>
      <c r="T620" s="96"/>
      <c r="U620" s="97"/>
      <c r="V620" s="98"/>
      <c r="W620" s="99"/>
      <c r="X620" s="99"/>
      <c r="Y620" s="99"/>
      <c r="Z620" s="99"/>
    </row>
    <row r="621" spans="2:26" ht="15.95">
      <c r="B621" s="1031"/>
      <c r="C621" s="89"/>
      <c r="D621" s="90"/>
      <c r="E621" s="90"/>
      <c r="F621" s="90"/>
      <c r="G621" s="91"/>
      <c r="H621" s="91"/>
      <c r="I621" s="92"/>
      <c r="J621" s="90"/>
      <c r="K621" s="90"/>
      <c r="L621" s="93"/>
      <c r="M621" s="424"/>
      <c r="N621" s="95"/>
      <c r="O621" s="96"/>
      <c r="P621" s="525"/>
      <c r="Q621" s="96"/>
      <c r="R621" s="96"/>
      <c r="S621" s="96"/>
      <c r="T621" s="96"/>
      <c r="U621" s="97"/>
      <c r="V621" s="98"/>
      <c r="W621" s="99"/>
      <c r="X621" s="99"/>
      <c r="Y621" s="99"/>
      <c r="Z621" s="99"/>
    </row>
    <row r="622" spans="2:26" ht="15.95">
      <c r="B622" s="1031"/>
      <c r="C622" s="89"/>
      <c r="D622" s="90"/>
      <c r="E622" s="90"/>
      <c r="F622" s="90"/>
      <c r="G622" s="91"/>
      <c r="H622" s="91"/>
      <c r="I622" s="92"/>
      <c r="J622" s="90"/>
      <c r="K622" s="90"/>
      <c r="L622" s="93"/>
      <c r="M622" s="424"/>
      <c r="N622" s="95"/>
      <c r="O622" s="96"/>
      <c r="P622" s="525"/>
      <c r="Q622" s="96"/>
      <c r="R622" s="96"/>
      <c r="S622" s="96"/>
      <c r="T622" s="96"/>
      <c r="U622" s="97"/>
      <c r="V622" s="98"/>
      <c r="W622" s="99"/>
      <c r="X622" s="99"/>
      <c r="Y622" s="99"/>
      <c r="Z622" s="99"/>
    </row>
    <row r="623" spans="2:26" ht="15.95">
      <c r="B623" s="1031"/>
      <c r="C623" s="89"/>
      <c r="D623" s="90"/>
      <c r="E623" s="90"/>
      <c r="F623" s="90"/>
      <c r="G623" s="91"/>
      <c r="H623" s="91"/>
      <c r="I623" s="92"/>
      <c r="J623" s="90"/>
      <c r="K623" s="90"/>
      <c r="L623" s="93"/>
      <c r="M623" s="424"/>
      <c r="N623" s="95"/>
      <c r="O623" s="96"/>
      <c r="P623" s="525"/>
      <c r="Q623" s="96"/>
      <c r="R623" s="96"/>
      <c r="S623" s="96"/>
      <c r="T623" s="96"/>
      <c r="U623" s="97"/>
      <c r="V623" s="98"/>
      <c r="W623" s="99"/>
      <c r="X623" s="99"/>
      <c r="Y623" s="99"/>
      <c r="Z623" s="99"/>
    </row>
    <row r="624" spans="2:26" ht="15.95">
      <c r="B624" s="1031"/>
      <c r="C624" s="89"/>
      <c r="D624" s="90"/>
      <c r="E624" s="90"/>
      <c r="F624" s="90"/>
      <c r="G624" s="91"/>
      <c r="H624" s="91"/>
      <c r="I624" s="92"/>
      <c r="J624" s="90"/>
      <c r="K624" s="90"/>
      <c r="L624" s="93"/>
      <c r="M624" s="424"/>
      <c r="N624" s="95"/>
      <c r="O624" s="96"/>
      <c r="P624" s="525"/>
      <c r="Q624" s="96"/>
      <c r="R624" s="96"/>
      <c r="S624" s="96"/>
      <c r="T624" s="96"/>
      <c r="U624" s="97"/>
      <c r="V624" s="98"/>
      <c r="W624" s="99"/>
      <c r="X624" s="99"/>
      <c r="Y624" s="99"/>
      <c r="Z624" s="99"/>
    </row>
    <row r="625" spans="2:26" ht="15.95">
      <c r="B625" s="1031"/>
      <c r="C625" s="89"/>
      <c r="D625" s="90"/>
      <c r="E625" s="90"/>
      <c r="F625" s="90"/>
      <c r="G625" s="91"/>
      <c r="H625" s="91"/>
      <c r="I625" s="92"/>
      <c r="J625" s="90"/>
      <c r="K625" s="90"/>
      <c r="L625" s="93"/>
      <c r="M625" s="424"/>
      <c r="N625" s="95"/>
      <c r="O625" s="96"/>
      <c r="P625" s="525"/>
      <c r="Q625" s="96"/>
      <c r="R625" s="96"/>
      <c r="S625" s="96"/>
      <c r="T625" s="96"/>
      <c r="U625" s="97"/>
      <c r="V625" s="98"/>
      <c r="W625" s="99"/>
      <c r="X625" s="99"/>
      <c r="Y625" s="99"/>
      <c r="Z625" s="99"/>
    </row>
    <row r="626" spans="2:26" ht="15.95">
      <c r="B626" s="1031"/>
      <c r="C626" s="89"/>
      <c r="D626" s="90"/>
      <c r="E626" s="90"/>
      <c r="F626" s="90"/>
      <c r="G626" s="91"/>
      <c r="H626" s="91"/>
      <c r="I626" s="92"/>
      <c r="J626" s="90"/>
      <c r="K626" s="90"/>
      <c r="L626" s="93"/>
      <c r="M626" s="424"/>
      <c r="N626" s="95"/>
      <c r="O626" s="96"/>
      <c r="P626" s="525"/>
      <c r="Q626" s="96"/>
      <c r="R626" s="96"/>
      <c r="S626" s="96"/>
      <c r="T626" s="96"/>
      <c r="U626" s="97"/>
      <c r="V626" s="98"/>
      <c r="W626" s="99"/>
      <c r="X626" s="99"/>
      <c r="Y626" s="99"/>
      <c r="Z626" s="99"/>
    </row>
    <row r="627" spans="2:26" ht="15.95">
      <c r="B627" s="1031"/>
      <c r="C627" s="89"/>
      <c r="D627" s="90"/>
      <c r="E627" s="90"/>
      <c r="F627" s="90"/>
      <c r="G627" s="91"/>
      <c r="H627" s="91"/>
      <c r="I627" s="92"/>
      <c r="J627" s="90"/>
      <c r="K627" s="90"/>
      <c r="L627" s="93"/>
      <c r="M627" s="424"/>
      <c r="N627" s="95"/>
      <c r="O627" s="96"/>
      <c r="P627" s="525"/>
      <c r="Q627" s="96"/>
      <c r="R627" s="96"/>
      <c r="S627" s="96"/>
      <c r="T627" s="96"/>
      <c r="U627" s="97"/>
      <c r="V627" s="98"/>
      <c r="W627" s="99"/>
      <c r="X627" s="99"/>
      <c r="Y627" s="99"/>
      <c r="Z627" s="99"/>
    </row>
    <row r="628" spans="2:26" ht="15.95">
      <c r="B628" s="1031"/>
      <c r="C628" s="89"/>
      <c r="D628" s="90"/>
      <c r="E628" s="90"/>
      <c r="F628" s="90"/>
      <c r="G628" s="91"/>
      <c r="H628" s="91"/>
      <c r="I628" s="92"/>
      <c r="J628" s="90"/>
      <c r="K628" s="90"/>
      <c r="L628" s="93"/>
      <c r="M628" s="424"/>
      <c r="N628" s="95"/>
      <c r="O628" s="96"/>
      <c r="P628" s="525"/>
      <c r="Q628" s="96"/>
      <c r="R628" s="96"/>
      <c r="S628" s="96"/>
      <c r="T628" s="96"/>
      <c r="U628" s="97"/>
      <c r="V628" s="98"/>
      <c r="W628" s="99"/>
      <c r="X628" s="99"/>
      <c r="Y628" s="99"/>
      <c r="Z628" s="99"/>
    </row>
    <row r="629" spans="2:26" ht="15.95">
      <c r="B629" s="1031"/>
      <c r="C629" s="89"/>
      <c r="D629" s="90"/>
      <c r="E629" s="90"/>
      <c r="F629" s="90"/>
      <c r="G629" s="91"/>
      <c r="H629" s="91"/>
      <c r="I629" s="92"/>
      <c r="J629" s="90"/>
      <c r="K629" s="90"/>
      <c r="L629" s="93"/>
      <c r="M629" s="424"/>
      <c r="N629" s="95"/>
      <c r="O629" s="96"/>
      <c r="P629" s="525"/>
      <c r="Q629" s="96"/>
      <c r="R629" s="96"/>
      <c r="S629" s="96"/>
      <c r="T629" s="96"/>
      <c r="U629" s="97"/>
      <c r="V629" s="98"/>
      <c r="W629" s="99"/>
      <c r="X629" s="99"/>
      <c r="Y629" s="99"/>
      <c r="Z629" s="99"/>
    </row>
    <row r="630" spans="2:26" ht="15.95">
      <c r="B630" s="1031"/>
      <c r="C630" s="89"/>
      <c r="D630" s="90"/>
      <c r="E630" s="90"/>
      <c r="F630" s="90"/>
      <c r="G630" s="91"/>
      <c r="H630" s="91"/>
      <c r="I630" s="92"/>
      <c r="J630" s="90"/>
      <c r="K630" s="90"/>
      <c r="L630" s="93"/>
      <c r="M630" s="424"/>
      <c r="N630" s="95"/>
      <c r="O630" s="96"/>
      <c r="P630" s="525"/>
      <c r="Q630" s="96"/>
      <c r="R630" s="96"/>
      <c r="S630" s="96"/>
      <c r="T630" s="96"/>
      <c r="U630" s="97"/>
      <c r="V630" s="98"/>
      <c r="W630" s="99"/>
      <c r="X630" s="99"/>
      <c r="Y630" s="99"/>
      <c r="Z630" s="99"/>
    </row>
    <row r="631" spans="2:26" ht="15.95">
      <c r="B631" s="1031"/>
      <c r="C631" s="89"/>
      <c r="D631" s="90"/>
      <c r="E631" s="90"/>
      <c r="F631" s="90"/>
      <c r="G631" s="91"/>
      <c r="H631" s="91"/>
      <c r="I631" s="92"/>
      <c r="J631" s="90"/>
      <c r="K631" s="90"/>
      <c r="L631" s="93"/>
      <c r="M631" s="424"/>
      <c r="N631" s="95"/>
      <c r="O631" s="96"/>
      <c r="P631" s="525"/>
      <c r="Q631" s="96"/>
      <c r="R631" s="96"/>
      <c r="S631" s="96"/>
      <c r="T631" s="96"/>
      <c r="U631" s="97"/>
      <c r="V631" s="98"/>
      <c r="W631" s="99"/>
      <c r="X631" s="99"/>
      <c r="Y631" s="99"/>
      <c r="Z631" s="99"/>
    </row>
    <row r="632" spans="2:26" ht="15.95">
      <c r="B632" s="1031"/>
      <c r="C632" s="89"/>
      <c r="D632" s="90"/>
      <c r="E632" s="90"/>
      <c r="F632" s="90"/>
      <c r="G632" s="91"/>
      <c r="H632" s="91"/>
      <c r="I632" s="92"/>
      <c r="J632" s="90"/>
      <c r="K632" s="90"/>
      <c r="L632" s="93"/>
      <c r="M632" s="424"/>
      <c r="N632" s="95"/>
      <c r="O632" s="96"/>
      <c r="P632" s="525"/>
      <c r="Q632" s="96"/>
      <c r="R632" s="96"/>
      <c r="S632" s="96"/>
      <c r="T632" s="96"/>
      <c r="U632" s="97"/>
      <c r="V632" s="98"/>
      <c r="W632" s="99"/>
      <c r="X632" s="99"/>
      <c r="Y632" s="99"/>
      <c r="Z632" s="99"/>
    </row>
    <row r="633" spans="2:26" ht="15.95">
      <c r="B633" s="1031"/>
      <c r="C633" s="89"/>
      <c r="D633" s="90"/>
      <c r="E633" s="90"/>
      <c r="F633" s="90"/>
      <c r="G633" s="91"/>
      <c r="H633" s="91"/>
      <c r="I633" s="92"/>
      <c r="J633" s="90"/>
      <c r="K633" s="90"/>
      <c r="L633" s="93"/>
      <c r="M633" s="424"/>
      <c r="N633" s="95"/>
      <c r="O633" s="96"/>
      <c r="P633" s="525"/>
      <c r="Q633" s="96"/>
      <c r="R633" s="96"/>
      <c r="S633" s="96"/>
      <c r="T633" s="96"/>
      <c r="U633" s="97"/>
      <c r="V633" s="98"/>
      <c r="W633" s="99"/>
      <c r="X633" s="99"/>
      <c r="Y633" s="99"/>
      <c r="Z633" s="99"/>
    </row>
    <row r="634" spans="2:26" ht="15.95">
      <c r="B634" s="1031"/>
      <c r="C634" s="89"/>
      <c r="D634" s="90"/>
      <c r="E634" s="90"/>
      <c r="F634" s="90"/>
      <c r="G634" s="91"/>
      <c r="H634" s="91"/>
      <c r="I634" s="92"/>
      <c r="J634" s="90"/>
      <c r="K634" s="90"/>
      <c r="L634" s="93"/>
      <c r="M634" s="424"/>
      <c r="N634" s="95"/>
      <c r="O634" s="96"/>
      <c r="P634" s="525"/>
      <c r="Q634" s="96"/>
      <c r="R634" s="96"/>
      <c r="S634" s="96"/>
      <c r="T634" s="96"/>
      <c r="U634" s="97"/>
      <c r="V634" s="98"/>
      <c r="W634" s="99"/>
      <c r="X634" s="99"/>
      <c r="Y634" s="99"/>
      <c r="Z634" s="99"/>
    </row>
    <row r="635" spans="2:26" ht="15.95">
      <c r="B635" s="1031"/>
      <c r="C635" s="89"/>
      <c r="D635" s="90"/>
      <c r="E635" s="90"/>
      <c r="F635" s="90"/>
      <c r="G635" s="91"/>
      <c r="H635" s="91"/>
      <c r="I635" s="92"/>
      <c r="J635" s="90"/>
      <c r="K635" s="90"/>
      <c r="L635" s="93"/>
      <c r="M635" s="424"/>
      <c r="N635" s="95"/>
      <c r="O635" s="96"/>
      <c r="P635" s="525"/>
      <c r="Q635" s="96"/>
      <c r="R635" s="96"/>
      <c r="S635" s="96"/>
      <c r="T635" s="96"/>
      <c r="U635" s="97"/>
      <c r="V635" s="98"/>
      <c r="W635" s="99"/>
      <c r="X635" s="99"/>
      <c r="Y635" s="99"/>
      <c r="Z635" s="99"/>
    </row>
    <row r="636" spans="2:26" ht="15.95">
      <c r="B636" s="1031"/>
      <c r="C636" s="89"/>
      <c r="D636" s="90"/>
      <c r="E636" s="90"/>
      <c r="F636" s="90"/>
      <c r="G636" s="91"/>
      <c r="H636" s="91"/>
      <c r="I636" s="92"/>
      <c r="J636" s="90"/>
      <c r="K636" s="90"/>
      <c r="L636" s="93"/>
      <c r="M636" s="424"/>
      <c r="N636" s="95"/>
      <c r="O636" s="96"/>
      <c r="P636" s="525"/>
      <c r="Q636" s="96"/>
      <c r="R636" s="96"/>
      <c r="S636" s="96"/>
      <c r="T636" s="96"/>
      <c r="U636" s="97"/>
      <c r="V636" s="98"/>
      <c r="W636" s="99"/>
      <c r="X636" s="99"/>
      <c r="Y636" s="99"/>
      <c r="Z636" s="99"/>
    </row>
    <row r="637" spans="2:26" ht="15.95">
      <c r="B637" s="1031"/>
      <c r="C637" s="89"/>
      <c r="D637" s="90"/>
      <c r="E637" s="90"/>
      <c r="F637" s="90"/>
      <c r="G637" s="91"/>
      <c r="H637" s="91"/>
      <c r="I637" s="92"/>
      <c r="J637" s="90"/>
      <c r="K637" s="90"/>
      <c r="L637" s="93"/>
      <c r="M637" s="424"/>
      <c r="N637" s="95"/>
      <c r="O637" s="96"/>
      <c r="P637" s="525"/>
      <c r="Q637" s="96"/>
      <c r="R637" s="96"/>
      <c r="S637" s="96"/>
      <c r="T637" s="96"/>
      <c r="U637" s="97"/>
      <c r="V637" s="98"/>
      <c r="W637" s="99"/>
      <c r="X637" s="99"/>
      <c r="Y637" s="99"/>
      <c r="Z637" s="99"/>
    </row>
    <row r="638" spans="2:26" ht="15.95">
      <c r="B638" s="1031"/>
      <c r="C638" s="89"/>
      <c r="D638" s="90"/>
      <c r="E638" s="90"/>
      <c r="F638" s="90"/>
      <c r="G638" s="91"/>
      <c r="H638" s="91"/>
      <c r="I638" s="92"/>
      <c r="J638" s="90"/>
      <c r="K638" s="90"/>
      <c r="L638" s="93"/>
      <c r="M638" s="424"/>
      <c r="N638" s="95"/>
      <c r="O638" s="96"/>
      <c r="P638" s="525"/>
      <c r="Q638" s="96"/>
      <c r="R638" s="96"/>
      <c r="S638" s="96"/>
      <c r="T638" s="96"/>
      <c r="U638" s="97"/>
      <c r="V638" s="98"/>
      <c r="W638" s="99"/>
      <c r="X638" s="99"/>
      <c r="Y638" s="99"/>
      <c r="Z638" s="99"/>
    </row>
    <row r="639" spans="2:26" ht="15.95">
      <c r="B639" s="1031"/>
      <c r="C639" s="89"/>
      <c r="D639" s="90"/>
      <c r="E639" s="90"/>
      <c r="F639" s="90"/>
      <c r="G639" s="91"/>
      <c r="H639" s="91"/>
      <c r="I639" s="92"/>
      <c r="J639" s="90"/>
      <c r="K639" s="90"/>
      <c r="L639" s="93"/>
      <c r="M639" s="424"/>
      <c r="N639" s="95"/>
      <c r="O639" s="96"/>
      <c r="P639" s="525"/>
      <c r="Q639" s="96"/>
      <c r="R639" s="96"/>
      <c r="S639" s="96"/>
      <c r="T639" s="96"/>
      <c r="U639" s="97"/>
      <c r="V639" s="98"/>
      <c r="W639" s="99"/>
      <c r="X639" s="99"/>
      <c r="Y639" s="99"/>
      <c r="Z639" s="99"/>
    </row>
    <row r="640" spans="2:26" ht="15.95">
      <c r="B640" s="1031"/>
      <c r="C640" s="89"/>
      <c r="D640" s="90"/>
      <c r="E640" s="90"/>
      <c r="F640" s="90"/>
      <c r="G640" s="91"/>
      <c r="H640" s="91"/>
      <c r="I640" s="92"/>
      <c r="J640" s="90"/>
      <c r="K640" s="90"/>
      <c r="L640" s="93"/>
      <c r="M640" s="424"/>
      <c r="N640" s="95"/>
      <c r="O640" s="96"/>
      <c r="P640" s="525"/>
      <c r="Q640" s="96"/>
      <c r="R640" s="96"/>
      <c r="S640" s="96"/>
      <c r="T640" s="96"/>
      <c r="U640" s="97"/>
      <c r="V640" s="98"/>
      <c r="W640" s="99"/>
      <c r="X640" s="99"/>
      <c r="Y640" s="99"/>
      <c r="Z640" s="99"/>
    </row>
    <row r="641" spans="2:26" ht="15.95">
      <c r="B641" s="1031"/>
      <c r="C641" s="89"/>
      <c r="D641" s="90"/>
      <c r="E641" s="90"/>
      <c r="F641" s="90"/>
      <c r="G641" s="91"/>
      <c r="H641" s="91"/>
      <c r="I641" s="92"/>
      <c r="J641" s="90"/>
      <c r="K641" s="90"/>
      <c r="L641" s="93"/>
      <c r="M641" s="424"/>
      <c r="N641" s="95"/>
      <c r="O641" s="96"/>
      <c r="P641" s="525"/>
      <c r="Q641" s="96"/>
      <c r="R641" s="96"/>
      <c r="S641" s="96"/>
      <c r="T641" s="96"/>
      <c r="U641" s="97"/>
      <c r="V641" s="98"/>
      <c r="W641" s="99"/>
      <c r="X641" s="99"/>
      <c r="Y641" s="99"/>
      <c r="Z641" s="99"/>
    </row>
    <row r="642" spans="2:26" ht="15.95">
      <c r="B642" s="1031"/>
      <c r="C642" s="89"/>
      <c r="D642" s="90"/>
      <c r="E642" s="90"/>
      <c r="F642" s="90"/>
      <c r="G642" s="91"/>
      <c r="H642" s="91"/>
      <c r="I642" s="92"/>
      <c r="J642" s="90"/>
      <c r="K642" s="90"/>
      <c r="L642" s="93"/>
      <c r="M642" s="424"/>
      <c r="N642" s="95"/>
      <c r="O642" s="96"/>
      <c r="P642" s="525"/>
      <c r="Q642" s="96"/>
      <c r="R642" s="96"/>
      <c r="S642" s="96"/>
      <c r="T642" s="96"/>
      <c r="U642" s="97"/>
      <c r="V642" s="98"/>
      <c r="W642" s="99"/>
      <c r="X642" s="99"/>
      <c r="Y642" s="99"/>
      <c r="Z642" s="99"/>
    </row>
    <row r="643" spans="2:26" ht="15.6">
      <c r="B643" s="1031"/>
      <c r="C643" s="89"/>
      <c r="D643" s="90"/>
      <c r="E643" s="90"/>
      <c r="F643" s="90"/>
      <c r="G643" s="91"/>
      <c r="H643" s="91"/>
      <c r="I643" s="92"/>
      <c r="J643" s="90"/>
      <c r="K643" s="90"/>
      <c r="L643" s="93"/>
      <c r="M643" s="424"/>
      <c r="N643" s="95"/>
      <c r="O643" s="96"/>
      <c r="P643" s="525"/>
      <c r="Q643" s="96"/>
      <c r="R643" s="96"/>
      <c r="S643" s="96"/>
    </row>
    <row r="644" spans="2:26" ht="15.6">
      <c r="B644" s="1031"/>
      <c r="C644" s="89"/>
      <c r="D644" s="90"/>
      <c r="E644" s="90"/>
      <c r="F644" s="90"/>
      <c r="G644" s="91"/>
      <c r="H644" s="91"/>
      <c r="I644" s="92"/>
      <c r="J644" s="90"/>
      <c r="K644" s="90"/>
      <c r="L644" s="93"/>
      <c r="M644" s="424"/>
      <c r="N644" s="95"/>
      <c r="O644" s="96"/>
      <c r="P644" s="525"/>
      <c r="Q644" s="96"/>
      <c r="R644" s="96"/>
      <c r="S644" s="96"/>
    </row>
    <row r="645" spans="2:26" ht="15.6">
      <c r="B645" s="1031"/>
      <c r="C645" s="89"/>
      <c r="D645" s="90"/>
      <c r="E645" s="90"/>
      <c r="F645" s="90"/>
      <c r="G645" s="91"/>
      <c r="H645" s="91"/>
      <c r="I645" s="92"/>
      <c r="J645" s="90"/>
      <c r="K645" s="90"/>
      <c r="L645" s="93"/>
      <c r="M645" s="424"/>
      <c r="N645" s="95"/>
      <c r="O645" s="96"/>
      <c r="P645" s="525"/>
      <c r="Q645" s="96"/>
      <c r="R645" s="96"/>
      <c r="S645" s="96"/>
    </row>
    <row r="646" spans="2:26" ht="51" hidden="1" customHeight="1" thickBot="1">
      <c r="B646" s="1031"/>
      <c r="C646" s="89"/>
      <c r="D646" s="90"/>
      <c r="E646" s="90"/>
      <c r="F646" s="90"/>
      <c r="G646" s="91"/>
      <c r="H646" s="91"/>
      <c r="I646" s="92"/>
      <c r="J646" s="90"/>
      <c r="K646" s="90"/>
      <c r="L646" s="93"/>
      <c r="M646" s="94"/>
      <c r="N646" s="95"/>
      <c r="O646" s="96"/>
      <c r="P646" s="525"/>
      <c r="Q646" s="96"/>
      <c r="R646" s="96"/>
      <c r="S646" s="96"/>
    </row>
    <row r="647" spans="2:26" ht="15.6">
      <c r="B647" s="1031"/>
      <c r="C647" s="89"/>
      <c r="D647" s="90"/>
      <c r="E647" s="90"/>
      <c r="F647" s="90"/>
      <c r="G647" s="91"/>
      <c r="H647" s="91"/>
      <c r="I647" s="92"/>
      <c r="J647" s="90"/>
      <c r="K647" s="90"/>
      <c r="L647" s="93"/>
      <c r="M647" s="424"/>
      <c r="N647" s="95"/>
      <c r="O647" s="96"/>
      <c r="P647" s="525"/>
      <c r="Q647" s="96"/>
      <c r="R647" s="96"/>
      <c r="S647" s="96"/>
    </row>
    <row r="648" spans="2:26" ht="15.6">
      <c r="B648" s="1031"/>
      <c r="C648" s="89"/>
      <c r="D648" s="90"/>
      <c r="E648" s="90"/>
      <c r="F648" s="90"/>
      <c r="G648" s="91"/>
      <c r="H648" s="91"/>
      <c r="I648" s="92"/>
      <c r="J648" s="90"/>
      <c r="K648" s="90"/>
      <c r="L648" s="93"/>
      <c r="M648" s="424"/>
      <c r="N648" s="95"/>
      <c r="O648" s="96"/>
      <c r="P648" s="525"/>
      <c r="Q648" s="96"/>
      <c r="R648" s="96"/>
      <c r="S648" s="96"/>
    </row>
    <row r="649" spans="2:26" ht="15.6">
      <c r="B649" s="1031"/>
      <c r="C649" s="89"/>
      <c r="D649" s="90"/>
      <c r="E649" s="90"/>
      <c r="F649" s="90"/>
      <c r="G649" s="91"/>
      <c r="H649" s="91"/>
      <c r="I649" s="92"/>
      <c r="J649" s="90"/>
      <c r="K649" s="90"/>
      <c r="L649" s="93"/>
      <c r="M649" s="424"/>
      <c r="N649" s="95"/>
      <c r="O649" s="96"/>
      <c r="P649" s="525"/>
      <c r="Q649" s="96"/>
      <c r="R649" s="96"/>
      <c r="S649" s="96"/>
    </row>
    <row r="650" spans="2:26" ht="28.5" customHeight="1">
      <c r="B650" s="1031"/>
      <c r="C650" s="89"/>
      <c r="D650" s="90"/>
      <c r="E650" s="90"/>
      <c r="F650" s="90"/>
      <c r="G650" s="91"/>
      <c r="H650" s="91"/>
      <c r="I650" s="92"/>
      <c r="J650" s="90"/>
      <c r="K650" s="90"/>
      <c r="L650" s="93"/>
      <c r="M650" s="424"/>
      <c r="N650" s="95"/>
      <c r="O650" s="96"/>
      <c r="P650" s="525"/>
      <c r="Q650" s="96"/>
      <c r="R650" s="96"/>
      <c r="S650" s="96"/>
    </row>
    <row r="651" spans="2:26" ht="15.6">
      <c r="B651" s="1031"/>
      <c r="C651" s="89"/>
      <c r="D651" s="90"/>
      <c r="E651" s="90"/>
      <c r="F651" s="90"/>
      <c r="G651" s="91"/>
      <c r="H651" s="91"/>
      <c r="I651" s="92"/>
      <c r="J651" s="90"/>
      <c r="K651" s="90"/>
      <c r="L651" s="93"/>
      <c r="M651" s="424"/>
      <c r="N651" s="95"/>
      <c r="O651" s="96"/>
      <c r="P651" s="525"/>
      <c r="Q651" s="96"/>
      <c r="R651" s="96"/>
      <c r="S651" s="96"/>
    </row>
    <row r="654" spans="2:26" ht="28.5" customHeight="1"/>
    <row r="655" spans="2:26">
      <c r="F655" s="71"/>
      <c r="G655" s="71"/>
      <c r="H655" s="71"/>
      <c r="I655" s="71"/>
      <c r="J655" s="71"/>
      <c r="O655" s="71"/>
    </row>
    <row r="658" spans="6:10" ht="94.5" customHeight="1"/>
    <row r="659" spans="6:10">
      <c r="F659" s="71"/>
      <c r="G659" s="71"/>
      <c r="H659" s="71"/>
      <c r="I659" s="71"/>
      <c r="J659" s="71"/>
    </row>
    <row r="663" spans="6:10">
      <c r="F663" s="71"/>
      <c r="G663" s="71"/>
      <c r="H663" s="71"/>
      <c r="I663" s="71"/>
      <c r="J663" s="71"/>
    </row>
    <row r="667" spans="6:10">
      <c r="F667" s="71"/>
      <c r="G667" s="71"/>
      <c r="H667" s="71"/>
      <c r="I667" s="71"/>
      <c r="J667" s="71"/>
    </row>
    <row r="671" spans="6:10">
      <c r="F671" s="71"/>
      <c r="G671" s="71"/>
      <c r="H671" s="71"/>
      <c r="I671" s="71"/>
      <c r="J671" s="71"/>
    </row>
    <row r="675" spans="6:10">
      <c r="F675" s="71"/>
      <c r="G675" s="71"/>
      <c r="H675" s="71"/>
      <c r="I675" s="71"/>
      <c r="J675" s="71"/>
    </row>
    <row r="679" spans="6:10">
      <c r="F679" s="71"/>
      <c r="G679" s="71"/>
      <c r="H679" s="71"/>
      <c r="I679" s="71"/>
      <c r="J679" s="71"/>
    </row>
  </sheetData>
  <sheetProtection algorithmName="SHA-512" hashValue="jMmMcRRRendtSnKSUTGax4W9Pa37ZpeYME2WhSYygRIkZ/ZJ0zTGH1m062ZST455Zpcw3HCng09wE20j3zZ1Og==" saltValue="vKhzjC+jqBDT0nq5j6t+fg==" spinCount="100000" sheet="1" objects="1" scenarios="1"/>
  <autoFilter ref="A7:AG428" xr:uid="{00000000-0001-0000-0400-000000000000}"/>
  <mergeCells count="404">
    <mergeCell ref="M453:M454"/>
    <mergeCell ref="L453:L454"/>
    <mergeCell ref="K408:K411"/>
    <mergeCell ref="M403:M404"/>
    <mergeCell ref="L403:L404"/>
    <mergeCell ref="K402:K405"/>
    <mergeCell ref="K406:K407"/>
    <mergeCell ref="K382:K389"/>
    <mergeCell ref="M382:M384"/>
    <mergeCell ref="L382:L384"/>
    <mergeCell ref="M385:M386"/>
    <mergeCell ref="L385:L386"/>
    <mergeCell ref="M388:M389"/>
    <mergeCell ref="L388:L389"/>
    <mergeCell ref="K390:K394"/>
    <mergeCell ref="L391:L392"/>
    <mergeCell ref="M391:M392"/>
    <mergeCell ref="K395:K401"/>
    <mergeCell ref="N398:N399"/>
    <mergeCell ref="O398:O399"/>
    <mergeCell ref="Q398:Q399"/>
    <mergeCell ref="L400:L401"/>
    <mergeCell ref="M400:M401"/>
    <mergeCell ref="L253:L254"/>
    <mergeCell ref="L256:L258"/>
    <mergeCell ref="K242:K244"/>
    <mergeCell ref="L247:L248"/>
    <mergeCell ref="K324:K331"/>
    <mergeCell ref="L290:L292"/>
    <mergeCell ref="M304:M305"/>
    <mergeCell ref="L304:L305"/>
    <mergeCell ref="M290:M292"/>
    <mergeCell ref="M294:M295"/>
    <mergeCell ref="L294:L295"/>
    <mergeCell ref="K290:K297"/>
    <mergeCell ref="M374:M375"/>
    <mergeCell ref="L374:L375"/>
    <mergeCell ref="K360:K375"/>
    <mergeCell ref="K332:K342"/>
    <mergeCell ref="L333:L334"/>
    <mergeCell ref="M333:M334"/>
    <mergeCell ref="M322:M323"/>
    <mergeCell ref="K233:K241"/>
    <mergeCell ref="L261:L263"/>
    <mergeCell ref="L250:L251"/>
    <mergeCell ref="K193:K202"/>
    <mergeCell ref="M72:M74"/>
    <mergeCell ref="L72:L74"/>
    <mergeCell ref="M79:M80"/>
    <mergeCell ref="L79:L80"/>
    <mergeCell ref="M99:M100"/>
    <mergeCell ref="L94:L95"/>
    <mergeCell ref="L97:L98"/>
    <mergeCell ref="L99:L100"/>
    <mergeCell ref="M83:M85"/>
    <mergeCell ref="L83:L85"/>
    <mergeCell ref="M94:M95"/>
    <mergeCell ref="M97:M98"/>
    <mergeCell ref="K71:K78"/>
    <mergeCell ref="K79:K85"/>
    <mergeCell ref="M159:M160"/>
    <mergeCell ref="M162:M163"/>
    <mergeCell ref="M203:M205"/>
    <mergeCell ref="M207:M208"/>
    <mergeCell ref="L203:L205"/>
    <mergeCell ref="L207:L208"/>
    <mergeCell ref="K46:K48"/>
    <mergeCell ref="H60:H64"/>
    <mergeCell ref="K65:K70"/>
    <mergeCell ref="J16:J19"/>
    <mergeCell ref="G41:G45"/>
    <mergeCell ref="K33:K36"/>
    <mergeCell ref="M33:M34"/>
    <mergeCell ref="M35:M36"/>
    <mergeCell ref="L35:L36"/>
    <mergeCell ref="L33:L34"/>
    <mergeCell ref="L65:L66"/>
    <mergeCell ref="L67:L68"/>
    <mergeCell ref="L69:L70"/>
    <mergeCell ref="M63:M64"/>
    <mergeCell ref="M57:M59"/>
    <mergeCell ref="L57:L59"/>
    <mergeCell ref="B4:Z4"/>
    <mergeCell ref="X49:X51"/>
    <mergeCell ref="Y49:Y51"/>
    <mergeCell ref="Z49:Z51"/>
    <mergeCell ref="B60:B64"/>
    <mergeCell ref="D60:D64"/>
    <mergeCell ref="F60:F64"/>
    <mergeCell ref="G60:G64"/>
    <mergeCell ref="I60:I64"/>
    <mergeCell ref="J60:J64"/>
    <mergeCell ref="U60:U64"/>
    <mergeCell ref="V60:V64"/>
    <mergeCell ref="W60:W64"/>
    <mergeCell ref="X60:X64"/>
    <mergeCell ref="X41:X45"/>
    <mergeCell ref="B41:B45"/>
    <mergeCell ref="D41:D45"/>
    <mergeCell ref="F41:F45"/>
    <mergeCell ref="K16:K19"/>
    <mergeCell ref="K20:K27"/>
    <mergeCell ref="K28:K32"/>
    <mergeCell ref="K37:K40"/>
    <mergeCell ref="Z60:Z64"/>
    <mergeCell ref="L63:L64"/>
    <mergeCell ref="U49:U51"/>
    <mergeCell ref="V49:V51"/>
    <mergeCell ref="W49:W51"/>
    <mergeCell ref="B49:B51"/>
    <mergeCell ref="D49:D51"/>
    <mergeCell ref="F49:F51"/>
    <mergeCell ref="G49:G51"/>
    <mergeCell ref="I49:I51"/>
    <mergeCell ref="M52:M53"/>
    <mergeCell ref="L52:L53"/>
    <mergeCell ref="K52:K59"/>
    <mergeCell ref="Y41:Y45"/>
    <mergeCell ref="I71:I78"/>
    <mergeCell ref="J71:J78"/>
    <mergeCell ref="B65:B70"/>
    <mergeCell ref="C65:C70"/>
    <mergeCell ref="D65:D70"/>
    <mergeCell ref="E65:E70"/>
    <mergeCell ref="F65:F70"/>
    <mergeCell ref="E60:E64"/>
    <mergeCell ref="C60:C64"/>
    <mergeCell ref="J49:J51"/>
    <mergeCell ref="H71:H78"/>
    <mergeCell ref="Y60:Y64"/>
    <mergeCell ref="M65:M66"/>
    <mergeCell ref="M67:M68"/>
    <mergeCell ref="M69:M70"/>
    <mergeCell ref="H65:H70"/>
    <mergeCell ref="I65:I70"/>
    <mergeCell ref="J65:J70"/>
    <mergeCell ref="K60:K64"/>
    <mergeCell ref="K49:K51"/>
    <mergeCell ref="B71:B78"/>
    <mergeCell ref="C71:C78"/>
    <mergeCell ref="D71:D78"/>
    <mergeCell ref="V37:V40"/>
    <mergeCell ref="W37:W40"/>
    <mergeCell ref="X37:X40"/>
    <mergeCell ref="Y37:Y40"/>
    <mergeCell ref="Z41:Z45"/>
    <mergeCell ref="B46:B48"/>
    <mergeCell ref="D46:D48"/>
    <mergeCell ref="F46:F48"/>
    <mergeCell ref="U46:U48"/>
    <mergeCell ref="V46:V48"/>
    <mergeCell ref="W46:W48"/>
    <mergeCell ref="X46:X48"/>
    <mergeCell ref="Y46:Y48"/>
    <mergeCell ref="Z46:Z48"/>
    <mergeCell ref="U41:U45"/>
    <mergeCell ref="V41:V45"/>
    <mergeCell ref="W41:W45"/>
    <mergeCell ref="H41:H45"/>
    <mergeCell ref="I41:I45"/>
    <mergeCell ref="K41:K45"/>
    <mergeCell ref="M43:M44"/>
    <mergeCell ref="M41:M42"/>
    <mergeCell ref="L41:L42"/>
    <mergeCell ref="L43:L44"/>
    <mergeCell ref="Z11:Z15"/>
    <mergeCell ref="K8:K10"/>
    <mergeCell ref="K11:K15"/>
    <mergeCell ref="B101:B104"/>
    <mergeCell ref="Z37:Z40"/>
    <mergeCell ref="U28:U32"/>
    <mergeCell ref="V28:V32"/>
    <mergeCell ref="W28:W32"/>
    <mergeCell ref="X28:X32"/>
    <mergeCell ref="U16:U19"/>
    <mergeCell ref="V16:V19"/>
    <mergeCell ref="W16:W19"/>
    <mergeCell ref="X16:X19"/>
    <mergeCell ref="Y16:Y19"/>
    <mergeCell ref="Z16:Z19"/>
    <mergeCell ref="U20:U27"/>
    <mergeCell ref="V20:V27"/>
    <mergeCell ref="W20:W27"/>
    <mergeCell ref="X20:X27"/>
    <mergeCell ref="Y20:Y27"/>
    <mergeCell ref="Z20:Z27"/>
    <mergeCell ref="Y28:Y32"/>
    <mergeCell ref="U37:U40"/>
    <mergeCell ref="Z8:Z10"/>
    <mergeCell ref="X11:X15"/>
    <mergeCell ref="Y11:Y15"/>
    <mergeCell ref="U8:U10"/>
    <mergeCell ref="V8:V10"/>
    <mergeCell ref="W8:W10"/>
    <mergeCell ref="X8:X10"/>
    <mergeCell ref="Y8:Y10"/>
    <mergeCell ref="G8:G10"/>
    <mergeCell ref="O5:O6"/>
    <mergeCell ref="B5:N6"/>
    <mergeCell ref="B8:B10"/>
    <mergeCell ref="D8:D10"/>
    <mergeCell ref="F8:F10"/>
    <mergeCell ref="I8:I10"/>
    <mergeCell ref="J8:J10"/>
    <mergeCell ref="B11:B15"/>
    <mergeCell ref="D11:D15"/>
    <mergeCell ref="F11:F15"/>
    <mergeCell ref="G11:G15"/>
    <mergeCell ref="I11:I15"/>
    <mergeCell ref="J11:J15"/>
    <mergeCell ref="U11:U15"/>
    <mergeCell ref="V11:V15"/>
    <mergeCell ref="W11:W15"/>
    <mergeCell ref="B20:B27"/>
    <mergeCell ref="D20:D27"/>
    <mergeCell ref="F20:F27"/>
    <mergeCell ref="G20:G27"/>
    <mergeCell ref="I20:I27"/>
    <mergeCell ref="J20:J27"/>
    <mergeCell ref="B16:B19"/>
    <mergeCell ref="D16:D19"/>
    <mergeCell ref="F16:F19"/>
    <mergeCell ref="G16:G19"/>
    <mergeCell ref="I16:I19"/>
    <mergeCell ref="C101:C104"/>
    <mergeCell ref="D101:D104"/>
    <mergeCell ref="E101:E104"/>
    <mergeCell ref="F101:F104"/>
    <mergeCell ref="K124:K128"/>
    <mergeCell ref="M121:M122"/>
    <mergeCell ref="L121:L122"/>
    <mergeCell ref="K119:K123"/>
    <mergeCell ref="K105:K114"/>
    <mergeCell ref="L102:L104"/>
    <mergeCell ref="M102:M104"/>
    <mergeCell ref="G101:G104"/>
    <mergeCell ref="H101:H104"/>
    <mergeCell ref="I101:I104"/>
    <mergeCell ref="M116:M118"/>
    <mergeCell ref="L116:L118"/>
    <mergeCell ref="K115:K118"/>
    <mergeCell ref="K101:K104"/>
    <mergeCell ref="J101:J104"/>
    <mergeCell ref="B28:B32"/>
    <mergeCell ref="D28:D32"/>
    <mergeCell ref="F28:F32"/>
    <mergeCell ref="G28:G32"/>
    <mergeCell ref="B37:B40"/>
    <mergeCell ref="D37:D40"/>
    <mergeCell ref="F37:F40"/>
    <mergeCell ref="G37:G40"/>
    <mergeCell ref="C86:C88"/>
    <mergeCell ref="B86:B88"/>
    <mergeCell ref="E71:E78"/>
    <mergeCell ref="F71:F78"/>
    <mergeCell ref="G71:G78"/>
    <mergeCell ref="E86:E88"/>
    <mergeCell ref="D86:D88"/>
    <mergeCell ref="F86:F88"/>
    <mergeCell ref="G65:G70"/>
    <mergeCell ref="G86:G88"/>
    <mergeCell ref="C459:E459"/>
    <mergeCell ref="K183:K192"/>
    <mergeCell ref="K179:K182"/>
    <mergeCell ref="M168:M169"/>
    <mergeCell ref="L168:L169"/>
    <mergeCell ref="M172:M173"/>
    <mergeCell ref="L172:L173"/>
    <mergeCell ref="K203:K208"/>
    <mergeCell ref="K278:K280"/>
    <mergeCell ref="M271:M273"/>
    <mergeCell ref="L271:L273"/>
    <mergeCell ref="K271:K277"/>
    <mergeCell ref="L240:L241"/>
    <mergeCell ref="K227:K232"/>
    <mergeCell ref="K264:K270"/>
    <mergeCell ref="K250:K263"/>
    <mergeCell ref="K245:K249"/>
    <mergeCell ref="K298:K305"/>
    <mergeCell ref="L170:L171"/>
    <mergeCell ref="L179:L181"/>
    <mergeCell ref="M324:M327"/>
    <mergeCell ref="M329:M331"/>
    <mergeCell ref="L324:L327"/>
    <mergeCell ref="L329:L331"/>
    <mergeCell ref="M142:M143"/>
    <mergeCell ref="M140:M141"/>
    <mergeCell ref="L140:L141"/>
    <mergeCell ref="L142:L143"/>
    <mergeCell ref="K140:K143"/>
    <mergeCell ref="K153:K158"/>
    <mergeCell ref="K144:K147"/>
    <mergeCell ref="K148:K152"/>
    <mergeCell ref="L159:L160"/>
    <mergeCell ref="K217:K226"/>
    <mergeCell ref="M223:M224"/>
    <mergeCell ref="I86:I88"/>
    <mergeCell ref="H86:H88"/>
    <mergeCell ref="M130:M132"/>
    <mergeCell ref="L130:L132"/>
    <mergeCell ref="K89:K93"/>
    <mergeCell ref="K86:K88"/>
    <mergeCell ref="K94:K100"/>
    <mergeCell ref="K129:K133"/>
    <mergeCell ref="K134:K139"/>
    <mergeCell ref="M135:M136"/>
    <mergeCell ref="L135:L136"/>
    <mergeCell ref="K175:K178"/>
    <mergeCell ref="M191:M192"/>
    <mergeCell ref="L191:L192"/>
    <mergeCell ref="M188:M189"/>
    <mergeCell ref="L188:L189"/>
    <mergeCell ref="L175:L176"/>
    <mergeCell ref="L177:L178"/>
    <mergeCell ref="M184:M186"/>
    <mergeCell ref="J86:J88"/>
    <mergeCell ref="M175:M176"/>
    <mergeCell ref="M177:M178"/>
    <mergeCell ref="K281:K289"/>
    <mergeCell ref="L281:L282"/>
    <mergeCell ref="L285:L286"/>
    <mergeCell ref="M285:M286"/>
    <mergeCell ref="L162:L163"/>
    <mergeCell ref="M238:M239"/>
    <mergeCell ref="M227:M228"/>
    <mergeCell ref="M230:M232"/>
    <mergeCell ref="L227:L228"/>
    <mergeCell ref="L230:L232"/>
    <mergeCell ref="M164:M166"/>
    <mergeCell ref="L164:L166"/>
    <mergeCell ref="L238:L239"/>
    <mergeCell ref="M179:M181"/>
    <mergeCell ref="L184:L186"/>
    <mergeCell ref="L221:L222"/>
    <mergeCell ref="L223:L224"/>
    <mergeCell ref="M209:M210"/>
    <mergeCell ref="M211:M212"/>
    <mergeCell ref="M214:M215"/>
    <mergeCell ref="K209:K216"/>
    <mergeCell ref="L209:L210"/>
    <mergeCell ref="L214:L215"/>
    <mergeCell ref="M196:M198"/>
    <mergeCell ref="M201:M202"/>
    <mergeCell ref="L196:L198"/>
    <mergeCell ref="L201:L202"/>
    <mergeCell ref="M151:M152"/>
    <mergeCell ref="M233:M234"/>
    <mergeCell ref="L151:L152"/>
    <mergeCell ref="M281:M282"/>
    <mergeCell ref="M221:M222"/>
    <mergeCell ref="L211:L212"/>
    <mergeCell ref="M352:M354"/>
    <mergeCell ref="M355:M356"/>
    <mergeCell ref="L352:L354"/>
    <mergeCell ref="L355:L356"/>
    <mergeCell ref="K376:K381"/>
    <mergeCell ref="L380:L381"/>
    <mergeCell ref="M380:M381"/>
    <mergeCell ref="L357:L359"/>
    <mergeCell ref="M357:M359"/>
    <mergeCell ref="M366:M368"/>
    <mergeCell ref="L366:L368"/>
    <mergeCell ref="M371:M373"/>
    <mergeCell ref="L371:L373"/>
    <mergeCell ref="K352:K359"/>
    <mergeCell ref="K311:K323"/>
    <mergeCell ref="K306:K310"/>
    <mergeCell ref="K343:K351"/>
    <mergeCell ref="M306:M308"/>
    <mergeCell ref="L306:L308"/>
    <mergeCell ref="L309:L310"/>
    <mergeCell ref="M309:M310"/>
    <mergeCell ref="M311:M313"/>
    <mergeCell ref="L311:L313"/>
    <mergeCell ref="L315:L317"/>
    <mergeCell ref="M315:M317"/>
    <mergeCell ref="L320:L321"/>
    <mergeCell ref="M320:M321"/>
    <mergeCell ref="L335:L337"/>
    <mergeCell ref="M335:M337"/>
    <mergeCell ref="L339:L341"/>
    <mergeCell ref="M339:M341"/>
    <mergeCell ref="M343:M345"/>
    <mergeCell ref="L343:L345"/>
    <mergeCell ref="L346:L347"/>
    <mergeCell ref="M346:M347"/>
    <mergeCell ref="L348:L351"/>
    <mergeCell ref="M348:M351"/>
    <mergeCell ref="L322:L323"/>
    <mergeCell ref="N442:N443"/>
    <mergeCell ref="O442:O443"/>
    <mergeCell ref="P442:P443"/>
    <mergeCell ref="Q442:Q443"/>
    <mergeCell ref="R442:R443"/>
    <mergeCell ref="S442:S443"/>
    <mergeCell ref="K428:K431"/>
    <mergeCell ref="M426:M427"/>
    <mergeCell ref="K412:K415"/>
    <mergeCell ref="K416:K420"/>
    <mergeCell ref="M436:M437"/>
    <mergeCell ref="M439:M440"/>
    <mergeCell ref="L436:L437"/>
    <mergeCell ref="L439:L440"/>
    <mergeCell ref="K435:K441"/>
  </mergeCells>
  <phoneticPr fontId="107" type="noConversion"/>
  <conditionalFormatting sqref="S8:T8 S11:T11 S9:S10 S16:T16 S12:S15 S20:T20 S28:T28 S21:S27 S29:S32 S41:T43 S38:S40 S46:T46 S49:T49 S50:S51 S17:S19 S33:T37 S52:T60 S42:S48 S265:S281 S304:S305 S351 S61:S183 S324:S332 S193:S235 S238:S263 S290:S291 S297:S300 S380:S394 S421:S422 S425:S442 S444:S456">
    <cfRule type="containsText" dxfId="361" priority="401" operator="containsText" text="CLOSED">
      <formula>NOT(ISERROR(SEARCH("CLOSED",S8)))</formula>
    </cfRule>
    <cfRule type="containsText" dxfId="360" priority="402" operator="containsText" text="Open">
      <formula>NOT(ISERROR(SEARCH("Open",S8)))</formula>
    </cfRule>
    <cfRule type="containsText" dxfId="359" priority="403" operator="containsText" text="Closed">
      <formula>NOT(ISERROR(SEARCH("Closed",S8)))</formula>
    </cfRule>
    <cfRule type="containsText" dxfId="358" priority="404" operator="containsText" text="Overdue">
      <formula>NOT(ISERROR(SEARCH("Overdue",S8)))</formula>
    </cfRule>
  </conditionalFormatting>
  <conditionalFormatting sqref="S185:S187">
    <cfRule type="containsText" dxfId="357" priority="377" operator="containsText" text="CLOSED">
      <formula>NOT(ISERROR(SEARCH("CLOSED",S185)))</formula>
    </cfRule>
    <cfRule type="containsText" dxfId="356" priority="378" operator="containsText" text="Open">
      <formula>NOT(ISERROR(SEARCH("Open",S185)))</formula>
    </cfRule>
    <cfRule type="containsText" dxfId="355" priority="379" operator="containsText" text="Closed">
      <formula>NOT(ISERROR(SEARCH("Closed",S185)))</formula>
    </cfRule>
    <cfRule type="containsText" dxfId="354" priority="380" operator="containsText" text="Overdue">
      <formula>NOT(ISERROR(SEARCH("Overdue",S185)))</formula>
    </cfRule>
  </conditionalFormatting>
  <conditionalFormatting sqref="S190:S191">
    <cfRule type="containsText" dxfId="353" priority="365" operator="containsText" text="CLOSED">
      <formula>NOT(ISERROR(SEARCH("CLOSED",S190)))</formula>
    </cfRule>
    <cfRule type="containsText" dxfId="352" priority="366" operator="containsText" text="Open">
      <formula>NOT(ISERROR(SEARCH("Open",S190)))</formula>
    </cfRule>
    <cfRule type="containsText" dxfId="351" priority="367" operator="containsText" text="Closed">
      <formula>NOT(ISERROR(SEARCH("Closed",S190)))</formula>
    </cfRule>
    <cfRule type="containsText" dxfId="350" priority="368" operator="containsText" text="Overdue">
      <formula>NOT(ISERROR(SEARCH("Overdue",S190)))</formula>
    </cfRule>
  </conditionalFormatting>
  <conditionalFormatting sqref="S184">
    <cfRule type="containsText" dxfId="349" priority="381" operator="containsText" text="CLOSED">
      <formula>NOT(ISERROR(SEARCH("CLOSED",S184)))</formula>
    </cfRule>
    <cfRule type="containsText" dxfId="348" priority="382" operator="containsText" text="Open">
      <formula>NOT(ISERROR(SEARCH("Open",S184)))</formula>
    </cfRule>
    <cfRule type="containsText" dxfId="347" priority="383" operator="containsText" text="Closed">
      <formula>NOT(ISERROR(SEARCH("Closed",S184)))</formula>
    </cfRule>
    <cfRule type="containsText" dxfId="346" priority="384" operator="containsText" text="Overdue">
      <formula>NOT(ISERROR(SEARCH("Overdue",S184)))</formula>
    </cfRule>
  </conditionalFormatting>
  <conditionalFormatting sqref="S188">
    <cfRule type="containsText" dxfId="345" priority="373" operator="containsText" text="CLOSED">
      <formula>NOT(ISERROR(SEARCH("CLOSED",S188)))</formula>
    </cfRule>
    <cfRule type="containsText" dxfId="344" priority="374" operator="containsText" text="Open">
      <formula>NOT(ISERROR(SEARCH("Open",S188)))</formula>
    </cfRule>
    <cfRule type="containsText" dxfId="343" priority="375" operator="containsText" text="Closed">
      <formula>NOT(ISERROR(SEARCH("Closed",S188)))</formula>
    </cfRule>
    <cfRule type="containsText" dxfId="342" priority="376" operator="containsText" text="Overdue">
      <formula>NOT(ISERROR(SEARCH("Overdue",S188)))</formula>
    </cfRule>
  </conditionalFormatting>
  <conditionalFormatting sqref="S189">
    <cfRule type="containsText" dxfId="341" priority="369" operator="containsText" text="CLOSED">
      <formula>NOT(ISERROR(SEARCH("CLOSED",S189)))</formula>
    </cfRule>
    <cfRule type="containsText" dxfId="340" priority="370" operator="containsText" text="Open">
      <formula>NOT(ISERROR(SEARCH("Open",S189)))</formula>
    </cfRule>
    <cfRule type="containsText" dxfId="339" priority="371" operator="containsText" text="Closed">
      <formula>NOT(ISERROR(SEARCH("Closed",S189)))</formula>
    </cfRule>
    <cfRule type="containsText" dxfId="338" priority="372" operator="containsText" text="Overdue">
      <formula>NOT(ISERROR(SEARCH("Overdue",S189)))</formula>
    </cfRule>
  </conditionalFormatting>
  <conditionalFormatting sqref="S192">
    <cfRule type="containsText" dxfId="337" priority="361" operator="containsText" text="CLOSED">
      <formula>NOT(ISERROR(SEARCH("CLOSED",S192)))</formula>
    </cfRule>
    <cfRule type="containsText" dxfId="336" priority="362" operator="containsText" text="Open">
      <formula>NOT(ISERROR(SEARCH("Open",S192)))</formula>
    </cfRule>
    <cfRule type="containsText" dxfId="335" priority="363" operator="containsText" text="Closed">
      <formula>NOT(ISERROR(SEARCH("Closed",S192)))</formula>
    </cfRule>
    <cfRule type="containsText" dxfId="334" priority="364" operator="containsText" text="Overdue">
      <formula>NOT(ISERROR(SEARCH("Overdue",S192)))</formula>
    </cfRule>
  </conditionalFormatting>
  <conditionalFormatting sqref="S236">
    <cfRule type="containsText" dxfId="333" priority="349" operator="containsText" text="CLOSED">
      <formula>NOT(ISERROR(SEARCH("CLOSED",S236)))</formula>
    </cfRule>
    <cfRule type="containsText" dxfId="332" priority="350" operator="containsText" text="Open">
      <formula>NOT(ISERROR(SEARCH("Open",S236)))</formula>
    </cfRule>
    <cfRule type="containsText" dxfId="331" priority="351" operator="containsText" text="Closed">
      <formula>NOT(ISERROR(SEARCH("Closed",S236)))</formula>
    </cfRule>
    <cfRule type="containsText" dxfId="330" priority="352" operator="containsText" text="Overdue">
      <formula>NOT(ISERROR(SEARCH("Overdue",S236)))</formula>
    </cfRule>
  </conditionalFormatting>
  <conditionalFormatting sqref="S237">
    <cfRule type="containsText" dxfId="329" priority="345" operator="containsText" text="CLOSED">
      <formula>NOT(ISERROR(SEARCH("CLOSED",S237)))</formula>
    </cfRule>
    <cfRule type="containsText" dxfId="328" priority="346" operator="containsText" text="Open">
      <formula>NOT(ISERROR(SEARCH("Open",S237)))</formula>
    </cfRule>
    <cfRule type="containsText" dxfId="327" priority="347" operator="containsText" text="Closed">
      <formula>NOT(ISERROR(SEARCH("Closed",S237)))</formula>
    </cfRule>
    <cfRule type="containsText" dxfId="326" priority="348" operator="containsText" text="Overdue">
      <formula>NOT(ISERROR(SEARCH("Overdue",S237)))</formula>
    </cfRule>
  </conditionalFormatting>
  <conditionalFormatting sqref="S264">
    <cfRule type="containsText" dxfId="325" priority="341" operator="containsText" text="CLOSED">
      <formula>NOT(ISERROR(SEARCH("CLOSED",S264)))</formula>
    </cfRule>
    <cfRule type="containsText" dxfId="324" priority="342" operator="containsText" text="Open">
      <formula>NOT(ISERROR(SEARCH("Open",S264)))</formula>
    </cfRule>
    <cfRule type="containsText" dxfId="323" priority="343" operator="containsText" text="Closed">
      <formula>NOT(ISERROR(SEARCH("Closed",S264)))</formula>
    </cfRule>
    <cfRule type="containsText" dxfId="322" priority="344" operator="containsText" text="Overdue">
      <formula>NOT(ISERROR(SEARCH("Overdue",S264)))</formula>
    </cfRule>
  </conditionalFormatting>
  <conditionalFormatting sqref="S303">
    <cfRule type="containsText" dxfId="321" priority="337" operator="containsText" text="CLOSED">
      <formula>NOT(ISERROR(SEARCH("CLOSED",S303)))</formula>
    </cfRule>
    <cfRule type="containsText" dxfId="320" priority="338" operator="containsText" text="Open">
      <formula>NOT(ISERROR(SEARCH("Open",S303)))</formula>
    </cfRule>
    <cfRule type="containsText" dxfId="319" priority="339" operator="containsText" text="Closed">
      <formula>NOT(ISERROR(SEARCH("Closed",S303)))</formula>
    </cfRule>
    <cfRule type="containsText" dxfId="318" priority="340" operator="containsText" text="Overdue">
      <formula>NOT(ISERROR(SEARCH("Overdue",S303)))</formula>
    </cfRule>
  </conditionalFormatting>
  <conditionalFormatting sqref="S302">
    <cfRule type="containsText" dxfId="317" priority="333" operator="containsText" text="CLOSED">
      <formula>NOT(ISERROR(SEARCH("CLOSED",S302)))</formula>
    </cfRule>
    <cfRule type="containsText" dxfId="316" priority="334" operator="containsText" text="Open">
      <formula>NOT(ISERROR(SEARCH("Open",S302)))</formula>
    </cfRule>
    <cfRule type="containsText" dxfId="315" priority="335" operator="containsText" text="Closed">
      <formula>NOT(ISERROR(SEARCH("Closed",S302)))</formula>
    </cfRule>
    <cfRule type="containsText" dxfId="314" priority="336" operator="containsText" text="Overdue">
      <formula>NOT(ISERROR(SEARCH("Overdue",S302)))</formula>
    </cfRule>
  </conditionalFormatting>
  <conditionalFormatting sqref="S301">
    <cfRule type="containsText" dxfId="313" priority="329" operator="containsText" text="CLOSED">
      <formula>NOT(ISERROR(SEARCH("CLOSED",S301)))</formula>
    </cfRule>
    <cfRule type="containsText" dxfId="312" priority="330" operator="containsText" text="Open">
      <formula>NOT(ISERROR(SEARCH("Open",S301)))</formula>
    </cfRule>
    <cfRule type="containsText" dxfId="311" priority="331" operator="containsText" text="Closed">
      <formula>NOT(ISERROR(SEARCH("Closed",S301)))</formula>
    </cfRule>
    <cfRule type="containsText" dxfId="310" priority="332" operator="containsText" text="Overdue">
      <formula>NOT(ISERROR(SEARCH("Overdue",S301)))</formula>
    </cfRule>
  </conditionalFormatting>
  <conditionalFormatting sqref="S292:S296">
    <cfRule type="containsText" dxfId="309" priority="309" operator="containsText" text="CLOSED">
      <formula>NOT(ISERROR(SEARCH("CLOSED",S292)))</formula>
    </cfRule>
    <cfRule type="containsText" dxfId="308" priority="310" operator="containsText" text="Open">
      <formula>NOT(ISERROR(SEARCH("Open",S292)))</formula>
    </cfRule>
    <cfRule type="containsText" dxfId="307" priority="311" operator="containsText" text="Closed">
      <formula>NOT(ISERROR(SEARCH("Closed",S292)))</formula>
    </cfRule>
    <cfRule type="containsText" dxfId="306" priority="312" operator="containsText" text="Overdue">
      <formula>NOT(ISERROR(SEARCH("Overdue",S292)))</formula>
    </cfRule>
  </conditionalFormatting>
  <conditionalFormatting sqref="S342">
    <cfRule type="containsText" dxfId="305" priority="305" operator="containsText" text="CLOSED">
      <formula>NOT(ISERROR(SEARCH("CLOSED",S342)))</formula>
    </cfRule>
    <cfRule type="containsText" dxfId="304" priority="306" operator="containsText" text="Open">
      <formula>NOT(ISERROR(SEARCH("Open",S342)))</formula>
    </cfRule>
    <cfRule type="containsText" dxfId="303" priority="307" operator="containsText" text="Closed">
      <formula>NOT(ISERROR(SEARCH("Closed",S342)))</formula>
    </cfRule>
    <cfRule type="containsText" dxfId="302" priority="308" operator="containsText" text="Overdue">
      <formula>NOT(ISERROR(SEARCH("Overdue",S342)))</formula>
    </cfRule>
  </conditionalFormatting>
  <conditionalFormatting sqref="S337:S338">
    <cfRule type="containsText" dxfId="301" priority="293" operator="containsText" text="CLOSED">
      <formula>NOT(ISERROR(SEARCH("CLOSED",S337)))</formula>
    </cfRule>
    <cfRule type="containsText" dxfId="300" priority="294" operator="containsText" text="Open">
      <formula>NOT(ISERROR(SEARCH("Open",S337)))</formula>
    </cfRule>
    <cfRule type="containsText" dxfId="299" priority="295" operator="containsText" text="Closed">
      <formula>NOT(ISERROR(SEARCH("Closed",S337)))</formula>
    </cfRule>
    <cfRule type="containsText" dxfId="298" priority="296" operator="containsText" text="Overdue">
      <formula>NOT(ISERROR(SEARCH("Overdue",S337)))</formula>
    </cfRule>
  </conditionalFormatting>
  <conditionalFormatting sqref="S336">
    <cfRule type="containsText" dxfId="297" priority="289" operator="containsText" text="CLOSED">
      <formula>NOT(ISERROR(SEARCH("CLOSED",S336)))</formula>
    </cfRule>
    <cfRule type="containsText" dxfId="296" priority="290" operator="containsText" text="Open">
      <formula>NOT(ISERROR(SEARCH("Open",S336)))</formula>
    </cfRule>
    <cfRule type="containsText" dxfId="295" priority="291" operator="containsText" text="Closed">
      <formula>NOT(ISERROR(SEARCH("Closed",S336)))</formula>
    </cfRule>
    <cfRule type="containsText" dxfId="294" priority="292" operator="containsText" text="Overdue">
      <formula>NOT(ISERROR(SEARCH("Overdue",S336)))</formula>
    </cfRule>
  </conditionalFormatting>
  <conditionalFormatting sqref="S334">
    <cfRule type="containsText" dxfId="293" priority="281" operator="containsText" text="CLOSED">
      <formula>NOT(ISERROR(SEARCH("CLOSED",S334)))</formula>
    </cfRule>
    <cfRule type="containsText" dxfId="292" priority="282" operator="containsText" text="Open">
      <formula>NOT(ISERROR(SEARCH("Open",S334)))</formula>
    </cfRule>
    <cfRule type="containsText" dxfId="291" priority="283" operator="containsText" text="Closed">
      <formula>NOT(ISERROR(SEARCH("Closed",S334)))</formula>
    </cfRule>
    <cfRule type="containsText" dxfId="290" priority="284" operator="containsText" text="Overdue">
      <formula>NOT(ISERROR(SEARCH("Overdue",S334)))</formula>
    </cfRule>
  </conditionalFormatting>
  <conditionalFormatting sqref="S335">
    <cfRule type="containsText" dxfId="289" priority="285" operator="containsText" text="CLOSED">
      <formula>NOT(ISERROR(SEARCH("CLOSED",S335)))</formula>
    </cfRule>
    <cfRule type="containsText" dxfId="288" priority="286" operator="containsText" text="Open">
      <formula>NOT(ISERROR(SEARCH("Open",S335)))</formula>
    </cfRule>
    <cfRule type="containsText" dxfId="287" priority="287" operator="containsText" text="Closed">
      <formula>NOT(ISERROR(SEARCH("Closed",S335)))</formula>
    </cfRule>
    <cfRule type="containsText" dxfId="286" priority="288" operator="containsText" text="Overdue">
      <formula>NOT(ISERROR(SEARCH("Overdue",S335)))</formula>
    </cfRule>
  </conditionalFormatting>
  <conditionalFormatting sqref="S333">
    <cfRule type="containsText" dxfId="285" priority="277" operator="containsText" text="CLOSED">
      <formula>NOT(ISERROR(SEARCH("CLOSED",S333)))</formula>
    </cfRule>
    <cfRule type="containsText" dxfId="284" priority="278" operator="containsText" text="Open">
      <formula>NOT(ISERROR(SEARCH("Open",S333)))</formula>
    </cfRule>
    <cfRule type="containsText" dxfId="283" priority="279" operator="containsText" text="Closed">
      <formula>NOT(ISERROR(SEARCH("Closed",S333)))</formula>
    </cfRule>
    <cfRule type="containsText" dxfId="282" priority="280" operator="containsText" text="Overdue">
      <formula>NOT(ISERROR(SEARCH("Overdue",S333)))</formula>
    </cfRule>
  </conditionalFormatting>
  <conditionalFormatting sqref="S339:S341">
    <cfRule type="containsText" dxfId="281" priority="273" operator="containsText" text="CLOSED">
      <formula>NOT(ISERROR(SEARCH("CLOSED",S339)))</formula>
    </cfRule>
    <cfRule type="containsText" dxfId="280" priority="274" operator="containsText" text="Open">
      <formula>NOT(ISERROR(SEARCH("Open",S339)))</formula>
    </cfRule>
    <cfRule type="containsText" dxfId="279" priority="275" operator="containsText" text="Closed">
      <formula>NOT(ISERROR(SEARCH("Closed",S339)))</formula>
    </cfRule>
    <cfRule type="containsText" dxfId="278" priority="276" operator="containsText" text="Overdue">
      <formula>NOT(ISERROR(SEARCH("Overdue",S339)))</formula>
    </cfRule>
  </conditionalFormatting>
  <conditionalFormatting sqref="S289">
    <cfRule type="containsText" dxfId="277" priority="269" operator="containsText" text="CLOSED">
      <formula>NOT(ISERROR(SEARCH("CLOSED",S289)))</formula>
    </cfRule>
    <cfRule type="containsText" dxfId="276" priority="270" operator="containsText" text="Open">
      <formula>NOT(ISERROR(SEARCH("Open",S289)))</formula>
    </cfRule>
    <cfRule type="containsText" dxfId="275" priority="271" operator="containsText" text="Closed">
      <formula>NOT(ISERROR(SEARCH("Closed",S289)))</formula>
    </cfRule>
    <cfRule type="containsText" dxfId="274" priority="272" operator="containsText" text="Overdue">
      <formula>NOT(ISERROR(SEARCH("Overdue",S289)))</formula>
    </cfRule>
  </conditionalFormatting>
  <conditionalFormatting sqref="S282:S284">
    <cfRule type="containsText" dxfId="273" priority="261" operator="containsText" text="CLOSED">
      <formula>NOT(ISERROR(SEARCH("CLOSED",S282)))</formula>
    </cfRule>
    <cfRule type="containsText" dxfId="272" priority="262" operator="containsText" text="Open">
      <formula>NOT(ISERROR(SEARCH("Open",S282)))</formula>
    </cfRule>
    <cfRule type="containsText" dxfId="271" priority="263" operator="containsText" text="Closed">
      <formula>NOT(ISERROR(SEARCH("Closed",S282)))</formula>
    </cfRule>
    <cfRule type="containsText" dxfId="270" priority="264" operator="containsText" text="Overdue">
      <formula>NOT(ISERROR(SEARCH("Overdue",S282)))</formula>
    </cfRule>
  </conditionalFormatting>
  <conditionalFormatting sqref="S286">
    <cfRule type="containsText" dxfId="269" priority="249" operator="containsText" text="CLOSED">
      <formula>NOT(ISERROR(SEARCH("CLOSED",S286)))</formula>
    </cfRule>
    <cfRule type="containsText" dxfId="268" priority="250" operator="containsText" text="Open">
      <formula>NOT(ISERROR(SEARCH("Open",S286)))</formula>
    </cfRule>
    <cfRule type="containsText" dxfId="267" priority="251" operator="containsText" text="Closed">
      <formula>NOT(ISERROR(SEARCH("Closed",S286)))</formula>
    </cfRule>
    <cfRule type="containsText" dxfId="266" priority="252" operator="containsText" text="Overdue">
      <formula>NOT(ISERROR(SEARCH("Overdue",S286)))</formula>
    </cfRule>
  </conditionalFormatting>
  <conditionalFormatting sqref="S287">
    <cfRule type="containsText" dxfId="265" priority="245" operator="containsText" text="CLOSED">
      <formula>NOT(ISERROR(SEARCH("CLOSED",S287)))</formula>
    </cfRule>
    <cfRule type="containsText" dxfId="264" priority="246" operator="containsText" text="Open">
      <formula>NOT(ISERROR(SEARCH("Open",S287)))</formula>
    </cfRule>
    <cfRule type="containsText" dxfId="263" priority="247" operator="containsText" text="Closed">
      <formula>NOT(ISERROR(SEARCH("Closed",S287)))</formula>
    </cfRule>
    <cfRule type="containsText" dxfId="262" priority="248" operator="containsText" text="Overdue">
      <formula>NOT(ISERROR(SEARCH("Overdue",S287)))</formula>
    </cfRule>
  </conditionalFormatting>
  <conditionalFormatting sqref="S288">
    <cfRule type="containsText" dxfId="261" priority="241" operator="containsText" text="CLOSED">
      <formula>NOT(ISERROR(SEARCH("CLOSED",S288)))</formula>
    </cfRule>
    <cfRule type="containsText" dxfId="260" priority="242" operator="containsText" text="Open">
      <formula>NOT(ISERROR(SEARCH("Open",S288)))</formula>
    </cfRule>
    <cfRule type="containsText" dxfId="259" priority="243" operator="containsText" text="Closed">
      <formula>NOT(ISERROR(SEARCH("Closed",S288)))</formula>
    </cfRule>
    <cfRule type="containsText" dxfId="258" priority="244" operator="containsText" text="Overdue">
      <formula>NOT(ISERROR(SEARCH("Overdue",S288)))</formula>
    </cfRule>
  </conditionalFormatting>
  <conditionalFormatting sqref="S360">
    <cfRule type="containsText" dxfId="257" priority="233" operator="containsText" text="CLOSED">
      <formula>NOT(ISERROR(SEARCH("CLOSED",S360)))</formula>
    </cfRule>
    <cfRule type="containsText" dxfId="256" priority="234" operator="containsText" text="Open">
      <formula>NOT(ISERROR(SEARCH("Open",S360)))</formula>
    </cfRule>
    <cfRule type="containsText" dxfId="255" priority="235" operator="containsText" text="Closed">
      <formula>NOT(ISERROR(SEARCH("Closed",S360)))</formula>
    </cfRule>
    <cfRule type="containsText" dxfId="254" priority="236" operator="containsText" text="Overdue">
      <formula>NOT(ISERROR(SEARCH("Overdue",S360)))</formula>
    </cfRule>
  </conditionalFormatting>
  <conditionalFormatting sqref="S373:S375">
    <cfRule type="containsText" dxfId="253" priority="229" operator="containsText" text="CLOSED">
      <formula>NOT(ISERROR(SEARCH("CLOSED",S373)))</formula>
    </cfRule>
    <cfRule type="containsText" dxfId="252" priority="230" operator="containsText" text="Open">
      <formula>NOT(ISERROR(SEARCH("Open",S373)))</formula>
    </cfRule>
    <cfRule type="containsText" dxfId="251" priority="231" operator="containsText" text="Closed">
      <formula>NOT(ISERROR(SEARCH("Closed",S373)))</formula>
    </cfRule>
    <cfRule type="containsText" dxfId="250" priority="232" operator="containsText" text="Overdue">
      <formula>NOT(ISERROR(SEARCH("Overdue",S373)))</formula>
    </cfRule>
  </conditionalFormatting>
  <conditionalFormatting sqref="S371:S372">
    <cfRule type="containsText" dxfId="249" priority="225" operator="containsText" text="CLOSED">
      <formula>NOT(ISERROR(SEARCH("CLOSED",S371)))</formula>
    </cfRule>
    <cfRule type="containsText" dxfId="248" priority="226" operator="containsText" text="Open">
      <formula>NOT(ISERROR(SEARCH("Open",S371)))</formula>
    </cfRule>
    <cfRule type="containsText" dxfId="247" priority="227" operator="containsText" text="Closed">
      <formula>NOT(ISERROR(SEARCH("Closed",S371)))</formula>
    </cfRule>
    <cfRule type="containsText" dxfId="246" priority="228" operator="containsText" text="Overdue">
      <formula>NOT(ISERROR(SEARCH("Overdue",S371)))</formula>
    </cfRule>
  </conditionalFormatting>
  <conditionalFormatting sqref="S369">
    <cfRule type="containsText" dxfId="245" priority="221" operator="containsText" text="CLOSED">
      <formula>NOT(ISERROR(SEARCH("CLOSED",S369)))</formula>
    </cfRule>
    <cfRule type="containsText" dxfId="244" priority="222" operator="containsText" text="Open">
      <formula>NOT(ISERROR(SEARCH("Open",S369)))</formula>
    </cfRule>
    <cfRule type="containsText" dxfId="243" priority="223" operator="containsText" text="Closed">
      <formula>NOT(ISERROR(SEARCH("Closed",S369)))</formula>
    </cfRule>
    <cfRule type="containsText" dxfId="242" priority="224" operator="containsText" text="Overdue">
      <formula>NOT(ISERROR(SEARCH("Overdue",S369)))</formula>
    </cfRule>
  </conditionalFormatting>
  <conditionalFormatting sqref="S366:S368">
    <cfRule type="containsText" dxfId="241" priority="217" operator="containsText" text="CLOSED">
      <formula>NOT(ISERROR(SEARCH("CLOSED",S366)))</formula>
    </cfRule>
    <cfRule type="containsText" dxfId="240" priority="218" operator="containsText" text="Open">
      <formula>NOT(ISERROR(SEARCH("Open",S366)))</formula>
    </cfRule>
    <cfRule type="containsText" dxfId="239" priority="219" operator="containsText" text="Closed">
      <formula>NOT(ISERROR(SEARCH("Closed",S366)))</formula>
    </cfRule>
    <cfRule type="containsText" dxfId="238" priority="220" operator="containsText" text="Overdue">
      <formula>NOT(ISERROR(SEARCH("Overdue",S366)))</formula>
    </cfRule>
  </conditionalFormatting>
  <conditionalFormatting sqref="S365">
    <cfRule type="containsText" dxfId="237" priority="213" operator="containsText" text="CLOSED">
      <formula>NOT(ISERROR(SEARCH("CLOSED",S365)))</formula>
    </cfRule>
    <cfRule type="containsText" dxfId="236" priority="214" operator="containsText" text="Open">
      <formula>NOT(ISERROR(SEARCH("Open",S365)))</formula>
    </cfRule>
    <cfRule type="containsText" dxfId="235" priority="215" operator="containsText" text="Closed">
      <formula>NOT(ISERROR(SEARCH("Closed",S365)))</formula>
    </cfRule>
    <cfRule type="containsText" dxfId="234" priority="216" operator="containsText" text="Overdue">
      <formula>NOT(ISERROR(SEARCH("Overdue",S365)))</formula>
    </cfRule>
  </conditionalFormatting>
  <conditionalFormatting sqref="S363:S364">
    <cfRule type="containsText" dxfId="233" priority="209" operator="containsText" text="CLOSED">
      <formula>NOT(ISERROR(SEARCH("CLOSED",S363)))</formula>
    </cfRule>
    <cfRule type="containsText" dxfId="232" priority="210" operator="containsText" text="Open">
      <formula>NOT(ISERROR(SEARCH("Open",S363)))</formula>
    </cfRule>
    <cfRule type="containsText" dxfId="231" priority="211" operator="containsText" text="Closed">
      <formula>NOT(ISERROR(SEARCH("Closed",S363)))</formula>
    </cfRule>
    <cfRule type="containsText" dxfId="230" priority="212" operator="containsText" text="Overdue">
      <formula>NOT(ISERROR(SEARCH("Overdue",S363)))</formula>
    </cfRule>
  </conditionalFormatting>
  <conditionalFormatting sqref="S361:S362">
    <cfRule type="containsText" dxfId="229" priority="205" operator="containsText" text="CLOSED">
      <formula>NOT(ISERROR(SEARCH("CLOSED",S361)))</formula>
    </cfRule>
    <cfRule type="containsText" dxfId="228" priority="206" operator="containsText" text="Open">
      <formula>NOT(ISERROR(SEARCH("Open",S361)))</formula>
    </cfRule>
    <cfRule type="containsText" dxfId="227" priority="207" operator="containsText" text="Closed">
      <formula>NOT(ISERROR(SEARCH("Closed",S361)))</formula>
    </cfRule>
    <cfRule type="containsText" dxfId="226" priority="208" operator="containsText" text="Overdue">
      <formula>NOT(ISERROR(SEARCH("Overdue",S361)))</formula>
    </cfRule>
  </conditionalFormatting>
  <conditionalFormatting sqref="S285">
    <cfRule type="containsText" dxfId="225" priority="197" operator="containsText" text="CLOSED">
      <formula>NOT(ISERROR(SEARCH("CLOSED",S285)))</formula>
    </cfRule>
    <cfRule type="containsText" dxfId="224" priority="198" operator="containsText" text="Open">
      <formula>NOT(ISERROR(SEARCH("Open",S285)))</formula>
    </cfRule>
    <cfRule type="containsText" dxfId="223" priority="199" operator="containsText" text="Closed">
      <formula>NOT(ISERROR(SEARCH("Closed",S285)))</formula>
    </cfRule>
    <cfRule type="containsText" dxfId="222" priority="200" operator="containsText" text="Overdue">
      <formula>NOT(ISERROR(SEARCH("Overdue",S285)))</formula>
    </cfRule>
  </conditionalFormatting>
  <conditionalFormatting sqref="S310:S313">
    <cfRule type="containsText" dxfId="221" priority="193" operator="containsText" text="CLOSED">
      <formula>NOT(ISERROR(SEARCH("CLOSED",S310)))</formula>
    </cfRule>
    <cfRule type="containsText" dxfId="220" priority="194" operator="containsText" text="Open">
      <formula>NOT(ISERROR(SEARCH("Open",S310)))</formula>
    </cfRule>
    <cfRule type="containsText" dxfId="219" priority="195" operator="containsText" text="Closed">
      <formula>NOT(ISERROR(SEARCH("Closed",S310)))</formula>
    </cfRule>
    <cfRule type="containsText" dxfId="218" priority="196" operator="containsText" text="Overdue">
      <formula>NOT(ISERROR(SEARCH("Overdue",S310)))</formula>
    </cfRule>
  </conditionalFormatting>
  <conditionalFormatting sqref="S322">
    <cfRule type="containsText" dxfId="217" priority="173" operator="containsText" text="CLOSED">
      <formula>NOT(ISERROR(SEARCH("CLOSED",S322)))</formula>
    </cfRule>
    <cfRule type="containsText" dxfId="216" priority="174" operator="containsText" text="Open">
      <formula>NOT(ISERROR(SEARCH("Open",S322)))</formula>
    </cfRule>
    <cfRule type="containsText" dxfId="215" priority="175" operator="containsText" text="Closed">
      <formula>NOT(ISERROR(SEARCH("Closed",S322)))</formula>
    </cfRule>
    <cfRule type="containsText" dxfId="214" priority="176" operator="containsText" text="Overdue">
      <formula>NOT(ISERROR(SEARCH("Overdue",S322)))</formula>
    </cfRule>
  </conditionalFormatting>
  <conditionalFormatting sqref="S319:S321">
    <cfRule type="containsText" dxfId="213" priority="161" operator="containsText" text="CLOSED">
      <formula>NOT(ISERROR(SEARCH("CLOSED",S319)))</formula>
    </cfRule>
    <cfRule type="containsText" dxfId="212" priority="162" operator="containsText" text="Open">
      <formula>NOT(ISERROR(SEARCH("Open",S319)))</formula>
    </cfRule>
    <cfRule type="containsText" dxfId="211" priority="163" operator="containsText" text="Closed">
      <formula>NOT(ISERROR(SEARCH("Closed",S319)))</formula>
    </cfRule>
    <cfRule type="containsText" dxfId="210" priority="164" operator="containsText" text="Overdue">
      <formula>NOT(ISERROR(SEARCH("Overdue",S319)))</formula>
    </cfRule>
  </conditionalFormatting>
  <conditionalFormatting sqref="S315:S318">
    <cfRule type="containsText" dxfId="209" priority="157" operator="containsText" text="CLOSED">
      <formula>NOT(ISERROR(SEARCH("CLOSED",S315)))</formula>
    </cfRule>
    <cfRule type="containsText" dxfId="208" priority="158" operator="containsText" text="Open">
      <formula>NOT(ISERROR(SEARCH("Open",S315)))</formula>
    </cfRule>
    <cfRule type="containsText" dxfId="207" priority="159" operator="containsText" text="Closed">
      <formula>NOT(ISERROR(SEARCH("Closed",S315)))</formula>
    </cfRule>
    <cfRule type="containsText" dxfId="206" priority="160" operator="containsText" text="Overdue">
      <formula>NOT(ISERROR(SEARCH("Overdue",S315)))</formula>
    </cfRule>
  </conditionalFormatting>
  <conditionalFormatting sqref="S314">
    <cfRule type="containsText" dxfId="205" priority="145" operator="containsText" text="CLOSED">
      <formula>NOT(ISERROR(SEARCH("CLOSED",S314)))</formula>
    </cfRule>
    <cfRule type="containsText" dxfId="204" priority="146" operator="containsText" text="Open">
      <formula>NOT(ISERROR(SEARCH("Open",S314)))</formula>
    </cfRule>
    <cfRule type="containsText" dxfId="203" priority="147" operator="containsText" text="Closed">
      <formula>NOT(ISERROR(SEARCH("Closed",S314)))</formula>
    </cfRule>
    <cfRule type="containsText" dxfId="202" priority="148" operator="containsText" text="Overdue">
      <formula>NOT(ISERROR(SEARCH("Overdue",S314)))</formula>
    </cfRule>
  </conditionalFormatting>
  <conditionalFormatting sqref="S343">
    <cfRule type="containsText" dxfId="201" priority="129" operator="containsText" text="CLOSED">
      <formula>NOT(ISERROR(SEARCH("CLOSED",S343)))</formula>
    </cfRule>
    <cfRule type="containsText" dxfId="200" priority="130" operator="containsText" text="Open">
      <formula>NOT(ISERROR(SEARCH("Open",S343)))</formula>
    </cfRule>
    <cfRule type="containsText" dxfId="199" priority="131" operator="containsText" text="Closed">
      <formula>NOT(ISERROR(SEARCH("Closed",S343)))</formula>
    </cfRule>
    <cfRule type="containsText" dxfId="198" priority="132" operator="containsText" text="Overdue">
      <formula>NOT(ISERROR(SEARCH("Overdue",S343)))</formula>
    </cfRule>
  </conditionalFormatting>
  <conditionalFormatting sqref="S345">
    <cfRule type="containsText" dxfId="197" priority="117" operator="containsText" text="CLOSED">
      <formula>NOT(ISERROR(SEARCH("CLOSED",S345)))</formula>
    </cfRule>
    <cfRule type="containsText" dxfId="196" priority="118" operator="containsText" text="Open">
      <formula>NOT(ISERROR(SEARCH("Open",S345)))</formula>
    </cfRule>
    <cfRule type="containsText" dxfId="195" priority="119" operator="containsText" text="Closed">
      <formula>NOT(ISERROR(SEARCH("Closed",S345)))</formula>
    </cfRule>
    <cfRule type="containsText" dxfId="194" priority="120" operator="containsText" text="Overdue">
      <formula>NOT(ISERROR(SEARCH("Overdue",S345)))</formula>
    </cfRule>
  </conditionalFormatting>
  <conditionalFormatting sqref="S344">
    <cfRule type="containsText" dxfId="193" priority="113" operator="containsText" text="CLOSED">
      <formula>NOT(ISERROR(SEARCH("CLOSED",S344)))</formula>
    </cfRule>
    <cfRule type="containsText" dxfId="192" priority="114" operator="containsText" text="Open">
      <formula>NOT(ISERROR(SEARCH("Open",S344)))</formula>
    </cfRule>
    <cfRule type="containsText" dxfId="191" priority="115" operator="containsText" text="Closed">
      <formula>NOT(ISERROR(SEARCH("Closed",S344)))</formula>
    </cfRule>
    <cfRule type="containsText" dxfId="190" priority="116" operator="containsText" text="Overdue">
      <formula>NOT(ISERROR(SEARCH("Overdue",S344)))</formula>
    </cfRule>
  </conditionalFormatting>
  <conditionalFormatting sqref="S347">
    <cfRule type="containsText" dxfId="189" priority="109" operator="containsText" text="CLOSED">
      <formula>NOT(ISERROR(SEARCH("CLOSED",S347)))</formula>
    </cfRule>
    <cfRule type="containsText" dxfId="188" priority="110" operator="containsText" text="Open">
      <formula>NOT(ISERROR(SEARCH("Open",S347)))</formula>
    </cfRule>
    <cfRule type="containsText" dxfId="187" priority="111" operator="containsText" text="Closed">
      <formula>NOT(ISERROR(SEARCH("Closed",S347)))</formula>
    </cfRule>
    <cfRule type="containsText" dxfId="186" priority="112" operator="containsText" text="Overdue">
      <formula>NOT(ISERROR(SEARCH("Overdue",S347)))</formula>
    </cfRule>
  </conditionalFormatting>
  <conditionalFormatting sqref="S346">
    <cfRule type="containsText" dxfId="185" priority="105" operator="containsText" text="CLOSED">
      <formula>NOT(ISERROR(SEARCH("CLOSED",S346)))</formula>
    </cfRule>
    <cfRule type="containsText" dxfId="184" priority="106" operator="containsText" text="Open">
      <formula>NOT(ISERROR(SEARCH("Open",S346)))</formula>
    </cfRule>
    <cfRule type="containsText" dxfId="183" priority="107" operator="containsText" text="Closed">
      <formula>NOT(ISERROR(SEARCH("Closed",S346)))</formula>
    </cfRule>
    <cfRule type="containsText" dxfId="182" priority="108" operator="containsText" text="Overdue">
      <formula>NOT(ISERROR(SEARCH("Overdue",S346)))</formula>
    </cfRule>
  </conditionalFormatting>
  <conditionalFormatting sqref="S348:S350">
    <cfRule type="containsText" dxfId="181" priority="101" operator="containsText" text="CLOSED">
      <formula>NOT(ISERROR(SEARCH("CLOSED",S348)))</formula>
    </cfRule>
    <cfRule type="containsText" dxfId="180" priority="102" operator="containsText" text="Open">
      <formula>NOT(ISERROR(SEARCH("Open",S348)))</formula>
    </cfRule>
    <cfRule type="containsText" dxfId="179" priority="103" operator="containsText" text="Closed">
      <formula>NOT(ISERROR(SEARCH("Closed",S348)))</formula>
    </cfRule>
    <cfRule type="containsText" dxfId="178" priority="104" operator="containsText" text="Overdue">
      <formula>NOT(ISERROR(SEARCH("Overdue",S348)))</formula>
    </cfRule>
  </conditionalFormatting>
  <conditionalFormatting sqref="S359">
    <cfRule type="containsText" dxfId="177" priority="93" operator="containsText" text="CLOSED">
      <formula>NOT(ISERROR(SEARCH("CLOSED",S359)))</formula>
    </cfRule>
    <cfRule type="containsText" dxfId="176" priority="94" operator="containsText" text="Open">
      <formula>NOT(ISERROR(SEARCH("Open",S359)))</formula>
    </cfRule>
    <cfRule type="containsText" dxfId="175" priority="95" operator="containsText" text="Closed">
      <formula>NOT(ISERROR(SEARCH("Closed",S359)))</formula>
    </cfRule>
    <cfRule type="containsText" dxfId="174" priority="96" operator="containsText" text="Overdue">
      <formula>NOT(ISERROR(SEARCH("Overdue",S359)))</formula>
    </cfRule>
  </conditionalFormatting>
  <conditionalFormatting sqref="S352">
    <cfRule type="containsText" dxfId="173" priority="81" operator="containsText" text="CLOSED">
      <formula>NOT(ISERROR(SEARCH("CLOSED",S352)))</formula>
    </cfRule>
    <cfRule type="containsText" dxfId="172" priority="82" operator="containsText" text="Open">
      <formula>NOT(ISERROR(SEARCH("Open",S352)))</formula>
    </cfRule>
    <cfRule type="containsText" dxfId="171" priority="83" operator="containsText" text="Closed">
      <formula>NOT(ISERROR(SEARCH("Closed",S352)))</formula>
    </cfRule>
    <cfRule type="containsText" dxfId="170" priority="84" operator="containsText" text="Overdue">
      <formula>NOT(ISERROR(SEARCH("Overdue",S352)))</formula>
    </cfRule>
  </conditionalFormatting>
  <conditionalFormatting sqref="S353:S354">
    <cfRule type="containsText" dxfId="169" priority="77" operator="containsText" text="CLOSED">
      <formula>NOT(ISERROR(SEARCH("CLOSED",S353)))</formula>
    </cfRule>
    <cfRule type="containsText" dxfId="168" priority="78" operator="containsText" text="Open">
      <formula>NOT(ISERROR(SEARCH("Open",S353)))</formula>
    </cfRule>
    <cfRule type="containsText" dxfId="167" priority="79" operator="containsText" text="Closed">
      <formula>NOT(ISERROR(SEARCH("Closed",S353)))</formula>
    </cfRule>
    <cfRule type="containsText" dxfId="166" priority="80" operator="containsText" text="Overdue">
      <formula>NOT(ISERROR(SEARCH("Overdue",S353)))</formula>
    </cfRule>
  </conditionalFormatting>
  <conditionalFormatting sqref="S355:S358">
    <cfRule type="containsText" dxfId="165" priority="73" operator="containsText" text="CLOSED">
      <formula>NOT(ISERROR(SEARCH("CLOSED",S355)))</formula>
    </cfRule>
    <cfRule type="containsText" dxfId="164" priority="74" operator="containsText" text="Open">
      <formula>NOT(ISERROR(SEARCH("Open",S355)))</formula>
    </cfRule>
    <cfRule type="containsText" dxfId="163" priority="75" operator="containsText" text="Closed">
      <formula>NOT(ISERROR(SEARCH("Closed",S355)))</formula>
    </cfRule>
    <cfRule type="containsText" dxfId="162" priority="76" operator="containsText" text="Overdue">
      <formula>NOT(ISERROR(SEARCH("Overdue",S355)))</formula>
    </cfRule>
  </conditionalFormatting>
  <conditionalFormatting sqref="S323">
    <cfRule type="containsText" dxfId="161" priority="61" operator="containsText" text="CLOSED">
      <formula>NOT(ISERROR(SEARCH("CLOSED",S323)))</formula>
    </cfRule>
    <cfRule type="containsText" dxfId="160" priority="62" operator="containsText" text="Open">
      <formula>NOT(ISERROR(SEARCH("Open",S323)))</formula>
    </cfRule>
    <cfRule type="containsText" dxfId="159" priority="63" operator="containsText" text="Closed">
      <formula>NOT(ISERROR(SEARCH("Closed",S323)))</formula>
    </cfRule>
    <cfRule type="containsText" dxfId="158" priority="64" operator="containsText" text="Overdue">
      <formula>NOT(ISERROR(SEARCH("Overdue",S323)))</formula>
    </cfRule>
  </conditionalFormatting>
  <conditionalFormatting sqref="S306:S309">
    <cfRule type="containsText" dxfId="157" priority="53" operator="containsText" text="CLOSED">
      <formula>NOT(ISERROR(SEARCH("CLOSED",S306)))</formula>
    </cfRule>
    <cfRule type="containsText" dxfId="156" priority="54" operator="containsText" text="Open">
      <formula>NOT(ISERROR(SEARCH("Open",S306)))</formula>
    </cfRule>
    <cfRule type="containsText" dxfId="155" priority="55" operator="containsText" text="Closed">
      <formula>NOT(ISERROR(SEARCH("Closed",S306)))</formula>
    </cfRule>
    <cfRule type="containsText" dxfId="154" priority="56" operator="containsText" text="Overdue">
      <formula>NOT(ISERROR(SEARCH("Overdue",S306)))</formula>
    </cfRule>
  </conditionalFormatting>
  <conditionalFormatting sqref="S395:S401 S403:S404">
    <cfRule type="containsText" dxfId="153" priority="49" operator="containsText" text="CLOSED">
      <formula>NOT(ISERROR(SEARCH("CLOSED",S395)))</formula>
    </cfRule>
    <cfRule type="containsText" dxfId="152" priority="50" operator="containsText" text="Open">
      <formula>NOT(ISERROR(SEARCH("Open",S395)))</formula>
    </cfRule>
    <cfRule type="containsText" dxfId="151" priority="51" operator="containsText" text="Closed">
      <formula>NOT(ISERROR(SEARCH("Closed",S395)))</formula>
    </cfRule>
    <cfRule type="containsText" dxfId="150" priority="52" operator="containsText" text="Overdue">
      <formula>NOT(ISERROR(SEARCH("Overdue",S395)))</formula>
    </cfRule>
  </conditionalFormatting>
  <conditionalFormatting sqref="S411">
    <cfRule type="containsText" dxfId="149" priority="45" operator="containsText" text="CLOSED">
      <formula>NOT(ISERROR(SEARCH("CLOSED",S411)))</formula>
    </cfRule>
    <cfRule type="containsText" dxfId="148" priority="46" operator="containsText" text="Open">
      <formula>NOT(ISERROR(SEARCH("Open",S411)))</formula>
    </cfRule>
    <cfRule type="containsText" dxfId="147" priority="47" operator="containsText" text="Closed">
      <formula>NOT(ISERROR(SEARCH("Closed",S411)))</formula>
    </cfRule>
    <cfRule type="containsText" dxfId="146" priority="48" operator="containsText" text="Overdue">
      <formula>NOT(ISERROR(SEARCH("Overdue",S411)))</formula>
    </cfRule>
  </conditionalFormatting>
  <conditionalFormatting sqref="S370">
    <cfRule type="containsText" dxfId="145" priority="41" operator="containsText" text="CLOSED">
      <formula>NOT(ISERROR(SEARCH("CLOSED",S370)))</formula>
    </cfRule>
    <cfRule type="containsText" dxfId="144" priority="42" operator="containsText" text="Open">
      <formula>NOT(ISERROR(SEARCH("Open",S370)))</formula>
    </cfRule>
    <cfRule type="containsText" dxfId="143" priority="43" operator="containsText" text="Closed">
      <formula>NOT(ISERROR(SEARCH("Closed",S370)))</formula>
    </cfRule>
    <cfRule type="containsText" dxfId="142" priority="44" operator="containsText" text="Overdue">
      <formula>NOT(ISERROR(SEARCH("Overdue",S370)))</formula>
    </cfRule>
  </conditionalFormatting>
  <conditionalFormatting sqref="S376">
    <cfRule type="containsText" dxfId="141" priority="37" operator="containsText" text="CLOSED">
      <formula>NOT(ISERROR(SEARCH("CLOSED",S376)))</formula>
    </cfRule>
    <cfRule type="containsText" dxfId="140" priority="38" operator="containsText" text="Open">
      <formula>NOT(ISERROR(SEARCH("Open",S376)))</formula>
    </cfRule>
    <cfRule type="containsText" dxfId="139" priority="39" operator="containsText" text="Closed">
      <formula>NOT(ISERROR(SEARCH("Closed",S376)))</formula>
    </cfRule>
    <cfRule type="containsText" dxfId="138" priority="40" operator="containsText" text="Overdue">
      <formula>NOT(ISERROR(SEARCH("Overdue",S376)))</formula>
    </cfRule>
  </conditionalFormatting>
  <conditionalFormatting sqref="S377">
    <cfRule type="containsText" dxfId="137" priority="33" operator="containsText" text="CLOSED">
      <formula>NOT(ISERROR(SEARCH("CLOSED",S377)))</formula>
    </cfRule>
    <cfRule type="containsText" dxfId="136" priority="34" operator="containsText" text="Open">
      <formula>NOT(ISERROR(SEARCH("Open",S377)))</formula>
    </cfRule>
    <cfRule type="containsText" dxfId="135" priority="35" operator="containsText" text="Closed">
      <formula>NOT(ISERROR(SEARCH("Closed",S377)))</formula>
    </cfRule>
    <cfRule type="containsText" dxfId="134" priority="36" operator="containsText" text="Overdue">
      <formula>NOT(ISERROR(SEARCH("Overdue",S377)))</formula>
    </cfRule>
  </conditionalFormatting>
  <conditionalFormatting sqref="S378">
    <cfRule type="containsText" dxfId="133" priority="29" operator="containsText" text="CLOSED">
      <formula>NOT(ISERROR(SEARCH("CLOSED",S378)))</formula>
    </cfRule>
    <cfRule type="containsText" dxfId="132" priority="30" operator="containsText" text="Open">
      <formula>NOT(ISERROR(SEARCH("Open",S378)))</formula>
    </cfRule>
    <cfRule type="containsText" dxfId="131" priority="31" operator="containsText" text="Closed">
      <formula>NOT(ISERROR(SEARCH("Closed",S378)))</formula>
    </cfRule>
    <cfRule type="containsText" dxfId="130" priority="32" operator="containsText" text="Overdue">
      <formula>NOT(ISERROR(SEARCH("Overdue",S378)))</formula>
    </cfRule>
  </conditionalFormatting>
  <conditionalFormatting sqref="S379">
    <cfRule type="containsText" dxfId="129" priority="25" operator="containsText" text="CLOSED">
      <formula>NOT(ISERROR(SEARCH("CLOSED",S379)))</formula>
    </cfRule>
    <cfRule type="containsText" dxfId="128" priority="26" operator="containsText" text="Open">
      <formula>NOT(ISERROR(SEARCH("Open",S379)))</formula>
    </cfRule>
    <cfRule type="containsText" dxfId="127" priority="27" operator="containsText" text="Closed">
      <formula>NOT(ISERROR(SEARCH("Closed",S379)))</formula>
    </cfRule>
    <cfRule type="containsText" dxfId="126" priority="28" operator="containsText" text="Overdue">
      <formula>NOT(ISERROR(SEARCH("Overdue",S379)))</formula>
    </cfRule>
  </conditionalFormatting>
  <conditionalFormatting sqref="S406:S410">
    <cfRule type="containsText" dxfId="125" priority="21" operator="containsText" text="CLOSED">
      <formula>NOT(ISERROR(SEARCH("CLOSED",S406)))</formula>
    </cfRule>
    <cfRule type="containsText" dxfId="124" priority="22" operator="containsText" text="Open">
      <formula>NOT(ISERROR(SEARCH("Open",S406)))</formula>
    </cfRule>
    <cfRule type="containsText" dxfId="123" priority="23" operator="containsText" text="Closed">
      <formula>NOT(ISERROR(SEARCH("Closed",S406)))</formula>
    </cfRule>
    <cfRule type="containsText" dxfId="122" priority="24" operator="containsText" text="Overdue">
      <formula>NOT(ISERROR(SEARCH("Overdue",S406)))</formula>
    </cfRule>
  </conditionalFormatting>
  <conditionalFormatting sqref="S405">
    <cfRule type="containsText" dxfId="121" priority="17" operator="containsText" text="CLOSED">
      <formula>NOT(ISERROR(SEARCH("CLOSED",S405)))</formula>
    </cfRule>
    <cfRule type="containsText" dxfId="120" priority="18" operator="containsText" text="Open">
      <formula>NOT(ISERROR(SEARCH("Open",S405)))</formula>
    </cfRule>
    <cfRule type="containsText" dxfId="119" priority="19" operator="containsText" text="Closed">
      <formula>NOT(ISERROR(SEARCH("Closed",S405)))</formula>
    </cfRule>
    <cfRule type="containsText" dxfId="118" priority="20" operator="containsText" text="Overdue">
      <formula>NOT(ISERROR(SEARCH("Overdue",S405)))</formula>
    </cfRule>
  </conditionalFormatting>
  <conditionalFormatting sqref="S402">
    <cfRule type="containsText" dxfId="117" priority="13" operator="containsText" text="CLOSED">
      <formula>NOT(ISERROR(SEARCH("CLOSED",S402)))</formula>
    </cfRule>
    <cfRule type="containsText" dxfId="116" priority="14" operator="containsText" text="Open">
      <formula>NOT(ISERROR(SEARCH("Open",S402)))</formula>
    </cfRule>
    <cfRule type="containsText" dxfId="115" priority="15" operator="containsText" text="Closed">
      <formula>NOT(ISERROR(SEARCH("Closed",S402)))</formula>
    </cfRule>
    <cfRule type="containsText" dxfId="114" priority="16" operator="containsText" text="Overdue">
      <formula>NOT(ISERROR(SEARCH("Overdue",S402)))</formula>
    </cfRule>
  </conditionalFormatting>
  <conditionalFormatting sqref="S412:S420">
    <cfRule type="containsText" dxfId="113" priority="9" operator="containsText" text="CLOSED">
      <formula>NOT(ISERROR(SEARCH("CLOSED",S412)))</formula>
    </cfRule>
    <cfRule type="containsText" dxfId="112" priority="10" operator="containsText" text="Open">
      <formula>NOT(ISERROR(SEARCH("Open",S412)))</formula>
    </cfRule>
    <cfRule type="containsText" dxfId="111" priority="11" operator="containsText" text="Closed">
      <formula>NOT(ISERROR(SEARCH("Closed",S412)))</formula>
    </cfRule>
    <cfRule type="containsText" dxfId="110" priority="12" operator="containsText" text="Overdue">
      <formula>NOT(ISERROR(SEARCH("Overdue",S412)))</formula>
    </cfRule>
  </conditionalFormatting>
  <conditionalFormatting sqref="S423:S424">
    <cfRule type="containsText" dxfId="109" priority="1" operator="containsText" text="CLOSED">
      <formula>NOT(ISERROR(SEARCH("CLOSED",S423)))</formula>
    </cfRule>
    <cfRule type="containsText" dxfId="108" priority="2" operator="containsText" text="Open">
      <formula>NOT(ISERROR(SEARCH("Open",S423)))</formula>
    </cfRule>
    <cfRule type="containsText" dxfId="107" priority="3" operator="containsText" text="Closed">
      <formula>NOT(ISERROR(SEARCH("Closed",S423)))</formula>
    </cfRule>
    <cfRule type="containsText" dxfId="106" priority="4" operator="containsText" text="Overdue">
      <formula>NOT(ISERROR(SEARCH("Overdue",S423)))</formula>
    </cfRule>
  </conditionalFormatting>
  <printOptions horizontalCentered="1"/>
  <pageMargins left="0.15748031496063" right="0.118110236220472" top="0.41" bottom="0.31" header="0.27559055118110198" footer="0.14000000000000001"/>
  <pageSetup paperSize="9" scale="38" orientation="landscape" verticalDpi="3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D5:S20"/>
  <sheetViews>
    <sheetView showGridLines="0" zoomScale="25" zoomScaleNormal="25" workbookViewId="0">
      <selection activeCell="I17" sqref="I17"/>
    </sheetView>
  </sheetViews>
  <sheetFormatPr defaultRowHeight="14.45"/>
  <cols>
    <col min="4" max="4" width="16.28515625" customWidth="1"/>
    <col min="5" max="5" width="135.85546875" customWidth="1"/>
    <col min="6" max="6" width="39.7109375" customWidth="1"/>
    <col min="7" max="7" width="23.85546875" customWidth="1"/>
    <col min="8" max="10" width="25" customWidth="1"/>
    <col min="11" max="11" width="23.140625" customWidth="1"/>
    <col min="14" max="14" width="9" customWidth="1"/>
    <col min="15" max="15" width="39.140625" customWidth="1"/>
    <col min="16" max="18" width="23" customWidth="1"/>
    <col min="19" max="19" width="22.5703125" customWidth="1"/>
  </cols>
  <sheetData>
    <row r="5" spans="4:19" ht="52.5" customHeight="1">
      <c r="D5" s="616" t="s">
        <v>93</v>
      </c>
      <c r="E5" s="617" t="s">
        <v>196</v>
      </c>
      <c r="F5" s="617" t="s">
        <v>1434</v>
      </c>
      <c r="G5" s="618" t="s">
        <v>1435</v>
      </c>
      <c r="H5" s="617" t="s">
        <v>183</v>
      </c>
      <c r="I5" s="619" t="s">
        <v>1436</v>
      </c>
      <c r="J5" s="619" t="s">
        <v>1437</v>
      </c>
      <c r="K5" s="617" t="s">
        <v>1438</v>
      </c>
      <c r="N5" s="622" t="s">
        <v>1439</v>
      </c>
      <c r="O5" s="609" t="s">
        <v>1440</v>
      </c>
      <c r="P5" s="609" t="s">
        <v>1441</v>
      </c>
      <c r="Q5" s="609" t="s">
        <v>1442</v>
      </c>
      <c r="R5" s="609" t="s">
        <v>1443</v>
      </c>
      <c r="S5" s="609" t="s">
        <v>79</v>
      </c>
    </row>
    <row r="6" spans="4:19" ht="34.5" customHeight="1">
      <c r="D6" s="620">
        <v>1</v>
      </c>
      <c r="E6" s="621" t="s">
        <v>1010</v>
      </c>
      <c r="F6" s="611" t="s">
        <v>582</v>
      </c>
      <c r="G6" s="612" t="s">
        <v>1003</v>
      </c>
      <c r="H6" s="613" t="s">
        <v>375</v>
      </c>
      <c r="I6" s="614" t="s">
        <v>1444</v>
      </c>
      <c r="J6" s="614" t="s">
        <v>1443</v>
      </c>
      <c r="K6" s="613" t="s">
        <v>217</v>
      </c>
      <c r="N6" s="1541">
        <v>1</v>
      </c>
      <c r="O6" s="1538" t="s">
        <v>140</v>
      </c>
      <c r="P6" s="1539"/>
      <c r="Q6" s="1539"/>
      <c r="R6" s="1540"/>
      <c r="S6" s="625">
        <v>3</v>
      </c>
    </row>
    <row r="7" spans="4:19" ht="34.5" customHeight="1">
      <c r="D7" s="620">
        <v>2</v>
      </c>
      <c r="E7" s="610" t="s">
        <v>1056</v>
      </c>
      <c r="F7" s="611" t="s">
        <v>582</v>
      </c>
      <c r="G7" s="612" t="s">
        <v>1045</v>
      </c>
      <c r="H7" s="613" t="s">
        <v>375</v>
      </c>
      <c r="I7" s="614" t="s">
        <v>1444</v>
      </c>
      <c r="J7" s="614" t="s">
        <v>1443</v>
      </c>
      <c r="K7" s="613" t="s">
        <v>217</v>
      </c>
      <c r="N7" s="1545"/>
      <c r="O7" s="624" t="s">
        <v>249</v>
      </c>
      <c r="P7" s="623"/>
      <c r="Q7" s="623"/>
      <c r="R7" s="623">
        <v>3</v>
      </c>
      <c r="S7" s="623">
        <v>3</v>
      </c>
    </row>
    <row r="8" spans="4:19" ht="34.5" customHeight="1">
      <c r="D8" s="620">
        <v>3</v>
      </c>
      <c r="E8" s="610" t="s">
        <v>1119</v>
      </c>
      <c r="F8" s="611" t="s">
        <v>1120</v>
      </c>
      <c r="G8" s="612">
        <v>44804</v>
      </c>
      <c r="H8" s="613" t="s">
        <v>1121</v>
      </c>
      <c r="I8" s="614" t="s">
        <v>1445</v>
      </c>
      <c r="J8" s="614" t="s">
        <v>1443</v>
      </c>
      <c r="K8" s="613" t="s">
        <v>217</v>
      </c>
      <c r="N8" s="1541">
        <v>2</v>
      </c>
      <c r="O8" s="1538" t="s">
        <v>1445</v>
      </c>
      <c r="P8" s="1539"/>
      <c r="Q8" s="1539"/>
      <c r="R8" s="1540"/>
      <c r="S8" s="625">
        <v>2</v>
      </c>
    </row>
    <row r="9" spans="4:19" ht="34.5" customHeight="1">
      <c r="D9" s="620">
        <v>4</v>
      </c>
      <c r="E9" s="610" t="s">
        <v>1139</v>
      </c>
      <c r="F9" s="611" t="s">
        <v>582</v>
      </c>
      <c r="G9" s="612">
        <v>44758</v>
      </c>
      <c r="H9" s="613" t="s">
        <v>1121</v>
      </c>
      <c r="I9" s="614" t="s">
        <v>1445</v>
      </c>
      <c r="J9" s="614" t="s">
        <v>1443</v>
      </c>
      <c r="K9" s="613" t="s">
        <v>217</v>
      </c>
      <c r="N9" s="1545"/>
      <c r="O9" s="624" t="s">
        <v>1121</v>
      </c>
      <c r="P9" s="623"/>
      <c r="Q9" s="623"/>
      <c r="R9" s="623">
        <v>2</v>
      </c>
      <c r="S9" s="623">
        <v>2</v>
      </c>
    </row>
    <row r="10" spans="4:19" ht="34.5" customHeight="1">
      <c r="D10" s="620">
        <v>5</v>
      </c>
      <c r="E10" s="610" t="s">
        <v>1168</v>
      </c>
      <c r="F10" s="611" t="s">
        <v>582</v>
      </c>
      <c r="G10" s="612">
        <v>44771</v>
      </c>
      <c r="H10" s="613" t="s">
        <v>375</v>
      </c>
      <c r="I10" s="614" t="s">
        <v>1444</v>
      </c>
      <c r="J10" s="614" t="s">
        <v>1443</v>
      </c>
      <c r="K10" s="613" t="s">
        <v>217</v>
      </c>
      <c r="N10" s="1541">
        <v>3</v>
      </c>
      <c r="O10" s="1538" t="s">
        <v>1444</v>
      </c>
      <c r="P10" s="1539"/>
      <c r="Q10" s="1539"/>
      <c r="R10" s="1540"/>
      <c r="S10" s="625">
        <v>9</v>
      </c>
    </row>
    <row r="11" spans="4:19" ht="34.5" customHeight="1">
      <c r="D11" s="620">
        <v>6</v>
      </c>
      <c r="E11" s="610" t="s">
        <v>1171</v>
      </c>
      <c r="F11" s="611" t="s">
        <v>582</v>
      </c>
      <c r="G11" s="612">
        <v>44771</v>
      </c>
      <c r="H11" s="613" t="s">
        <v>375</v>
      </c>
      <c r="I11" s="614" t="s">
        <v>1444</v>
      </c>
      <c r="J11" s="614" t="s">
        <v>1443</v>
      </c>
      <c r="K11" s="613" t="s">
        <v>217</v>
      </c>
      <c r="N11" s="1542"/>
      <c r="O11" s="624" t="s">
        <v>143</v>
      </c>
      <c r="P11" s="623">
        <v>1</v>
      </c>
      <c r="Q11" s="623"/>
      <c r="R11" s="623"/>
      <c r="S11" s="623">
        <v>1</v>
      </c>
    </row>
    <row r="12" spans="4:19" ht="34.5" customHeight="1">
      <c r="D12" s="620">
        <v>7</v>
      </c>
      <c r="E12" s="610" t="s">
        <v>1188</v>
      </c>
      <c r="F12" s="611" t="s">
        <v>582</v>
      </c>
      <c r="G12" s="612">
        <v>44773</v>
      </c>
      <c r="H12" s="613" t="s">
        <v>143</v>
      </c>
      <c r="I12" s="614" t="s">
        <v>1444</v>
      </c>
      <c r="J12" s="614" t="s">
        <v>1441</v>
      </c>
      <c r="K12" s="613" t="s">
        <v>217</v>
      </c>
      <c r="N12" s="1542"/>
      <c r="O12" s="624" t="s">
        <v>375</v>
      </c>
      <c r="P12" s="623"/>
      <c r="Q12" s="623"/>
      <c r="R12" s="623">
        <v>5</v>
      </c>
      <c r="S12" s="623">
        <v>5</v>
      </c>
    </row>
    <row r="13" spans="4:19" ht="34.5" customHeight="1">
      <c r="D13" s="620">
        <v>8</v>
      </c>
      <c r="E13" s="610" t="s">
        <v>1190</v>
      </c>
      <c r="F13" s="611" t="s">
        <v>582</v>
      </c>
      <c r="G13" s="612">
        <v>44773</v>
      </c>
      <c r="H13" s="613" t="s">
        <v>249</v>
      </c>
      <c r="I13" s="614" t="s">
        <v>140</v>
      </c>
      <c r="J13" s="614" t="s">
        <v>1443</v>
      </c>
      <c r="K13" s="613" t="s">
        <v>217</v>
      </c>
      <c r="N13" s="1542"/>
      <c r="O13" s="624" t="s">
        <v>1262</v>
      </c>
      <c r="P13" s="623"/>
      <c r="Q13" s="623">
        <v>3</v>
      </c>
      <c r="R13" s="623"/>
      <c r="S13" s="623">
        <v>3</v>
      </c>
    </row>
    <row r="14" spans="4:19" ht="34.5" customHeight="1">
      <c r="D14" s="620">
        <v>9</v>
      </c>
      <c r="E14" s="610" t="s">
        <v>1196</v>
      </c>
      <c r="F14" s="611" t="s">
        <v>582</v>
      </c>
      <c r="G14" s="612">
        <v>44804</v>
      </c>
      <c r="H14" s="613" t="s">
        <v>1105</v>
      </c>
      <c r="I14" s="614" t="s">
        <v>140</v>
      </c>
      <c r="J14" s="614" t="s">
        <v>1443</v>
      </c>
      <c r="K14" s="613" t="s">
        <v>217</v>
      </c>
      <c r="N14" s="1543" t="s">
        <v>79</v>
      </c>
      <c r="O14" s="1544"/>
      <c r="P14" s="609">
        <v>1</v>
      </c>
      <c r="Q14" s="609">
        <v>3</v>
      </c>
      <c r="R14" s="609">
        <v>10</v>
      </c>
      <c r="S14" s="609">
        <v>14</v>
      </c>
    </row>
    <row r="15" spans="4:19" ht="34.5" customHeight="1">
      <c r="D15" s="620">
        <v>10</v>
      </c>
      <c r="E15" s="610" t="s">
        <v>1202</v>
      </c>
      <c r="F15" s="611" t="s">
        <v>582</v>
      </c>
      <c r="G15" s="612">
        <v>44773</v>
      </c>
      <c r="H15" s="613" t="s">
        <v>375</v>
      </c>
      <c r="I15" s="614" t="s">
        <v>1444</v>
      </c>
      <c r="J15" s="614" t="s">
        <v>1443</v>
      </c>
      <c r="K15" s="613" t="s">
        <v>217</v>
      </c>
    </row>
    <row r="16" spans="4:19" ht="34.5" customHeight="1">
      <c r="D16" s="620">
        <v>11</v>
      </c>
      <c r="E16" s="610" t="s">
        <v>1256</v>
      </c>
      <c r="F16" s="611" t="s">
        <v>582</v>
      </c>
      <c r="G16" s="612">
        <v>44787</v>
      </c>
      <c r="H16" s="611" t="s">
        <v>249</v>
      </c>
      <c r="I16" s="614" t="s">
        <v>140</v>
      </c>
      <c r="J16" s="614" t="s">
        <v>1443</v>
      </c>
      <c r="K16" s="613" t="s">
        <v>217</v>
      </c>
    </row>
    <row r="17" spans="4:11" ht="34.5" customHeight="1">
      <c r="D17" s="620">
        <v>12</v>
      </c>
      <c r="E17" s="610" t="s">
        <v>1261</v>
      </c>
      <c r="F17" s="611" t="s">
        <v>582</v>
      </c>
      <c r="G17" s="612">
        <v>44786</v>
      </c>
      <c r="H17" s="611" t="s">
        <v>1262</v>
      </c>
      <c r="I17" s="614" t="s">
        <v>1444</v>
      </c>
      <c r="J17" s="615" t="s">
        <v>1442</v>
      </c>
      <c r="K17" s="613" t="s">
        <v>217</v>
      </c>
    </row>
    <row r="18" spans="4:11" ht="34.5" customHeight="1">
      <c r="D18" s="620">
        <v>13</v>
      </c>
      <c r="E18" s="610" t="s">
        <v>1261</v>
      </c>
      <c r="F18" s="611" t="s">
        <v>582</v>
      </c>
      <c r="G18" s="612">
        <v>44786</v>
      </c>
      <c r="H18" s="611" t="s">
        <v>1262</v>
      </c>
      <c r="I18" s="614" t="s">
        <v>1444</v>
      </c>
      <c r="J18" s="615" t="s">
        <v>1442</v>
      </c>
      <c r="K18" s="613" t="s">
        <v>217</v>
      </c>
    </row>
    <row r="19" spans="4:11" ht="34.5" customHeight="1">
      <c r="D19" s="620">
        <v>14</v>
      </c>
      <c r="E19" s="610" t="s">
        <v>1265</v>
      </c>
      <c r="F19" s="611" t="s">
        <v>582</v>
      </c>
      <c r="G19" s="612">
        <v>44786</v>
      </c>
      <c r="H19" s="611" t="s">
        <v>1262</v>
      </c>
      <c r="I19" s="614" t="s">
        <v>1444</v>
      </c>
      <c r="J19" s="615" t="s">
        <v>1442</v>
      </c>
      <c r="K19" s="613" t="s">
        <v>217</v>
      </c>
    </row>
    <row r="20" spans="4:11" ht="51" customHeight="1"/>
  </sheetData>
  <mergeCells count="7">
    <mergeCell ref="O6:R6"/>
    <mergeCell ref="O8:R8"/>
    <mergeCell ref="O10:R10"/>
    <mergeCell ref="N10:N13"/>
    <mergeCell ref="N14:O14"/>
    <mergeCell ref="N6:N7"/>
    <mergeCell ref="N8:N9"/>
  </mergeCells>
  <conditionalFormatting sqref="K6 K16:K19">
    <cfRule type="containsText" dxfId="105" priority="37" operator="containsText" text="CLOSED">
      <formula>NOT(ISERROR(SEARCH("CLOSED",K6)))</formula>
    </cfRule>
    <cfRule type="containsText" dxfId="104" priority="38" operator="containsText" text="Open">
      <formula>NOT(ISERROR(SEARCH("Open",K6)))</formula>
    </cfRule>
    <cfRule type="containsText" dxfId="103" priority="39" operator="containsText" text="Closed">
      <formula>NOT(ISERROR(SEARCH("Closed",K6)))</formula>
    </cfRule>
    <cfRule type="containsText" dxfId="102" priority="40" operator="containsText" text="Overdue">
      <formula>NOT(ISERROR(SEARCH("Overdue",K6)))</formula>
    </cfRule>
  </conditionalFormatting>
  <conditionalFormatting sqref="K7">
    <cfRule type="containsText" dxfId="101" priority="33" operator="containsText" text="CLOSED">
      <formula>NOT(ISERROR(SEARCH("CLOSED",K7)))</formula>
    </cfRule>
    <cfRule type="containsText" dxfId="100" priority="34" operator="containsText" text="Open">
      <formula>NOT(ISERROR(SEARCH("Open",K7)))</formula>
    </cfRule>
    <cfRule type="containsText" dxfId="99" priority="35" operator="containsText" text="Closed">
      <formula>NOT(ISERROR(SEARCH("Closed",K7)))</formula>
    </cfRule>
    <cfRule type="containsText" dxfId="98" priority="36" operator="containsText" text="Overdue">
      <formula>NOT(ISERROR(SEARCH("Overdue",K7)))</formula>
    </cfRule>
  </conditionalFormatting>
  <conditionalFormatting sqref="K8">
    <cfRule type="containsText" dxfId="97" priority="29" operator="containsText" text="CLOSED">
      <formula>NOT(ISERROR(SEARCH("CLOSED",K8)))</formula>
    </cfRule>
    <cfRule type="containsText" dxfId="96" priority="30" operator="containsText" text="Open">
      <formula>NOT(ISERROR(SEARCH("Open",K8)))</formula>
    </cfRule>
    <cfRule type="containsText" dxfId="95" priority="31" operator="containsText" text="Closed">
      <formula>NOT(ISERROR(SEARCH("Closed",K8)))</formula>
    </cfRule>
    <cfRule type="containsText" dxfId="94" priority="32" operator="containsText" text="Overdue">
      <formula>NOT(ISERROR(SEARCH("Overdue",K8)))</formula>
    </cfRule>
  </conditionalFormatting>
  <conditionalFormatting sqref="K9">
    <cfRule type="containsText" dxfId="93" priority="25" operator="containsText" text="CLOSED">
      <formula>NOT(ISERROR(SEARCH("CLOSED",K9)))</formula>
    </cfRule>
    <cfRule type="containsText" dxfId="92" priority="26" operator="containsText" text="Open">
      <formula>NOT(ISERROR(SEARCH("Open",K9)))</formula>
    </cfRule>
    <cfRule type="containsText" dxfId="91" priority="27" operator="containsText" text="Closed">
      <formula>NOT(ISERROR(SEARCH("Closed",K9)))</formula>
    </cfRule>
    <cfRule type="containsText" dxfId="90" priority="28" operator="containsText" text="Overdue">
      <formula>NOT(ISERROR(SEARCH("Overdue",K9)))</formula>
    </cfRule>
  </conditionalFormatting>
  <conditionalFormatting sqref="K10:K11">
    <cfRule type="containsText" dxfId="89" priority="21" operator="containsText" text="CLOSED">
      <formula>NOT(ISERROR(SEARCH("CLOSED",K10)))</formula>
    </cfRule>
    <cfRule type="containsText" dxfId="88" priority="22" operator="containsText" text="Open">
      <formula>NOT(ISERROR(SEARCH("Open",K10)))</formula>
    </cfRule>
    <cfRule type="containsText" dxfId="87" priority="23" operator="containsText" text="Closed">
      <formula>NOT(ISERROR(SEARCH("Closed",K10)))</formula>
    </cfRule>
    <cfRule type="containsText" dxfId="86" priority="24" operator="containsText" text="Overdue">
      <formula>NOT(ISERROR(SEARCH("Overdue",K10)))</formula>
    </cfRule>
  </conditionalFormatting>
  <conditionalFormatting sqref="K13">
    <cfRule type="containsText" dxfId="85" priority="17" operator="containsText" text="CLOSED">
      <formula>NOT(ISERROR(SEARCH("CLOSED",K13)))</formula>
    </cfRule>
    <cfRule type="containsText" dxfId="84" priority="18" operator="containsText" text="Open">
      <formula>NOT(ISERROR(SEARCH("Open",K13)))</formula>
    </cfRule>
    <cfRule type="containsText" dxfId="83" priority="19" operator="containsText" text="Closed">
      <formula>NOT(ISERROR(SEARCH("Closed",K13)))</formula>
    </cfRule>
    <cfRule type="containsText" dxfId="82" priority="20" operator="containsText" text="Overdue">
      <formula>NOT(ISERROR(SEARCH("Overdue",K13)))</formula>
    </cfRule>
  </conditionalFormatting>
  <conditionalFormatting sqref="K12">
    <cfRule type="containsText" dxfId="81" priority="13" operator="containsText" text="CLOSED">
      <formula>NOT(ISERROR(SEARCH("CLOSED",K12)))</formula>
    </cfRule>
    <cfRule type="containsText" dxfId="80" priority="14" operator="containsText" text="Open">
      <formula>NOT(ISERROR(SEARCH("Open",K12)))</formula>
    </cfRule>
    <cfRule type="containsText" dxfId="79" priority="15" operator="containsText" text="Closed">
      <formula>NOT(ISERROR(SEARCH("Closed",K12)))</formula>
    </cfRule>
    <cfRule type="containsText" dxfId="78" priority="16" operator="containsText" text="Overdue">
      <formula>NOT(ISERROR(SEARCH("Overdue",K12)))</formula>
    </cfRule>
  </conditionalFormatting>
  <conditionalFormatting sqref="K14">
    <cfRule type="containsText" dxfId="77" priority="9" operator="containsText" text="CLOSED">
      <formula>NOT(ISERROR(SEARCH("CLOSED",K14)))</formula>
    </cfRule>
    <cfRule type="containsText" dxfId="76" priority="10" operator="containsText" text="Open">
      <formula>NOT(ISERROR(SEARCH("Open",K14)))</formula>
    </cfRule>
    <cfRule type="containsText" dxfId="75" priority="11" operator="containsText" text="Closed">
      <formula>NOT(ISERROR(SEARCH("Closed",K14)))</formula>
    </cfRule>
    <cfRule type="containsText" dxfId="74" priority="12" operator="containsText" text="Overdue">
      <formula>NOT(ISERROR(SEARCH("Overdue",K14)))</formula>
    </cfRule>
  </conditionalFormatting>
  <conditionalFormatting sqref="K15">
    <cfRule type="containsText" dxfId="73" priority="5" operator="containsText" text="CLOSED">
      <formula>NOT(ISERROR(SEARCH("CLOSED",K15)))</formula>
    </cfRule>
    <cfRule type="containsText" dxfId="72" priority="6" operator="containsText" text="Open">
      <formula>NOT(ISERROR(SEARCH("Open",K15)))</formula>
    </cfRule>
    <cfRule type="containsText" dxfId="71" priority="7" operator="containsText" text="Closed">
      <formula>NOT(ISERROR(SEARCH("Closed",K15)))</formula>
    </cfRule>
    <cfRule type="containsText" dxfId="70" priority="8" operator="containsText" text="Overdue">
      <formula>NOT(ISERROR(SEARCH("Overdue",K15)))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sheetPr>
  <dimension ref="A2:L28"/>
  <sheetViews>
    <sheetView topLeftCell="A12" zoomScale="25" zoomScaleNormal="25" workbookViewId="0">
      <selection activeCell="L5" sqref="L5"/>
    </sheetView>
  </sheetViews>
  <sheetFormatPr defaultRowHeight="14.45"/>
  <cols>
    <col min="1" max="1" width="28.85546875" customWidth="1"/>
    <col min="2" max="2" width="15.140625" customWidth="1"/>
    <col min="3" max="3" width="14.85546875" customWidth="1"/>
    <col min="4" max="4" width="29" customWidth="1"/>
    <col min="5" max="5" width="79.28515625" customWidth="1"/>
    <col min="6" max="6" width="91.5703125" bestFit="1" customWidth="1"/>
    <col min="7" max="7" width="124.140625" customWidth="1"/>
    <col min="8" max="8" width="40.42578125" style="25" customWidth="1"/>
    <col min="9" max="9" width="27.42578125" customWidth="1"/>
    <col min="10" max="10" width="57.28515625" bestFit="1" customWidth="1"/>
    <col min="11" max="11" width="63.85546875" customWidth="1"/>
    <col min="12" max="12" width="15.85546875" customWidth="1"/>
  </cols>
  <sheetData>
    <row r="2" spans="1:11" ht="54" customHeight="1">
      <c r="A2" s="454" t="s">
        <v>190</v>
      </c>
      <c r="B2" s="454" t="s">
        <v>191</v>
      </c>
      <c r="C2" s="454" t="s">
        <v>145</v>
      </c>
      <c r="D2" s="454" t="s">
        <v>192</v>
      </c>
      <c r="E2" s="455" t="s">
        <v>194</v>
      </c>
      <c r="F2" s="455"/>
      <c r="G2" s="456" t="s">
        <v>196</v>
      </c>
      <c r="H2" s="457" t="s">
        <v>182</v>
      </c>
      <c r="I2" s="457" t="s">
        <v>183</v>
      </c>
      <c r="J2" s="457" t="s">
        <v>185</v>
      </c>
      <c r="K2" s="457" t="s">
        <v>181</v>
      </c>
    </row>
    <row r="3" spans="1:11" ht="343.5" customHeight="1">
      <c r="A3" s="1552">
        <v>44665</v>
      </c>
      <c r="B3" s="1549" t="s">
        <v>679</v>
      </c>
      <c r="C3" s="1549" t="s">
        <v>147</v>
      </c>
      <c r="D3" s="1546" t="s">
        <v>680</v>
      </c>
      <c r="E3" s="1559" t="s">
        <v>681</v>
      </c>
      <c r="F3" s="1557" t="s">
        <v>682</v>
      </c>
      <c r="G3" s="458" t="s">
        <v>683</v>
      </c>
      <c r="H3" s="459" t="s">
        <v>685</v>
      </c>
      <c r="I3" s="460" t="s">
        <v>607</v>
      </c>
      <c r="J3" s="460" t="s">
        <v>214</v>
      </c>
      <c r="K3" s="458"/>
    </row>
    <row r="4" spans="1:11" ht="275.25" customHeight="1">
      <c r="A4" s="1553"/>
      <c r="B4" s="1550"/>
      <c r="C4" s="1550"/>
      <c r="D4" s="1547"/>
      <c r="E4" s="1559"/>
      <c r="F4" s="1557"/>
      <c r="G4" s="458" t="s">
        <v>686</v>
      </c>
      <c r="H4" s="459" t="s">
        <v>688</v>
      </c>
      <c r="I4" s="460" t="s">
        <v>293</v>
      </c>
      <c r="J4" s="460" t="s">
        <v>214</v>
      </c>
      <c r="K4" s="458"/>
    </row>
    <row r="5" spans="1:11" ht="308.25" customHeight="1">
      <c r="A5" s="1553"/>
      <c r="B5" s="1550"/>
      <c r="C5" s="1550"/>
      <c r="D5" s="1547"/>
      <c r="E5" s="1559"/>
      <c r="F5" s="458" t="s">
        <v>689</v>
      </c>
      <c r="G5" s="458" t="s">
        <v>683</v>
      </c>
      <c r="H5" s="459" t="s">
        <v>685</v>
      </c>
      <c r="I5" s="460" t="s">
        <v>607</v>
      </c>
      <c r="J5" s="460" t="s">
        <v>214</v>
      </c>
      <c r="K5" s="458"/>
    </row>
    <row r="6" spans="1:11" ht="137.25" hidden="1" customHeight="1">
      <c r="A6" s="1553"/>
      <c r="B6" s="1550"/>
      <c r="C6" s="1550"/>
      <c r="D6" s="1547"/>
      <c r="E6" s="1559"/>
      <c r="F6" s="1557" t="s">
        <v>690</v>
      </c>
      <c r="G6" s="458" t="s">
        <v>1446</v>
      </c>
      <c r="H6" s="459" t="s">
        <v>685</v>
      </c>
      <c r="I6" s="460" t="s">
        <v>692</v>
      </c>
      <c r="J6" s="460" t="s">
        <v>217</v>
      </c>
      <c r="K6" s="458" t="s">
        <v>1447</v>
      </c>
    </row>
    <row r="7" spans="1:11" ht="305.25" customHeight="1">
      <c r="A7" s="1553"/>
      <c r="B7" s="1550"/>
      <c r="C7" s="1550"/>
      <c r="D7" s="1547"/>
      <c r="E7" s="1559"/>
      <c r="F7" s="1557"/>
      <c r="G7" s="458" t="s">
        <v>1446</v>
      </c>
      <c r="H7" s="459" t="s">
        <v>685</v>
      </c>
      <c r="I7" s="460" t="s">
        <v>694</v>
      </c>
      <c r="J7" s="460" t="s">
        <v>214</v>
      </c>
      <c r="K7" s="458"/>
    </row>
    <row r="8" spans="1:11" ht="268.5" customHeight="1">
      <c r="A8" s="1553"/>
      <c r="B8" s="1550"/>
      <c r="C8" s="1550"/>
      <c r="D8" s="1547"/>
      <c r="E8" s="1559"/>
      <c r="F8" s="1557" t="s">
        <v>695</v>
      </c>
      <c r="G8" s="458" t="s">
        <v>696</v>
      </c>
      <c r="H8" s="459" t="s">
        <v>688</v>
      </c>
      <c r="I8" s="460" t="s">
        <v>694</v>
      </c>
      <c r="J8" s="460" t="s">
        <v>214</v>
      </c>
      <c r="K8" s="458"/>
    </row>
    <row r="9" spans="1:11" ht="296.25" customHeight="1">
      <c r="A9" s="1553"/>
      <c r="B9" s="1550"/>
      <c r="C9" s="1550"/>
      <c r="D9" s="1547"/>
      <c r="E9" s="1559"/>
      <c r="F9" s="1557"/>
      <c r="G9" s="458" t="s">
        <v>697</v>
      </c>
      <c r="H9" s="461">
        <v>44827</v>
      </c>
      <c r="I9" s="460" t="s">
        <v>694</v>
      </c>
      <c r="J9" s="460" t="s">
        <v>1448</v>
      </c>
      <c r="K9" s="458"/>
    </row>
    <row r="10" spans="1:11" ht="137.25" hidden="1" customHeight="1">
      <c r="A10" s="1553"/>
      <c r="B10" s="1550"/>
      <c r="C10" s="1550"/>
      <c r="D10" s="1547"/>
      <c r="E10" s="1559"/>
      <c r="F10" s="1557"/>
      <c r="G10" s="458" t="s">
        <v>699</v>
      </c>
      <c r="H10" s="459" t="s">
        <v>700</v>
      </c>
      <c r="I10" s="460" t="s">
        <v>694</v>
      </c>
      <c r="J10" s="460" t="s">
        <v>217</v>
      </c>
      <c r="K10" s="458"/>
    </row>
    <row r="11" spans="1:11" ht="137.25" hidden="1" customHeight="1">
      <c r="A11" s="1553"/>
      <c r="B11" s="1550"/>
      <c r="C11" s="1550"/>
      <c r="D11" s="1547"/>
      <c r="E11" s="1559"/>
      <c r="F11" s="458" t="s">
        <v>701</v>
      </c>
      <c r="G11" s="458" t="s">
        <v>691</v>
      </c>
      <c r="H11" s="459" t="s">
        <v>685</v>
      </c>
      <c r="I11" s="460" t="s">
        <v>607</v>
      </c>
      <c r="J11" s="460" t="s">
        <v>217</v>
      </c>
      <c r="K11" s="458"/>
    </row>
    <row r="12" spans="1:11" ht="248.25" customHeight="1">
      <c r="A12" s="1553"/>
      <c r="B12" s="1550"/>
      <c r="C12" s="1550"/>
      <c r="D12" s="1547"/>
      <c r="E12" s="1559"/>
      <c r="F12" s="1557" t="s">
        <v>702</v>
      </c>
      <c r="G12" s="458" t="s">
        <v>703</v>
      </c>
      <c r="H12" s="459" t="s">
        <v>705</v>
      </c>
      <c r="I12" s="460" t="s">
        <v>429</v>
      </c>
      <c r="J12" s="460" t="s">
        <v>214</v>
      </c>
      <c r="K12" s="458"/>
    </row>
    <row r="13" spans="1:11" ht="350.25" customHeight="1">
      <c r="A13" s="1553"/>
      <c r="B13" s="1550"/>
      <c r="C13" s="1550"/>
      <c r="D13" s="1547"/>
      <c r="E13" s="1559"/>
      <c r="F13" s="1557"/>
      <c r="G13" s="458" t="s">
        <v>706</v>
      </c>
      <c r="H13" s="459" t="s">
        <v>688</v>
      </c>
      <c r="I13" s="460" t="s">
        <v>607</v>
      </c>
      <c r="J13" s="460" t="s">
        <v>214</v>
      </c>
      <c r="K13" s="458"/>
    </row>
    <row r="14" spans="1:11" ht="203.25" customHeight="1">
      <c r="A14" s="1553"/>
      <c r="B14" s="1550"/>
      <c r="C14" s="1550"/>
      <c r="D14" s="1547"/>
      <c r="E14" s="1559"/>
      <c r="F14" s="458" t="s">
        <v>708</v>
      </c>
      <c r="G14" s="458" t="s">
        <v>709</v>
      </c>
      <c r="H14" s="459" t="s">
        <v>688</v>
      </c>
      <c r="I14" s="460" t="s">
        <v>429</v>
      </c>
      <c r="J14" s="460" t="s">
        <v>1448</v>
      </c>
      <c r="K14" s="458"/>
    </row>
    <row r="15" spans="1:11" ht="137.25" customHeight="1">
      <c r="A15" s="1553"/>
      <c r="B15" s="1550"/>
      <c r="C15" s="1550"/>
      <c r="D15" s="1547"/>
      <c r="E15" s="1559"/>
      <c r="F15" s="458" t="s">
        <v>710</v>
      </c>
      <c r="G15" s="462" t="s">
        <v>711</v>
      </c>
      <c r="H15" s="459" t="s">
        <v>700</v>
      </c>
      <c r="I15" s="460" t="s">
        <v>249</v>
      </c>
      <c r="J15" s="460" t="s">
        <v>1448</v>
      </c>
      <c r="K15" s="458"/>
    </row>
    <row r="16" spans="1:11" ht="137.25" hidden="1" customHeight="1">
      <c r="A16" s="1553"/>
      <c r="B16" s="1550"/>
      <c r="C16" s="1550"/>
      <c r="D16" s="1547"/>
      <c r="E16" s="1559"/>
      <c r="F16" s="1558" t="s">
        <v>713</v>
      </c>
      <c r="G16" s="458" t="s">
        <v>714</v>
      </c>
      <c r="H16" s="459" t="s">
        <v>685</v>
      </c>
      <c r="I16" s="460" t="s">
        <v>293</v>
      </c>
      <c r="J16" s="460" t="s">
        <v>217</v>
      </c>
      <c r="K16" s="458" t="s">
        <v>1449</v>
      </c>
    </row>
    <row r="17" spans="1:12" ht="137.25" hidden="1" customHeight="1">
      <c r="A17" s="1553"/>
      <c r="B17" s="1550"/>
      <c r="C17" s="1550"/>
      <c r="D17" s="1547"/>
      <c r="E17" s="1559"/>
      <c r="F17" s="1558"/>
      <c r="G17" s="458" t="s">
        <v>715</v>
      </c>
      <c r="H17" s="461">
        <v>44827</v>
      </c>
      <c r="I17" s="460" t="s">
        <v>607</v>
      </c>
      <c r="J17" s="460" t="s">
        <v>217</v>
      </c>
      <c r="K17" s="458"/>
    </row>
    <row r="18" spans="1:12" ht="137.25" customHeight="1">
      <c r="A18" s="1554"/>
      <c r="B18" s="1551"/>
      <c r="C18" s="1551"/>
      <c r="D18" s="1548"/>
      <c r="E18" s="1559"/>
      <c r="F18" s="458" t="s">
        <v>716</v>
      </c>
      <c r="G18" s="458" t="s">
        <v>717</v>
      </c>
      <c r="H18" s="463">
        <v>44772</v>
      </c>
      <c r="I18" s="460" t="s">
        <v>249</v>
      </c>
      <c r="J18" s="460" t="s">
        <v>1448</v>
      </c>
      <c r="K18" s="458"/>
    </row>
    <row r="24" spans="1:12" ht="24.95">
      <c r="I24" s="466" t="s">
        <v>1450</v>
      </c>
      <c r="J24" s="466" t="s">
        <v>1451</v>
      </c>
      <c r="K24" s="466" t="s">
        <v>1452</v>
      </c>
      <c r="L24" s="466" t="s">
        <v>1453</v>
      </c>
    </row>
    <row r="25" spans="1:12" ht="24.95">
      <c r="I25" s="464">
        <v>1</v>
      </c>
      <c r="J25" s="467" t="s">
        <v>1454</v>
      </c>
      <c r="K25" s="464">
        <v>6</v>
      </c>
      <c r="L25" s="468">
        <f>K25/$K$28</f>
        <v>0.375</v>
      </c>
    </row>
    <row r="26" spans="1:12" ht="24.95">
      <c r="I26" s="464">
        <v>2</v>
      </c>
      <c r="J26" s="467" t="s">
        <v>1140</v>
      </c>
      <c r="K26" s="464">
        <v>5</v>
      </c>
      <c r="L26" s="469">
        <f>K26/$K$28</f>
        <v>0.3125</v>
      </c>
    </row>
    <row r="27" spans="1:12" ht="24.95">
      <c r="I27" s="464">
        <v>3</v>
      </c>
      <c r="J27" s="467" t="s">
        <v>1455</v>
      </c>
      <c r="K27" s="464">
        <v>5</v>
      </c>
      <c r="L27" s="470">
        <f>K27/$K$28</f>
        <v>0.3125</v>
      </c>
    </row>
    <row r="28" spans="1:12" ht="24.95">
      <c r="I28" s="1555" t="s">
        <v>1456</v>
      </c>
      <c r="J28" s="1556"/>
      <c r="K28" s="466">
        <f>SUM(K25:K27)</f>
        <v>16</v>
      </c>
      <c r="L28" s="465"/>
    </row>
  </sheetData>
  <mergeCells count="11">
    <mergeCell ref="D3:D18"/>
    <mergeCell ref="C3:C18"/>
    <mergeCell ref="B3:B18"/>
    <mergeCell ref="A3:A18"/>
    <mergeCell ref="I28:J28"/>
    <mergeCell ref="F8:F10"/>
    <mergeCell ref="F12:F13"/>
    <mergeCell ref="F16:F17"/>
    <mergeCell ref="E3:E18"/>
    <mergeCell ref="F3:F4"/>
    <mergeCell ref="F6:F7"/>
  </mergeCells>
  <conditionalFormatting sqref="J3:J18">
    <cfRule type="containsText" dxfId="69" priority="1" operator="containsText" text="CLOSED">
      <formula>NOT(ISERROR(SEARCH("CLOSED",J3)))</formula>
    </cfRule>
    <cfRule type="containsText" dxfId="68" priority="2" operator="containsText" text="Open">
      <formula>NOT(ISERROR(SEARCH("Open",J3)))</formula>
    </cfRule>
    <cfRule type="containsText" dxfId="67" priority="3" operator="containsText" text="Closed">
      <formula>NOT(ISERROR(SEARCH("Closed",J3)))</formula>
    </cfRule>
    <cfRule type="containsText" dxfId="66" priority="4" operator="containsText" text="Overdue">
      <formula>NOT(ISERROR(SEARCH("Overdue",J3)))</formula>
    </cfRule>
  </conditionalFormatting>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B5:O29"/>
  <sheetViews>
    <sheetView showGridLines="0" zoomScale="40" zoomScaleNormal="40" workbookViewId="0">
      <selection activeCell="I16" sqref="I16:I25"/>
    </sheetView>
  </sheetViews>
  <sheetFormatPr defaultRowHeight="14.45"/>
  <cols>
    <col min="2" max="2" width="17.85546875" style="42" customWidth="1"/>
    <col min="3" max="3" width="80.5703125" bestFit="1" customWidth="1"/>
    <col min="4" max="5" width="23.5703125" customWidth="1"/>
    <col min="6" max="6" width="40.140625" bestFit="1" customWidth="1"/>
    <col min="7" max="7" width="25.85546875" customWidth="1"/>
    <col min="8" max="8" width="22" customWidth="1"/>
    <col min="9" max="9" width="255.7109375" bestFit="1" customWidth="1"/>
    <col min="10" max="10" width="24.85546875" customWidth="1"/>
  </cols>
  <sheetData>
    <row r="5" spans="2:15" ht="29.25" customHeight="1">
      <c r="B5" s="1579" t="s">
        <v>1457</v>
      </c>
      <c r="C5" s="1583" t="s">
        <v>1458</v>
      </c>
      <c r="D5" s="1583" t="s">
        <v>125</v>
      </c>
      <c r="E5" s="1583"/>
      <c r="F5" s="1583"/>
      <c r="G5" s="1583" t="s">
        <v>183</v>
      </c>
      <c r="H5" s="1583" t="s">
        <v>1459</v>
      </c>
      <c r="I5" s="1579" t="s">
        <v>1460</v>
      </c>
      <c r="J5" s="1579" t="s">
        <v>1461</v>
      </c>
    </row>
    <row r="6" spans="2:15" ht="29.25" customHeight="1">
      <c r="B6" s="1579"/>
      <c r="C6" s="1583"/>
      <c r="D6" s="438" t="s">
        <v>1462</v>
      </c>
      <c r="E6" s="438" t="s">
        <v>1463</v>
      </c>
      <c r="F6" s="438" t="s">
        <v>1464</v>
      </c>
      <c r="G6" s="1583"/>
      <c r="H6" s="1583"/>
      <c r="I6" s="1579"/>
      <c r="J6" s="1579"/>
    </row>
    <row r="7" spans="2:15" ht="42.75" hidden="1" customHeight="1">
      <c r="B7" s="439" t="s">
        <v>1465</v>
      </c>
      <c r="C7" s="440" t="s">
        <v>1466</v>
      </c>
      <c r="D7" s="441">
        <v>5</v>
      </c>
      <c r="E7" s="441">
        <v>1</v>
      </c>
      <c r="F7" s="442">
        <f>E7/D7</f>
        <v>0.2</v>
      </c>
      <c r="G7" s="443" t="s">
        <v>1467</v>
      </c>
      <c r="H7" s="443" t="s">
        <v>1468</v>
      </c>
      <c r="I7" s="444" t="s">
        <v>556</v>
      </c>
      <c r="J7" s="445" t="s">
        <v>1469</v>
      </c>
    </row>
    <row r="8" spans="2:15" s="426" customFormat="1" ht="42.75" hidden="1" customHeight="1">
      <c r="B8" s="1572" t="s">
        <v>1470</v>
      </c>
      <c r="C8" s="1580" t="s">
        <v>1471</v>
      </c>
      <c r="D8" s="1573">
        <v>6</v>
      </c>
      <c r="E8" s="1573">
        <v>3</v>
      </c>
      <c r="F8" s="1576">
        <f>E8/D8</f>
        <v>0.5</v>
      </c>
      <c r="G8" s="446" t="s">
        <v>607</v>
      </c>
      <c r="H8" s="447" t="s">
        <v>60</v>
      </c>
      <c r="I8" s="448" t="s">
        <v>605</v>
      </c>
      <c r="J8" s="445" t="s">
        <v>1469</v>
      </c>
      <c r="K8" s="427"/>
      <c r="L8" s="428"/>
      <c r="M8" s="429"/>
      <c r="N8" s="428"/>
    </row>
    <row r="9" spans="2:15" s="426" customFormat="1" ht="42.75" hidden="1" customHeight="1">
      <c r="B9" s="1572"/>
      <c r="C9" s="1581"/>
      <c r="D9" s="1574"/>
      <c r="E9" s="1574"/>
      <c r="F9" s="1577"/>
      <c r="G9" s="446" t="s">
        <v>293</v>
      </c>
      <c r="H9" s="446" t="s">
        <v>1472</v>
      </c>
      <c r="I9" s="448" t="s">
        <v>614</v>
      </c>
      <c r="J9" s="445" t="s">
        <v>1469</v>
      </c>
      <c r="K9" s="427"/>
      <c r="L9" s="428"/>
      <c r="M9" s="429"/>
      <c r="N9" s="428"/>
    </row>
    <row r="10" spans="2:15" s="426" customFormat="1" ht="42.75" hidden="1" customHeight="1">
      <c r="B10" s="1572"/>
      <c r="C10" s="1582"/>
      <c r="D10" s="1575"/>
      <c r="E10" s="1575"/>
      <c r="F10" s="1578"/>
      <c r="G10" s="446" t="s">
        <v>607</v>
      </c>
      <c r="H10" s="447" t="s">
        <v>60</v>
      </c>
      <c r="I10" s="448" t="s">
        <v>616</v>
      </c>
      <c r="J10" s="445" t="s">
        <v>1469</v>
      </c>
      <c r="K10" s="427"/>
      <c r="L10" s="428"/>
      <c r="M10" s="429"/>
      <c r="N10" s="428"/>
    </row>
    <row r="11" spans="2:15" ht="42.75" hidden="1" customHeight="1">
      <c r="B11" s="1572"/>
      <c r="C11" s="1580" t="s">
        <v>1473</v>
      </c>
      <c r="D11" s="1573">
        <v>4</v>
      </c>
      <c r="E11" s="1573">
        <v>2</v>
      </c>
      <c r="F11" s="1576">
        <f>E11/D11</f>
        <v>0.5</v>
      </c>
      <c r="G11" s="446" t="s">
        <v>607</v>
      </c>
      <c r="H11" s="447" t="s">
        <v>60</v>
      </c>
      <c r="I11" s="448" t="s">
        <v>546</v>
      </c>
      <c r="J11" s="445" t="s">
        <v>1469</v>
      </c>
      <c r="K11" s="430"/>
      <c r="L11" s="431"/>
      <c r="N11" s="432"/>
      <c r="O11" s="400"/>
    </row>
    <row r="12" spans="2:15" ht="42.75" hidden="1" customHeight="1">
      <c r="B12" s="1572"/>
      <c r="C12" s="1580"/>
      <c r="D12" s="1574"/>
      <c r="E12" s="1574"/>
      <c r="F12" s="1577"/>
      <c r="G12" s="446" t="s">
        <v>607</v>
      </c>
      <c r="H12" s="447" t="s">
        <v>60</v>
      </c>
      <c r="I12" s="448" t="s">
        <v>626</v>
      </c>
      <c r="J12" s="445" t="s">
        <v>1469</v>
      </c>
      <c r="K12" s="430"/>
      <c r="L12" s="431"/>
      <c r="N12" s="432"/>
      <c r="O12" s="400"/>
    </row>
    <row r="13" spans="2:15" ht="42.75" hidden="1" customHeight="1">
      <c r="B13" s="1572"/>
      <c r="C13" s="1580"/>
      <c r="D13" s="1575"/>
      <c r="E13" s="1575"/>
      <c r="F13" s="1578"/>
      <c r="G13" s="446" t="s">
        <v>596</v>
      </c>
      <c r="H13" s="447" t="s">
        <v>60</v>
      </c>
      <c r="I13" s="448" t="s">
        <v>627</v>
      </c>
      <c r="J13" s="445" t="s">
        <v>1469</v>
      </c>
      <c r="K13" s="430"/>
      <c r="L13" s="431"/>
      <c r="N13" s="432"/>
      <c r="O13" s="400"/>
    </row>
    <row r="14" spans="2:15" ht="42.75" hidden="1" customHeight="1">
      <c r="B14" s="1572"/>
      <c r="C14" s="1571" t="s">
        <v>1474</v>
      </c>
      <c r="D14" s="1565">
        <v>6</v>
      </c>
      <c r="E14" s="1565">
        <v>2</v>
      </c>
      <c r="F14" s="1567">
        <f>E14/D14</f>
        <v>0.33333333333333331</v>
      </c>
      <c r="G14" s="446" t="s">
        <v>375</v>
      </c>
      <c r="H14" s="447" t="s">
        <v>60</v>
      </c>
      <c r="I14" s="448" t="s">
        <v>1475</v>
      </c>
      <c r="J14" s="445" t="s">
        <v>1469</v>
      </c>
      <c r="K14" s="433"/>
      <c r="M14" s="434"/>
      <c r="N14" s="306"/>
    </row>
    <row r="15" spans="2:15" ht="42.75" hidden="1" customHeight="1">
      <c r="B15" s="1572"/>
      <c r="C15" s="1571"/>
      <c r="D15" s="1566"/>
      <c r="E15" s="1566"/>
      <c r="F15" s="1568"/>
      <c r="G15" s="446" t="s">
        <v>375</v>
      </c>
      <c r="H15" s="447" t="s">
        <v>60</v>
      </c>
      <c r="I15" s="448" t="s">
        <v>1476</v>
      </c>
      <c r="J15" s="445" t="s">
        <v>1469</v>
      </c>
      <c r="K15" s="433"/>
      <c r="M15" s="434"/>
      <c r="N15" s="306"/>
    </row>
    <row r="16" spans="2:15" ht="42.75" customHeight="1">
      <c r="B16" s="1572"/>
      <c r="C16" s="1571" t="s">
        <v>1477</v>
      </c>
      <c r="D16" s="1565">
        <v>16</v>
      </c>
      <c r="E16" s="1565">
        <v>9</v>
      </c>
      <c r="F16" s="1567">
        <f>E16/D16</f>
        <v>0.5625</v>
      </c>
      <c r="G16" s="446" t="s">
        <v>607</v>
      </c>
      <c r="H16" s="447" t="s">
        <v>60</v>
      </c>
      <c r="I16" s="448" t="s">
        <v>683</v>
      </c>
      <c r="J16" s="449" t="s">
        <v>1463</v>
      </c>
      <c r="K16" s="305"/>
      <c r="M16" s="434"/>
      <c r="N16" s="306"/>
    </row>
    <row r="17" spans="2:14" ht="42.75" hidden="1" customHeight="1">
      <c r="B17" s="1572"/>
      <c r="C17" s="1571"/>
      <c r="D17" s="1566"/>
      <c r="E17" s="1566"/>
      <c r="F17" s="1568"/>
      <c r="G17" s="446" t="s">
        <v>293</v>
      </c>
      <c r="H17" s="447" t="s">
        <v>60</v>
      </c>
      <c r="I17" s="448" t="s">
        <v>686</v>
      </c>
      <c r="J17" s="449" t="s">
        <v>1463</v>
      </c>
      <c r="K17" s="305"/>
      <c r="M17" s="434"/>
      <c r="N17" s="306"/>
    </row>
    <row r="18" spans="2:14" ht="42.75" customHeight="1">
      <c r="B18" s="1572"/>
      <c r="C18" s="1571"/>
      <c r="D18" s="1566"/>
      <c r="E18" s="1566"/>
      <c r="F18" s="1568"/>
      <c r="G18" s="446" t="s">
        <v>607</v>
      </c>
      <c r="H18" s="447" t="s">
        <v>60</v>
      </c>
      <c r="I18" s="448" t="s">
        <v>683</v>
      </c>
      <c r="J18" s="449" t="s">
        <v>1463</v>
      </c>
      <c r="K18" s="305"/>
      <c r="M18" s="434"/>
      <c r="N18" s="306"/>
    </row>
    <row r="19" spans="2:14" ht="42.75" customHeight="1">
      <c r="B19" s="1572"/>
      <c r="C19" s="1571"/>
      <c r="D19" s="1566"/>
      <c r="E19" s="1566"/>
      <c r="F19" s="1568"/>
      <c r="G19" s="446" t="s">
        <v>692</v>
      </c>
      <c r="H19" s="447" t="s">
        <v>60</v>
      </c>
      <c r="I19" s="448" t="s">
        <v>1446</v>
      </c>
      <c r="J19" s="449" t="s">
        <v>1463</v>
      </c>
      <c r="K19" s="305"/>
      <c r="M19" s="434"/>
      <c r="N19" s="306"/>
    </row>
    <row r="20" spans="2:14" ht="42.75" customHeight="1">
      <c r="B20" s="1572"/>
      <c r="C20" s="1571"/>
      <c r="D20" s="1566"/>
      <c r="E20" s="1566"/>
      <c r="F20" s="1568"/>
      <c r="G20" s="446" t="s">
        <v>694</v>
      </c>
      <c r="H20" s="447" t="s">
        <v>60</v>
      </c>
      <c r="I20" s="448" t="s">
        <v>1446</v>
      </c>
      <c r="J20" s="449" t="s">
        <v>1463</v>
      </c>
      <c r="K20" s="305"/>
      <c r="M20" s="434"/>
      <c r="N20" s="306"/>
    </row>
    <row r="21" spans="2:14" ht="42.75" customHeight="1">
      <c r="B21" s="1572"/>
      <c r="C21" s="1571"/>
      <c r="D21" s="1566"/>
      <c r="E21" s="1566"/>
      <c r="F21" s="1568"/>
      <c r="G21" s="446" t="s">
        <v>694</v>
      </c>
      <c r="H21" s="447" t="s">
        <v>60</v>
      </c>
      <c r="I21" s="448" t="s">
        <v>696</v>
      </c>
      <c r="J21" s="449" t="s">
        <v>1463</v>
      </c>
      <c r="K21" s="305"/>
      <c r="M21" s="434"/>
      <c r="N21" s="306"/>
    </row>
    <row r="22" spans="2:14" ht="42.75" customHeight="1">
      <c r="B22" s="1572"/>
      <c r="C22" s="1571"/>
      <c r="D22" s="1566"/>
      <c r="E22" s="1566"/>
      <c r="F22" s="1568"/>
      <c r="G22" s="446" t="s">
        <v>694</v>
      </c>
      <c r="H22" s="447" t="s">
        <v>60</v>
      </c>
      <c r="I22" s="448" t="s">
        <v>697</v>
      </c>
      <c r="J22" s="449" t="s">
        <v>1463</v>
      </c>
      <c r="K22" s="433"/>
      <c r="M22" s="434"/>
      <c r="N22" s="306"/>
    </row>
    <row r="23" spans="2:14" ht="42.75" customHeight="1">
      <c r="B23" s="1572"/>
      <c r="C23" s="1571"/>
      <c r="D23" s="1566"/>
      <c r="E23" s="1566"/>
      <c r="F23" s="1568"/>
      <c r="G23" s="446" t="s">
        <v>694</v>
      </c>
      <c r="H23" s="447" t="s">
        <v>60</v>
      </c>
      <c r="I23" s="448" t="s">
        <v>699</v>
      </c>
      <c r="J23" s="449" t="s">
        <v>1463</v>
      </c>
      <c r="K23" s="305"/>
      <c r="M23" s="434"/>
      <c r="N23" s="306"/>
    </row>
    <row r="24" spans="2:14" ht="42.75" customHeight="1">
      <c r="B24" s="1572"/>
      <c r="C24" s="1571"/>
      <c r="D24" s="1566"/>
      <c r="E24" s="1566"/>
      <c r="F24" s="1568"/>
      <c r="G24" s="446" t="s">
        <v>607</v>
      </c>
      <c r="H24" s="447" t="s">
        <v>60</v>
      </c>
      <c r="I24" s="448" t="s">
        <v>691</v>
      </c>
      <c r="J24" s="449" t="s">
        <v>1463</v>
      </c>
      <c r="K24" s="305"/>
      <c r="M24" s="434"/>
      <c r="N24" s="306"/>
    </row>
    <row r="25" spans="2:14" ht="42.75" customHeight="1">
      <c r="B25" s="1572"/>
      <c r="C25" s="1571"/>
      <c r="D25" s="1566"/>
      <c r="E25" s="1566"/>
      <c r="F25" s="1568"/>
      <c r="G25" s="446" t="s">
        <v>607</v>
      </c>
      <c r="H25" s="447" t="s">
        <v>60</v>
      </c>
      <c r="I25" s="448" t="s">
        <v>706</v>
      </c>
      <c r="J25" s="449" t="s">
        <v>1463</v>
      </c>
      <c r="K25" s="305"/>
      <c r="M25" s="434"/>
      <c r="N25" s="306"/>
    </row>
    <row r="26" spans="2:14" ht="42.75" hidden="1" customHeight="1">
      <c r="B26" s="1572"/>
      <c r="C26" s="1571"/>
      <c r="D26" s="1566"/>
      <c r="E26" s="1566"/>
      <c r="F26" s="1568"/>
      <c r="G26" s="446" t="s">
        <v>429</v>
      </c>
      <c r="H26" s="447" t="s">
        <v>60</v>
      </c>
      <c r="I26" s="448" t="s">
        <v>709</v>
      </c>
      <c r="J26" s="449" t="s">
        <v>1463</v>
      </c>
      <c r="K26" s="305"/>
      <c r="M26" s="434"/>
      <c r="N26" s="306"/>
    </row>
    <row r="27" spans="2:14" ht="42.75" hidden="1" customHeight="1">
      <c r="B27" s="1572"/>
      <c r="C27" s="1571"/>
      <c r="D27" s="1566"/>
      <c r="E27" s="1566"/>
      <c r="F27" s="1568"/>
      <c r="G27" s="446" t="s">
        <v>249</v>
      </c>
      <c r="H27" s="450" t="s">
        <v>140</v>
      </c>
      <c r="I27" s="451" t="s">
        <v>711</v>
      </c>
      <c r="J27" s="449" t="s">
        <v>1463</v>
      </c>
      <c r="K27" s="305"/>
      <c r="M27" s="434"/>
      <c r="N27" s="306"/>
    </row>
    <row r="28" spans="2:14" ht="42.75" hidden="1" customHeight="1">
      <c r="B28" s="1572"/>
      <c r="C28" s="1571"/>
      <c r="D28" s="1569"/>
      <c r="E28" s="1569"/>
      <c r="F28" s="1570"/>
      <c r="G28" s="446" t="s">
        <v>249</v>
      </c>
      <c r="H28" s="450" t="s">
        <v>140</v>
      </c>
      <c r="I28" s="448" t="s">
        <v>717</v>
      </c>
      <c r="J28" s="449" t="s">
        <v>1463</v>
      </c>
      <c r="K28" s="433"/>
      <c r="M28" s="434"/>
      <c r="N28" s="306"/>
    </row>
    <row r="29" spans="2:14" ht="62.25" customHeight="1">
      <c r="B29" s="1560" t="s">
        <v>144</v>
      </c>
      <c r="C29" s="1561"/>
      <c r="D29" s="452">
        <f>SUM(D7:D28)</f>
        <v>37</v>
      </c>
      <c r="E29" s="452">
        <f>SUM(E7:E28)</f>
        <v>17</v>
      </c>
      <c r="F29" s="453">
        <f>E29/D29</f>
        <v>0.45945945945945948</v>
      </c>
      <c r="G29" s="1562"/>
      <c r="H29" s="1563"/>
      <c r="I29" s="1563"/>
      <c r="J29" s="1564"/>
    </row>
  </sheetData>
  <mergeCells count="26">
    <mergeCell ref="J5:J6"/>
    <mergeCell ref="C5:C6"/>
    <mergeCell ref="D5:F5"/>
    <mergeCell ref="G5:G6"/>
    <mergeCell ref="C11:C13"/>
    <mergeCell ref="I5:I6"/>
    <mergeCell ref="H5:H6"/>
    <mergeCell ref="B5:B6"/>
    <mergeCell ref="D8:D10"/>
    <mergeCell ref="E8:E10"/>
    <mergeCell ref="F8:F10"/>
    <mergeCell ref="C8:C10"/>
    <mergeCell ref="B29:C29"/>
    <mergeCell ref="G29:J29"/>
    <mergeCell ref="D14:D15"/>
    <mergeCell ref="E14:E15"/>
    <mergeCell ref="F14:F15"/>
    <mergeCell ref="D16:D28"/>
    <mergeCell ref="E16:E28"/>
    <mergeCell ref="F16:F28"/>
    <mergeCell ref="C14:C15"/>
    <mergeCell ref="C16:C28"/>
    <mergeCell ref="B8:B28"/>
    <mergeCell ref="D11:D13"/>
    <mergeCell ref="E11:E13"/>
    <mergeCell ref="F11:F13"/>
  </mergeCells>
  <conditionalFormatting sqref="N16:N28 N8:N10">
    <cfRule type="containsText" dxfId="65" priority="13" operator="containsText" text="CLOSED">
      <formula>NOT(ISERROR(SEARCH("CLOSED",N8)))</formula>
    </cfRule>
    <cfRule type="containsText" dxfId="64" priority="14" operator="containsText" text="Open">
      <formula>NOT(ISERROR(SEARCH("Open",N8)))</formula>
    </cfRule>
    <cfRule type="containsText" dxfId="63" priority="15" operator="containsText" text="Closed">
      <formula>NOT(ISERROR(SEARCH("Closed",N8)))</formula>
    </cfRule>
    <cfRule type="containsText" dxfId="62" priority="16" operator="containsText" text="Overdue">
      <formula>NOT(ISERROR(SEARCH("Overdue",N8)))</formula>
    </cfRule>
  </conditionalFormatting>
  <conditionalFormatting sqref="O11:O13">
    <cfRule type="containsText" dxfId="61" priority="9" operator="containsText" text="CLOSED">
      <formula>NOT(ISERROR(SEARCH("CLOSED",O11)))</formula>
    </cfRule>
    <cfRule type="containsText" dxfId="60" priority="10" operator="containsText" text="Open">
      <formula>NOT(ISERROR(SEARCH("Open",O11)))</formula>
    </cfRule>
    <cfRule type="containsText" dxfId="59" priority="11" operator="containsText" text="Closed">
      <formula>NOT(ISERROR(SEARCH("Closed",O11)))</formula>
    </cfRule>
    <cfRule type="containsText" dxfId="58" priority="12" operator="containsText" text="Overdue">
      <formula>NOT(ISERROR(SEARCH("Overdue",O11)))</formula>
    </cfRule>
  </conditionalFormatting>
  <conditionalFormatting sqref="N14:N15">
    <cfRule type="containsText" dxfId="57" priority="5" operator="containsText" text="CLOSED">
      <formula>NOT(ISERROR(SEARCH("CLOSED",N14)))</formula>
    </cfRule>
    <cfRule type="containsText" dxfId="56" priority="6" operator="containsText" text="Open">
      <formula>NOT(ISERROR(SEARCH("Open",N14)))</formula>
    </cfRule>
    <cfRule type="containsText" dxfId="55" priority="7" operator="containsText" text="Closed">
      <formula>NOT(ISERROR(SEARCH("Closed",N14)))</formula>
    </cfRule>
    <cfRule type="containsText" dxfId="54" priority="8" operator="containsText" text="Overdue">
      <formula>NOT(ISERROR(SEARCH("Overdue",N14)))</formula>
    </cfRule>
  </conditionalFormatting>
  <pageMargins left="0.7" right="0.7" top="0.75" bottom="0.75" header="0.3" footer="0.3"/>
  <pageSetup paperSize="257"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3770-02CD-4774-9138-B2CD03D069F8}">
  <sheetPr>
    <tabColor theme="9" tint="0.59999389629810485"/>
  </sheetPr>
  <dimension ref="A3:H32"/>
  <sheetViews>
    <sheetView topLeftCell="A22" workbookViewId="0">
      <selection activeCell="H16" sqref="H16:H19"/>
    </sheetView>
  </sheetViews>
  <sheetFormatPr defaultRowHeight="14.45"/>
  <cols>
    <col min="1" max="1" width="22.85546875" bestFit="1" customWidth="1"/>
    <col min="2" max="2" width="24.28515625" bestFit="1" customWidth="1"/>
    <col min="3" max="3" width="25.85546875" bestFit="1" customWidth="1"/>
    <col min="4" max="4" width="24.140625" bestFit="1" customWidth="1"/>
    <col min="5" max="5" width="17.85546875" bestFit="1" customWidth="1"/>
    <col min="6" max="6" width="10.7109375" bestFit="1" customWidth="1"/>
    <col min="7" max="7" width="17.5703125" bestFit="1" customWidth="1"/>
  </cols>
  <sheetData>
    <row r="3" spans="1:8">
      <c r="A3" s="43" t="s">
        <v>1478</v>
      </c>
      <c r="B3" s="43" t="s">
        <v>1479</v>
      </c>
    </row>
    <row r="4" spans="1:8">
      <c r="A4" s="43" t="s">
        <v>1480</v>
      </c>
      <c r="B4" t="s">
        <v>1481</v>
      </c>
      <c r="C4" t="s">
        <v>1482</v>
      </c>
      <c r="D4" t="s">
        <v>41</v>
      </c>
      <c r="E4" t="s">
        <v>1483</v>
      </c>
      <c r="F4" t="s">
        <v>79</v>
      </c>
    </row>
    <row r="5" spans="1:8">
      <c r="A5" s="44" t="s">
        <v>1484</v>
      </c>
      <c r="B5">
        <v>3</v>
      </c>
      <c r="C5">
        <v>1</v>
      </c>
      <c r="D5">
        <v>18</v>
      </c>
      <c r="E5">
        <v>24</v>
      </c>
      <c r="F5">
        <v>46</v>
      </c>
    </row>
    <row r="6" spans="1:8">
      <c r="A6" s="44" t="s">
        <v>157</v>
      </c>
      <c r="E6">
        <v>1</v>
      </c>
      <c r="F6">
        <v>1</v>
      </c>
    </row>
    <row r="7" spans="1:8">
      <c r="A7" s="44" t="s">
        <v>146</v>
      </c>
      <c r="B7">
        <v>1</v>
      </c>
      <c r="C7">
        <v>1</v>
      </c>
      <c r="D7">
        <v>3</v>
      </c>
      <c r="E7">
        <v>2</v>
      </c>
      <c r="F7">
        <v>7</v>
      </c>
    </row>
    <row r="8" spans="1:8">
      <c r="A8" s="44" t="s">
        <v>155</v>
      </c>
      <c r="C8">
        <v>1</v>
      </c>
      <c r="E8">
        <v>1</v>
      </c>
      <c r="F8">
        <v>2</v>
      </c>
    </row>
    <row r="9" spans="1:8">
      <c r="A9" s="44" t="s">
        <v>79</v>
      </c>
      <c r="B9">
        <v>4</v>
      </c>
      <c r="C9">
        <v>3</v>
      </c>
      <c r="D9">
        <v>21</v>
      </c>
      <c r="E9">
        <v>28</v>
      </c>
      <c r="F9">
        <v>56</v>
      </c>
    </row>
    <row r="15" spans="1:8">
      <c r="C15" t="s">
        <v>1485</v>
      </c>
      <c r="D15" t="s">
        <v>1481</v>
      </c>
      <c r="E15" t="s">
        <v>1482</v>
      </c>
      <c r="F15" t="s">
        <v>41</v>
      </c>
      <c r="G15" t="s">
        <v>1483</v>
      </c>
    </row>
    <row r="16" spans="1:8">
      <c r="C16" t="s">
        <v>1484</v>
      </c>
      <c r="D16">
        <v>4</v>
      </c>
      <c r="E16">
        <v>1</v>
      </c>
      <c r="F16">
        <v>22</v>
      </c>
      <c r="G16">
        <v>24</v>
      </c>
      <c r="H16">
        <f>SUM(D16:G16)</f>
        <v>51</v>
      </c>
    </row>
    <row r="17" spans="3:8">
      <c r="C17" t="s">
        <v>157</v>
      </c>
      <c r="G17">
        <v>1</v>
      </c>
      <c r="H17">
        <f t="shared" ref="H17:H19" si="0">SUM(D17:G17)</f>
        <v>1</v>
      </c>
    </row>
    <row r="18" spans="3:8">
      <c r="C18" t="s">
        <v>146</v>
      </c>
      <c r="D18">
        <v>1</v>
      </c>
      <c r="E18">
        <v>1</v>
      </c>
      <c r="F18">
        <v>4</v>
      </c>
      <c r="G18">
        <v>2</v>
      </c>
      <c r="H18">
        <f t="shared" si="0"/>
        <v>8</v>
      </c>
    </row>
    <row r="19" spans="3:8">
      <c r="C19" t="s">
        <v>155</v>
      </c>
      <c r="E19">
        <v>1</v>
      </c>
      <c r="G19">
        <v>1</v>
      </c>
      <c r="H19">
        <f t="shared" si="0"/>
        <v>2</v>
      </c>
    </row>
    <row r="29" spans="3:8">
      <c r="C29" s="44" t="s">
        <v>1484</v>
      </c>
      <c r="D29">
        <v>46</v>
      </c>
    </row>
    <row r="30" spans="3:8">
      <c r="C30" s="44" t="s">
        <v>157</v>
      </c>
      <c r="D30">
        <v>1</v>
      </c>
    </row>
    <row r="31" spans="3:8">
      <c r="C31" s="44" t="s">
        <v>146</v>
      </c>
      <c r="D31">
        <v>7</v>
      </c>
    </row>
    <row r="32" spans="3:8">
      <c r="C32" s="44" t="s">
        <v>155</v>
      </c>
      <c r="D32">
        <v>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B995-50DC-4746-AFBE-52A1826F5CB6}">
  <sheetPr>
    <tabColor theme="9" tint="0.59999389629810485"/>
  </sheetPr>
  <dimension ref="A3:K45"/>
  <sheetViews>
    <sheetView topLeftCell="A21" zoomScale="70" zoomScaleNormal="70" workbookViewId="0">
      <selection activeCell="C38" sqref="C38:E39"/>
    </sheetView>
  </sheetViews>
  <sheetFormatPr defaultRowHeight="14.45"/>
  <cols>
    <col min="1" max="1" width="22.7109375" bestFit="1" customWidth="1"/>
    <col min="2" max="2" width="24.28515625" bestFit="1" customWidth="1"/>
    <col min="3" max="3" width="25.85546875" bestFit="1" customWidth="1"/>
    <col min="4" max="4" width="9.42578125" bestFit="1" customWidth="1"/>
    <col min="5" max="5" width="17.85546875" bestFit="1" customWidth="1"/>
    <col min="6" max="6" width="10.7109375" bestFit="1" customWidth="1"/>
  </cols>
  <sheetData>
    <row r="3" spans="1:11">
      <c r="A3" s="43" t="s">
        <v>1486</v>
      </c>
      <c r="B3" s="43" t="s">
        <v>1479</v>
      </c>
    </row>
    <row r="4" spans="1:11">
      <c r="A4" s="43" t="s">
        <v>1480</v>
      </c>
      <c r="B4" t="s">
        <v>1481</v>
      </c>
      <c r="C4" t="s">
        <v>1482</v>
      </c>
      <c r="D4" t="s">
        <v>41</v>
      </c>
      <c r="E4" t="s">
        <v>1483</v>
      </c>
      <c r="F4" t="s">
        <v>79</v>
      </c>
    </row>
    <row r="5" spans="1:11">
      <c r="A5" s="44" t="s">
        <v>1484</v>
      </c>
      <c r="B5">
        <v>4</v>
      </c>
      <c r="C5">
        <v>1</v>
      </c>
      <c r="D5">
        <v>22</v>
      </c>
      <c r="E5">
        <v>24</v>
      </c>
      <c r="F5">
        <v>51</v>
      </c>
    </row>
    <row r="6" spans="1:11">
      <c r="A6" s="626" t="s">
        <v>148</v>
      </c>
      <c r="D6">
        <v>1</v>
      </c>
      <c r="E6">
        <v>1</v>
      </c>
      <c r="F6">
        <v>2</v>
      </c>
    </row>
    <row r="7" spans="1:11">
      <c r="A7" s="626" t="s">
        <v>147</v>
      </c>
      <c r="B7">
        <v>1</v>
      </c>
      <c r="C7">
        <v>1</v>
      </c>
      <c r="D7">
        <v>4</v>
      </c>
      <c r="E7">
        <v>5</v>
      </c>
      <c r="F7">
        <v>11</v>
      </c>
    </row>
    <row r="8" spans="1:11">
      <c r="A8" s="626" t="s">
        <v>1487</v>
      </c>
      <c r="E8">
        <v>1</v>
      </c>
      <c r="F8">
        <v>1</v>
      </c>
    </row>
    <row r="9" spans="1:11">
      <c r="A9" s="626" t="s">
        <v>1488</v>
      </c>
      <c r="E9">
        <v>1</v>
      </c>
      <c r="F9">
        <v>1</v>
      </c>
    </row>
    <row r="10" spans="1:11">
      <c r="A10" s="626" t="s">
        <v>1489</v>
      </c>
      <c r="E10">
        <v>3</v>
      </c>
      <c r="F10">
        <v>3</v>
      </c>
    </row>
    <row r="11" spans="1:11" ht="15" customHeight="1">
      <c r="A11" s="626" t="s">
        <v>1490</v>
      </c>
      <c r="D11">
        <v>1</v>
      </c>
      <c r="E11">
        <v>3</v>
      </c>
      <c r="F11">
        <v>4</v>
      </c>
    </row>
    <row r="12" spans="1:11" ht="15" customHeight="1">
      <c r="A12" s="626" t="s">
        <v>149</v>
      </c>
      <c r="B12">
        <v>1</v>
      </c>
      <c r="D12">
        <v>16</v>
      </c>
      <c r="E12">
        <v>9</v>
      </c>
      <c r="F12">
        <v>26</v>
      </c>
    </row>
    <row r="13" spans="1:11" ht="15" customHeight="1">
      <c r="A13" s="626" t="s">
        <v>1491</v>
      </c>
      <c r="E13">
        <v>1</v>
      </c>
      <c r="F13">
        <v>1</v>
      </c>
    </row>
    <row r="14" spans="1:11" ht="15" customHeight="1">
      <c r="A14" s="626" t="s">
        <v>1492</v>
      </c>
      <c r="B14">
        <v>2</v>
      </c>
      <c r="F14">
        <v>2</v>
      </c>
    </row>
    <row r="15" spans="1:11" ht="15" customHeight="1">
      <c r="A15" s="44" t="s">
        <v>157</v>
      </c>
      <c r="E15">
        <v>1</v>
      </c>
      <c r="F15">
        <v>1</v>
      </c>
      <c r="J15" s="44" t="s">
        <v>1484</v>
      </c>
      <c r="K15">
        <v>51</v>
      </c>
    </row>
    <row r="16" spans="1:11" ht="15" customHeight="1">
      <c r="A16" s="626" t="s">
        <v>157</v>
      </c>
      <c r="E16">
        <v>1</v>
      </c>
      <c r="F16">
        <v>1</v>
      </c>
      <c r="J16" s="44" t="s">
        <v>146</v>
      </c>
      <c r="K16">
        <v>8</v>
      </c>
    </row>
    <row r="17" spans="1:11" ht="15" customHeight="1">
      <c r="A17" s="44" t="s">
        <v>146</v>
      </c>
      <c r="B17">
        <v>1</v>
      </c>
      <c r="C17">
        <v>1</v>
      </c>
      <c r="D17">
        <v>4</v>
      </c>
      <c r="E17">
        <v>2</v>
      </c>
      <c r="F17">
        <v>8</v>
      </c>
      <c r="J17" s="44" t="s">
        <v>155</v>
      </c>
      <c r="K17">
        <v>2</v>
      </c>
    </row>
    <row r="18" spans="1:11" ht="15" customHeight="1">
      <c r="A18" s="626" t="s">
        <v>1493</v>
      </c>
      <c r="B18">
        <v>1</v>
      </c>
      <c r="D18">
        <v>2</v>
      </c>
      <c r="F18">
        <v>3</v>
      </c>
      <c r="J18" s="44" t="s">
        <v>157</v>
      </c>
      <c r="K18">
        <v>1</v>
      </c>
    </row>
    <row r="19" spans="1:11" ht="15" customHeight="1">
      <c r="A19" s="626" t="s">
        <v>1487</v>
      </c>
      <c r="D19">
        <v>1</v>
      </c>
      <c r="F19">
        <v>1</v>
      </c>
    </row>
    <row r="20" spans="1:11" ht="15" customHeight="1">
      <c r="A20" s="626" t="s">
        <v>1494</v>
      </c>
      <c r="D20">
        <v>1</v>
      </c>
      <c r="F20">
        <v>1</v>
      </c>
    </row>
    <row r="21" spans="1:11" ht="15" customHeight="1">
      <c r="A21" s="626" t="s">
        <v>1495</v>
      </c>
      <c r="C21">
        <v>1</v>
      </c>
      <c r="E21">
        <v>2</v>
      </c>
      <c r="F21">
        <v>3</v>
      </c>
    </row>
    <row r="22" spans="1:11">
      <c r="A22" s="44" t="s">
        <v>155</v>
      </c>
      <c r="C22">
        <v>1</v>
      </c>
      <c r="E22">
        <v>1</v>
      </c>
      <c r="F22">
        <v>2</v>
      </c>
    </row>
    <row r="23" spans="1:11">
      <c r="A23" s="626" t="s">
        <v>155</v>
      </c>
      <c r="C23">
        <v>1</v>
      </c>
      <c r="E23">
        <v>1</v>
      </c>
      <c r="F23">
        <v>2</v>
      </c>
    </row>
    <row r="24" spans="1:11">
      <c r="A24" s="44" t="s">
        <v>79</v>
      </c>
      <c r="B24">
        <v>5</v>
      </c>
      <c r="C24">
        <v>3</v>
      </c>
      <c r="D24">
        <v>26</v>
      </c>
      <c r="E24">
        <v>28</v>
      </c>
      <c r="F24">
        <v>62</v>
      </c>
    </row>
    <row r="35" spans="3:5">
      <c r="D35" t="s">
        <v>1496</v>
      </c>
    </row>
    <row r="36" spans="3:5">
      <c r="C36" s="626" t="s">
        <v>149</v>
      </c>
      <c r="D36" s="25">
        <v>26</v>
      </c>
      <c r="E36" s="627">
        <f>D36/$D$45</f>
        <v>0.50980392156862742</v>
      </c>
    </row>
    <row r="37" spans="3:5">
      <c r="C37" s="626" t="s">
        <v>147</v>
      </c>
      <c r="D37" s="25">
        <v>11</v>
      </c>
      <c r="E37" s="627">
        <f t="shared" ref="E37:E44" si="0">D37/$D$45</f>
        <v>0.21568627450980393</v>
      </c>
    </row>
    <row r="38" spans="3:5">
      <c r="C38" s="626" t="s">
        <v>1490</v>
      </c>
      <c r="D38" s="25">
        <v>4</v>
      </c>
      <c r="E38" s="627">
        <f t="shared" si="0"/>
        <v>7.8431372549019607E-2</v>
      </c>
    </row>
    <row r="39" spans="3:5">
      <c r="C39" s="626" t="s">
        <v>1489</v>
      </c>
      <c r="D39" s="25">
        <v>3</v>
      </c>
      <c r="E39" s="627">
        <f t="shared" si="0"/>
        <v>5.8823529411764705E-2</v>
      </c>
    </row>
    <row r="40" spans="3:5">
      <c r="C40" s="626" t="s">
        <v>148</v>
      </c>
      <c r="D40" s="25">
        <v>2</v>
      </c>
      <c r="E40" s="627">
        <f t="shared" si="0"/>
        <v>3.9215686274509803E-2</v>
      </c>
    </row>
    <row r="41" spans="3:5">
      <c r="C41" s="626" t="s">
        <v>1492</v>
      </c>
      <c r="D41" s="25">
        <v>2</v>
      </c>
      <c r="E41" s="627">
        <f t="shared" si="0"/>
        <v>3.9215686274509803E-2</v>
      </c>
    </row>
    <row r="42" spans="3:5">
      <c r="C42" s="626" t="s">
        <v>1487</v>
      </c>
      <c r="D42" s="25">
        <v>1</v>
      </c>
      <c r="E42" s="627">
        <f t="shared" si="0"/>
        <v>1.9607843137254902E-2</v>
      </c>
    </row>
    <row r="43" spans="3:5">
      <c r="C43" s="626" t="s">
        <v>1488</v>
      </c>
      <c r="D43" s="25">
        <v>1</v>
      </c>
      <c r="E43" s="627">
        <f t="shared" si="0"/>
        <v>1.9607843137254902E-2</v>
      </c>
    </row>
    <row r="44" spans="3:5">
      <c r="C44" s="626" t="s">
        <v>1491</v>
      </c>
      <c r="D44" s="25">
        <v>1</v>
      </c>
      <c r="E44" s="627">
        <f t="shared" si="0"/>
        <v>1.9607843137254902E-2</v>
      </c>
    </row>
    <row r="45" spans="3:5">
      <c r="D45">
        <f>SUM(D36:D44)</f>
        <v>51</v>
      </c>
    </row>
  </sheetData>
  <sortState xmlns:xlrd2="http://schemas.microsoft.com/office/spreadsheetml/2017/richdata2" ref="C35:D44">
    <sortCondition descending="1" ref="D35:D44"/>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AL60"/>
  <sheetViews>
    <sheetView zoomScale="55" zoomScaleNormal="55" workbookViewId="0">
      <selection activeCell="L3" sqref="L3:L60"/>
    </sheetView>
  </sheetViews>
  <sheetFormatPr defaultRowHeight="14.45"/>
  <cols>
    <col min="1" max="2" width="8.85546875" bestFit="1" customWidth="1"/>
    <col min="5" max="5" width="8.85546875" bestFit="1" customWidth="1"/>
    <col min="7" max="7" width="9.5703125" bestFit="1" customWidth="1"/>
    <col min="9" max="9" width="9.85546875" bestFit="1" customWidth="1"/>
    <col min="10" max="12" width="37.5703125" customWidth="1"/>
    <col min="13" max="13" width="20.5703125" customWidth="1"/>
    <col min="14" max="14" width="10.5703125" customWidth="1"/>
    <col min="15" max="15" width="11.85546875" customWidth="1"/>
    <col min="16" max="16" width="38.140625" customWidth="1"/>
    <col min="17" max="17" width="16.5703125" customWidth="1"/>
    <col min="18" max="18" width="14.140625" customWidth="1"/>
    <col min="19" max="19" width="19" customWidth="1"/>
    <col min="20" max="20" width="18.42578125" customWidth="1"/>
    <col min="21" max="21" width="18.140625" customWidth="1"/>
    <col min="22" max="22" width="19.42578125" customWidth="1"/>
    <col min="23" max="23" width="14.5703125" bestFit="1" customWidth="1"/>
    <col min="24" max="24" width="16.85546875" bestFit="1" customWidth="1"/>
    <col min="25" max="25" width="4.5703125" bestFit="1" customWidth="1"/>
    <col min="26" max="26" width="14.28515625" bestFit="1" customWidth="1"/>
    <col min="27" max="27" width="9.140625" bestFit="1" customWidth="1"/>
    <col min="28" max="28" width="4.42578125" bestFit="1" customWidth="1"/>
    <col min="29" max="29" width="6.140625" bestFit="1" customWidth="1"/>
    <col min="30" max="30" width="17.85546875" bestFit="1" customWidth="1"/>
    <col min="31" max="31" width="10.140625" bestFit="1" customWidth="1"/>
    <col min="32" max="32" width="5.5703125" bestFit="1" customWidth="1"/>
    <col min="33" max="33" width="8.140625" bestFit="1" customWidth="1"/>
    <col min="34" max="34" width="9.85546875" bestFit="1" customWidth="1"/>
    <col min="35" max="35" width="4.5703125" bestFit="1" customWidth="1"/>
    <col min="36" max="36" width="10.42578125" bestFit="1" customWidth="1"/>
    <col min="37" max="37" width="11.140625" bestFit="1" customWidth="1"/>
    <col min="38" max="38" width="10.7109375" bestFit="1" customWidth="1"/>
    <col min="39" max="39" width="12.42578125" bestFit="1" customWidth="1"/>
    <col min="40" max="40" width="12.85546875" bestFit="1" customWidth="1"/>
    <col min="41" max="41" width="16" bestFit="1" customWidth="1"/>
    <col min="42" max="42" width="10.7109375" bestFit="1" customWidth="1"/>
  </cols>
  <sheetData>
    <row r="1" spans="1:38" ht="15" thickBot="1"/>
    <row r="2" spans="1:38" ht="26.45" thickBot="1">
      <c r="A2" s="572" t="s">
        <v>1439</v>
      </c>
      <c r="B2" s="573" t="s">
        <v>1497</v>
      </c>
      <c r="C2" s="573" t="s">
        <v>1498</v>
      </c>
      <c r="D2" s="574" t="s">
        <v>1499</v>
      </c>
      <c r="E2" s="575" t="s">
        <v>1457</v>
      </c>
      <c r="F2" s="575" t="s">
        <v>1500</v>
      </c>
      <c r="G2" s="575" t="s">
        <v>1501</v>
      </c>
      <c r="H2" s="575" t="s">
        <v>1502</v>
      </c>
      <c r="I2" s="575" t="s">
        <v>1503</v>
      </c>
      <c r="J2" s="575" t="s">
        <v>1504</v>
      </c>
      <c r="K2" s="575"/>
      <c r="L2" s="575"/>
      <c r="M2" s="574" t="s">
        <v>1505</v>
      </c>
      <c r="N2" s="574" t="s">
        <v>1506</v>
      </c>
      <c r="O2" s="574" t="s">
        <v>1507</v>
      </c>
      <c r="P2" s="574" t="s">
        <v>1458</v>
      </c>
      <c r="Q2" s="574" t="s">
        <v>1508</v>
      </c>
      <c r="R2" s="574" t="s">
        <v>1509</v>
      </c>
      <c r="S2" s="602" t="s">
        <v>1510</v>
      </c>
      <c r="T2" s="602" t="s">
        <v>1507</v>
      </c>
      <c r="U2" s="602" t="s">
        <v>1511</v>
      </c>
      <c r="V2" s="603" t="s">
        <v>191</v>
      </c>
    </row>
    <row r="3" spans="1:38" ht="26.45" customHeight="1">
      <c r="A3" s="576">
        <v>1</v>
      </c>
      <c r="B3" s="577">
        <v>2022</v>
      </c>
      <c r="C3" s="576" t="s">
        <v>1512</v>
      </c>
      <c r="D3" s="576" t="s">
        <v>1513</v>
      </c>
      <c r="E3" s="578">
        <v>44562</v>
      </c>
      <c r="F3" s="578" t="s">
        <v>2</v>
      </c>
      <c r="G3" s="579">
        <v>44563</v>
      </c>
      <c r="H3" s="580" t="s">
        <v>1514</v>
      </c>
      <c r="I3" s="581" t="s">
        <v>1515</v>
      </c>
      <c r="J3" s="582" t="s">
        <v>206</v>
      </c>
      <c r="K3" s="22" t="s">
        <v>149</v>
      </c>
      <c r="L3" s="42" t="s">
        <v>1484</v>
      </c>
      <c r="M3" s="576" t="s">
        <v>204</v>
      </c>
      <c r="N3" s="576" t="s">
        <v>67</v>
      </c>
      <c r="O3" s="576" t="s">
        <v>58</v>
      </c>
      <c r="P3" s="583" t="s">
        <v>1516</v>
      </c>
      <c r="Q3" s="576" t="s">
        <v>1517</v>
      </c>
      <c r="R3" s="576" t="s">
        <v>1517</v>
      </c>
      <c r="S3" s="588" t="s">
        <v>1518</v>
      </c>
      <c r="T3" s="126" t="s">
        <v>1519</v>
      </c>
      <c r="U3" s="22" t="s">
        <v>149</v>
      </c>
      <c r="V3" s="42" t="s">
        <v>1484</v>
      </c>
    </row>
    <row r="4" spans="1:38" ht="26.45" customHeight="1">
      <c r="A4" s="584">
        <f>A3+1</f>
        <v>2</v>
      </c>
      <c r="B4" s="585">
        <v>2022</v>
      </c>
      <c r="C4" s="584" t="s">
        <v>1512</v>
      </c>
      <c r="D4" s="584" t="s">
        <v>1513</v>
      </c>
      <c r="E4" s="586">
        <v>44562</v>
      </c>
      <c r="F4" s="586" t="s">
        <v>2</v>
      </c>
      <c r="G4" s="587">
        <v>44569</v>
      </c>
      <c r="H4" s="580" t="s">
        <v>1520</v>
      </c>
      <c r="I4" s="588" t="s">
        <v>1521</v>
      </c>
      <c r="J4" s="589" t="s">
        <v>221</v>
      </c>
      <c r="K4" s="22" t="s">
        <v>1489</v>
      </c>
      <c r="L4" s="42" t="s">
        <v>1484</v>
      </c>
      <c r="M4" s="584" t="s">
        <v>219</v>
      </c>
      <c r="N4" s="584" t="s">
        <v>64</v>
      </c>
      <c r="O4" s="584" t="s">
        <v>58</v>
      </c>
      <c r="P4" s="590" t="s">
        <v>1522</v>
      </c>
      <c r="Q4" s="584" t="s">
        <v>1517</v>
      </c>
      <c r="R4" s="584" t="s">
        <v>1517</v>
      </c>
      <c r="S4" s="588" t="s">
        <v>1518</v>
      </c>
      <c r="T4" s="126" t="s">
        <v>1523</v>
      </c>
      <c r="U4" s="22" t="s">
        <v>1489</v>
      </c>
      <c r="V4" s="42" t="s">
        <v>1484</v>
      </c>
    </row>
    <row r="5" spans="1:38" ht="26.45" customHeight="1">
      <c r="A5" s="584">
        <f t="shared" ref="A5:A60" si="0">A4+1</f>
        <v>3</v>
      </c>
      <c r="B5" s="585">
        <v>2022</v>
      </c>
      <c r="C5" s="584" t="s">
        <v>1512</v>
      </c>
      <c r="D5" s="584" t="s">
        <v>1513</v>
      </c>
      <c r="E5" s="586">
        <v>44562</v>
      </c>
      <c r="F5" s="586" t="s">
        <v>2</v>
      </c>
      <c r="G5" s="587">
        <v>44570</v>
      </c>
      <c r="H5" s="580" t="s">
        <v>1514</v>
      </c>
      <c r="I5" s="588" t="s">
        <v>1524</v>
      </c>
      <c r="J5" s="589" t="s">
        <v>239</v>
      </c>
      <c r="K5" s="22" t="s">
        <v>148</v>
      </c>
      <c r="L5" s="42" t="s">
        <v>1484</v>
      </c>
      <c r="M5" s="584" t="s">
        <v>237</v>
      </c>
      <c r="N5" s="584" t="s">
        <v>66</v>
      </c>
      <c r="O5" s="584" t="s">
        <v>58</v>
      </c>
      <c r="P5" s="591" t="s">
        <v>1525</v>
      </c>
      <c r="Q5" s="584" t="s">
        <v>1526</v>
      </c>
      <c r="R5" s="584" t="s">
        <v>1517</v>
      </c>
      <c r="S5" s="588" t="s">
        <v>1527</v>
      </c>
      <c r="T5" s="126" t="s">
        <v>1528</v>
      </c>
      <c r="U5" s="22" t="s">
        <v>148</v>
      </c>
      <c r="V5" s="42" t="s">
        <v>1484</v>
      </c>
    </row>
    <row r="6" spans="1:38" ht="26.45" customHeight="1">
      <c r="A6" s="584">
        <f t="shared" si="0"/>
        <v>4</v>
      </c>
      <c r="B6" s="585">
        <v>2022</v>
      </c>
      <c r="C6" s="584" t="s">
        <v>1512</v>
      </c>
      <c r="D6" s="584" t="s">
        <v>1513</v>
      </c>
      <c r="E6" s="586">
        <v>44562</v>
      </c>
      <c r="F6" s="586" t="s">
        <v>2</v>
      </c>
      <c r="G6" s="587">
        <v>44571</v>
      </c>
      <c r="H6" s="580" t="s">
        <v>1529</v>
      </c>
      <c r="I6" s="588" t="s">
        <v>1530</v>
      </c>
      <c r="J6" s="589" t="s">
        <v>254</v>
      </c>
      <c r="K6" s="22" t="s">
        <v>147</v>
      </c>
      <c r="L6" s="42" t="s">
        <v>1484</v>
      </c>
      <c r="M6" s="584" t="s">
        <v>252</v>
      </c>
      <c r="N6" s="584" t="s">
        <v>67</v>
      </c>
      <c r="O6" s="584" t="s">
        <v>58</v>
      </c>
      <c r="P6" s="591" t="s">
        <v>1531</v>
      </c>
      <c r="Q6" s="584" t="s">
        <v>1517</v>
      </c>
      <c r="R6" s="584" t="s">
        <v>1517</v>
      </c>
      <c r="S6" s="588" t="s">
        <v>1532</v>
      </c>
      <c r="T6" s="126" t="s">
        <v>1533</v>
      </c>
      <c r="U6" s="22" t="s">
        <v>147</v>
      </c>
      <c r="V6" s="42" t="s">
        <v>1484</v>
      </c>
    </row>
    <row r="7" spans="1:38" ht="26.45" customHeight="1">
      <c r="A7" s="584">
        <f t="shared" si="0"/>
        <v>5</v>
      </c>
      <c r="B7" s="585">
        <v>2022</v>
      </c>
      <c r="C7" s="584" t="s">
        <v>1512</v>
      </c>
      <c r="D7" s="584" t="s">
        <v>1513</v>
      </c>
      <c r="E7" s="586">
        <v>44562</v>
      </c>
      <c r="F7" s="586" t="s">
        <v>2</v>
      </c>
      <c r="G7" s="587">
        <v>44574</v>
      </c>
      <c r="H7" s="580" t="s">
        <v>1534</v>
      </c>
      <c r="I7" s="588" t="s">
        <v>1535</v>
      </c>
      <c r="J7" s="589" t="s">
        <v>284</v>
      </c>
      <c r="K7" s="22" t="s">
        <v>149</v>
      </c>
      <c r="L7" s="42" t="s">
        <v>1484</v>
      </c>
      <c r="M7" s="584" t="s">
        <v>282</v>
      </c>
      <c r="N7" s="584" t="s">
        <v>67</v>
      </c>
      <c r="O7" s="584" t="s">
        <v>57</v>
      </c>
      <c r="P7" s="591" t="s">
        <v>1536</v>
      </c>
      <c r="Q7" s="584" t="s">
        <v>1517</v>
      </c>
      <c r="R7" s="584" t="s">
        <v>1517</v>
      </c>
      <c r="S7" s="588" t="s">
        <v>1518</v>
      </c>
      <c r="T7" s="126" t="s">
        <v>1537</v>
      </c>
      <c r="U7" s="22" t="s">
        <v>149</v>
      </c>
      <c r="V7" s="42" t="s">
        <v>1484</v>
      </c>
    </row>
    <row r="8" spans="1:38" ht="26.45" customHeight="1">
      <c r="A8" s="584">
        <f t="shared" si="0"/>
        <v>6</v>
      </c>
      <c r="B8" s="585">
        <v>2022</v>
      </c>
      <c r="C8" s="584" t="s">
        <v>1512</v>
      </c>
      <c r="D8" s="584" t="s">
        <v>1513</v>
      </c>
      <c r="E8" s="586">
        <v>44562</v>
      </c>
      <c r="F8" s="586" t="s">
        <v>2</v>
      </c>
      <c r="G8" s="587">
        <v>44577</v>
      </c>
      <c r="H8" s="580" t="s">
        <v>1514</v>
      </c>
      <c r="I8" s="588" t="s">
        <v>1538</v>
      </c>
      <c r="J8" s="589" t="s">
        <v>302</v>
      </c>
      <c r="K8" s="22" t="s">
        <v>147</v>
      </c>
      <c r="L8" s="42" t="s">
        <v>1484</v>
      </c>
      <c r="M8" s="584" t="s">
        <v>300</v>
      </c>
      <c r="N8" s="584" t="s">
        <v>67</v>
      </c>
      <c r="O8" s="584" t="s">
        <v>58</v>
      </c>
      <c r="P8" s="591" t="s">
        <v>1539</v>
      </c>
      <c r="Q8" s="584" t="s">
        <v>1517</v>
      </c>
      <c r="R8" s="584" t="s">
        <v>1517</v>
      </c>
      <c r="S8" s="588" t="s">
        <v>1518</v>
      </c>
      <c r="T8" s="126" t="s">
        <v>1540</v>
      </c>
      <c r="U8" s="22" t="s">
        <v>147</v>
      </c>
      <c r="V8" s="42" t="s">
        <v>1484</v>
      </c>
    </row>
    <row r="9" spans="1:38" ht="26.45" customHeight="1">
      <c r="A9" s="584">
        <f t="shared" si="0"/>
        <v>7</v>
      </c>
      <c r="B9" s="585">
        <v>2022</v>
      </c>
      <c r="C9" s="584" t="s">
        <v>1512</v>
      </c>
      <c r="D9" s="584" t="s">
        <v>1541</v>
      </c>
      <c r="E9" s="586">
        <v>44562</v>
      </c>
      <c r="F9" s="586" t="s">
        <v>2</v>
      </c>
      <c r="G9" s="587">
        <v>44581</v>
      </c>
      <c r="H9" s="580" t="s">
        <v>1534</v>
      </c>
      <c r="I9" s="588" t="s">
        <v>1542</v>
      </c>
      <c r="J9" s="589" t="s">
        <v>316</v>
      </c>
      <c r="K9" s="22" t="s">
        <v>1489</v>
      </c>
      <c r="L9" s="42" t="s">
        <v>1484</v>
      </c>
      <c r="M9" s="584" t="s">
        <v>314</v>
      </c>
      <c r="N9" s="584" t="s">
        <v>64</v>
      </c>
      <c r="O9" s="584" t="s">
        <v>58</v>
      </c>
      <c r="P9" s="591" t="s">
        <v>1543</v>
      </c>
      <c r="Q9" s="584" t="s">
        <v>1544</v>
      </c>
      <c r="R9" s="584" t="s">
        <v>1517</v>
      </c>
      <c r="S9" s="126" t="s">
        <v>1545</v>
      </c>
      <c r="T9" s="126" t="s">
        <v>1523</v>
      </c>
      <c r="U9" s="22" t="s">
        <v>1489</v>
      </c>
      <c r="V9" s="42" t="s">
        <v>1484</v>
      </c>
    </row>
    <row r="10" spans="1:38" ht="26.45" customHeight="1">
      <c r="A10" s="584">
        <f t="shared" si="0"/>
        <v>8</v>
      </c>
      <c r="B10" s="585">
        <v>2022</v>
      </c>
      <c r="C10" s="584" t="s">
        <v>1512</v>
      </c>
      <c r="D10" s="584" t="s">
        <v>1513</v>
      </c>
      <c r="E10" s="586">
        <v>44562</v>
      </c>
      <c r="F10" s="586" t="s">
        <v>2</v>
      </c>
      <c r="G10" s="587">
        <v>44582</v>
      </c>
      <c r="H10" s="580" t="s">
        <v>1546</v>
      </c>
      <c r="I10" s="588" t="s">
        <v>1547</v>
      </c>
      <c r="J10" s="589" t="s">
        <v>333</v>
      </c>
      <c r="K10" s="22" t="s">
        <v>149</v>
      </c>
      <c r="L10" s="42" t="s">
        <v>1484</v>
      </c>
      <c r="M10" s="584" t="s">
        <v>332</v>
      </c>
      <c r="N10" s="584" t="s">
        <v>67</v>
      </c>
      <c r="O10" s="584" t="s">
        <v>58</v>
      </c>
      <c r="P10" s="591" t="s">
        <v>1548</v>
      </c>
      <c r="Q10" s="584" t="s">
        <v>1517</v>
      </c>
      <c r="R10" s="584" t="s">
        <v>1517</v>
      </c>
      <c r="S10" s="126" t="s">
        <v>1518</v>
      </c>
      <c r="T10" s="126" t="s">
        <v>1519</v>
      </c>
      <c r="U10" s="22" t="s">
        <v>149</v>
      </c>
      <c r="V10" s="42" t="s">
        <v>1484</v>
      </c>
      <c r="W10" s="43" t="s">
        <v>1549</v>
      </c>
      <c r="X10" s="43" t="s">
        <v>1479</v>
      </c>
    </row>
    <row r="11" spans="1:38" ht="26.45" customHeight="1">
      <c r="A11" s="584">
        <f t="shared" si="0"/>
        <v>9</v>
      </c>
      <c r="B11" s="585">
        <v>2022</v>
      </c>
      <c r="C11" s="584" t="s">
        <v>1512</v>
      </c>
      <c r="D11" s="584" t="s">
        <v>1513</v>
      </c>
      <c r="E11" s="586">
        <v>44562</v>
      </c>
      <c r="F11" s="586" t="s">
        <v>2</v>
      </c>
      <c r="G11" s="587">
        <v>44583</v>
      </c>
      <c r="H11" s="580" t="s">
        <v>1520</v>
      </c>
      <c r="I11" s="588" t="s">
        <v>1550</v>
      </c>
      <c r="J11" s="589" t="s">
        <v>347</v>
      </c>
      <c r="K11" s="22" t="s">
        <v>149</v>
      </c>
      <c r="L11" s="42" t="s">
        <v>1484</v>
      </c>
      <c r="M11" s="584" t="s">
        <v>345</v>
      </c>
      <c r="N11" s="584" t="s">
        <v>67</v>
      </c>
      <c r="O11" s="584" t="s">
        <v>57</v>
      </c>
      <c r="P11" s="591" t="s">
        <v>1551</v>
      </c>
      <c r="Q11" s="584" t="s">
        <v>1517</v>
      </c>
      <c r="R11" s="584" t="s">
        <v>1517</v>
      </c>
      <c r="S11" s="126" t="s">
        <v>1518</v>
      </c>
      <c r="T11" s="126" t="s">
        <v>1537</v>
      </c>
      <c r="U11" s="22" t="s">
        <v>149</v>
      </c>
      <c r="V11" s="42" t="s">
        <v>1484</v>
      </c>
      <c r="W11" s="43" t="s">
        <v>1480</v>
      </c>
      <c r="X11" t="s">
        <v>1552</v>
      </c>
      <c r="Y11" t="s">
        <v>148</v>
      </c>
      <c r="Z11" t="s">
        <v>1553</v>
      </c>
      <c r="AA11" t="s">
        <v>1493</v>
      </c>
      <c r="AB11" t="s">
        <v>147</v>
      </c>
      <c r="AC11" t="s">
        <v>1554</v>
      </c>
      <c r="AD11" t="s">
        <v>1555</v>
      </c>
      <c r="AE11" t="s">
        <v>1556</v>
      </c>
      <c r="AF11" t="s">
        <v>1489</v>
      </c>
      <c r="AG11" t="s">
        <v>1557</v>
      </c>
      <c r="AH11" t="s">
        <v>1490</v>
      </c>
      <c r="AI11" t="s">
        <v>149</v>
      </c>
      <c r="AJ11" t="s">
        <v>1558</v>
      </c>
      <c r="AK11" t="s">
        <v>155</v>
      </c>
      <c r="AL11" t="s">
        <v>79</v>
      </c>
    </row>
    <row r="12" spans="1:38" ht="26.45" customHeight="1">
      <c r="A12" s="584">
        <f t="shared" si="0"/>
        <v>10</v>
      </c>
      <c r="B12" s="585">
        <v>2022</v>
      </c>
      <c r="C12" s="584" t="s">
        <v>1512</v>
      </c>
      <c r="D12" s="584" t="s">
        <v>1513</v>
      </c>
      <c r="E12" s="586">
        <v>44562</v>
      </c>
      <c r="F12" s="586" t="s">
        <v>2</v>
      </c>
      <c r="G12" s="587">
        <v>44588</v>
      </c>
      <c r="H12" s="584" t="s">
        <v>1534</v>
      </c>
      <c r="I12" s="588" t="s">
        <v>1559</v>
      </c>
      <c r="J12" s="589" t="s">
        <v>355</v>
      </c>
      <c r="K12" s="22" t="s">
        <v>1489</v>
      </c>
      <c r="L12" s="42" t="s">
        <v>1484</v>
      </c>
      <c r="M12" s="584" t="s">
        <v>353</v>
      </c>
      <c r="N12" s="584" t="s">
        <v>64</v>
      </c>
      <c r="O12" s="584" t="s">
        <v>57</v>
      </c>
      <c r="P12" s="591" t="s">
        <v>1560</v>
      </c>
      <c r="Q12" s="584" t="s">
        <v>1517</v>
      </c>
      <c r="R12" s="584" t="s">
        <v>1517</v>
      </c>
      <c r="S12" s="126" t="s">
        <v>1518</v>
      </c>
      <c r="T12" s="126" t="s">
        <v>1561</v>
      </c>
      <c r="U12" s="22" t="s">
        <v>1489</v>
      </c>
      <c r="V12" s="42" t="s">
        <v>1484</v>
      </c>
      <c r="W12" s="44" t="s">
        <v>66</v>
      </c>
      <c r="Y12">
        <v>1</v>
      </c>
      <c r="AA12">
        <v>1</v>
      </c>
      <c r="AI12">
        <v>1</v>
      </c>
      <c r="AJ12">
        <v>2</v>
      </c>
      <c r="AL12">
        <v>5</v>
      </c>
    </row>
    <row r="13" spans="1:38" ht="26.45" customHeight="1">
      <c r="A13" s="584">
        <f t="shared" si="0"/>
        <v>11</v>
      </c>
      <c r="B13" s="585">
        <v>2022</v>
      </c>
      <c r="C13" s="584" t="s">
        <v>1512</v>
      </c>
      <c r="D13" s="584" t="s">
        <v>1513</v>
      </c>
      <c r="E13" s="586">
        <v>44562</v>
      </c>
      <c r="F13" s="586" t="s">
        <v>2</v>
      </c>
      <c r="G13" s="587">
        <v>44588</v>
      </c>
      <c r="H13" s="584" t="s">
        <v>1534</v>
      </c>
      <c r="I13" s="589" t="s">
        <v>1562</v>
      </c>
      <c r="J13" s="589" t="s">
        <v>365</v>
      </c>
      <c r="K13" s="22" t="s">
        <v>147</v>
      </c>
      <c r="L13" s="42" t="s">
        <v>1484</v>
      </c>
      <c r="M13" s="584" t="s">
        <v>364</v>
      </c>
      <c r="N13" s="584" t="s">
        <v>67</v>
      </c>
      <c r="O13" s="584" t="s">
        <v>57</v>
      </c>
      <c r="P13" s="591" t="s">
        <v>1563</v>
      </c>
      <c r="Q13" s="584" t="s">
        <v>1517</v>
      </c>
      <c r="R13" s="584" t="s">
        <v>1517</v>
      </c>
      <c r="S13" s="126" t="s">
        <v>1518</v>
      </c>
      <c r="T13" s="126" t="s">
        <v>1523</v>
      </c>
      <c r="U13" s="22" t="s">
        <v>147</v>
      </c>
      <c r="V13" s="42" t="s">
        <v>1484</v>
      </c>
      <c r="W13" s="44" t="s">
        <v>34</v>
      </c>
      <c r="AB13">
        <v>1</v>
      </c>
      <c r="AE13">
        <v>1</v>
      </c>
      <c r="AK13">
        <v>1</v>
      </c>
      <c r="AL13">
        <v>3</v>
      </c>
    </row>
    <row r="14" spans="1:38" ht="26.45" customHeight="1">
      <c r="A14" s="584">
        <f t="shared" si="0"/>
        <v>12</v>
      </c>
      <c r="B14" s="584">
        <v>2022</v>
      </c>
      <c r="C14" s="584" t="s">
        <v>1512</v>
      </c>
      <c r="D14" s="584" t="s">
        <v>1513</v>
      </c>
      <c r="E14" s="586">
        <v>44562</v>
      </c>
      <c r="F14" s="586" t="s">
        <v>2</v>
      </c>
      <c r="G14" s="592">
        <v>44592</v>
      </c>
      <c r="H14" s="593" t="s">
        <v>1564</v>
      </c>
      <c r="I14" s="594" t="s">
        <v>1565</v>
      </c>
      <c r="J14" s="594" t="s">
        <v>389</v>
      </c>
      <c r="K14" s="22" t="s">
        <v>147</v>
      </c>
      <c r="L14" s="42" t="s">
        <v>1484</v>
      </c>
      <c r="M14" s="584" t="s">
        <v>1566</v>
      </c>
      <c r="N14" s="584" t="s">
        <v>64</v>
      </c>
      <c r="O14" s="584" t="s">
        <v>57</v>
      </c>
      <c r="P14" s="591" t="s">
        <v>1567</v>
      </c>
      <c r="Q14" s="584" t="s">
        <v>1517</v>
      </c>
      <c r="R14" s="584" t="s">
        <v>1517</v>
      </c>
      <c r="S14" s="126" t="s">
        <v>1518</v>
      </c>
      <c r="T14" s="126" t="s">
        <v>1561</v>
      </c>
      <c r="U14" s="22" t="s">
        <v>147</v>
      </c>
      <c r="V14" s="42" t="s">
        <v>1484</v>
      </c>
      <c r="W14" s="44" t="s">
        <v>67</v>
      </c>
      <c r="X14">
        <v>1</v>
      </c>
      <c r="Y14">
        <v>2</v>
      </c>
      <c r="AA14">
        <v>2</v>
      </c>
      <c r="AB14">
        <v>4</v>
      </c>
      <c r="AI14">
        <v>13</v>
      </c>
      <c r="AL14">
        <v>22</v>
      </c>
    </row>
    <row r="15" spans="1:38" ht="26.45" customHeight="1">
      <c r="A15" s="584">
        <f t="shared" si="0"/>
        <v>13</v>
      </c>
      <c r="B15" s="584">
        <v>2022</v>
      </c>
      <c r="C15" s="584" t="s">
        <v>1512</v>
      </c>
      <c r="D15" s="584" t="s">
        <v>1513</v>
      </c>
      <c r="E15" s="586">
        <v>44594</v>
      </c>
      <c r="F15" s="586" t="s">
        <v>3</v>
      </c>
      <c r="G15" s="592">
        <v>44597</v>
      </c>
      <c r="H15" s="595" t="s">
        <v>1520</v>
      </c>
      <c r="I15" s="589" t="s">
        <v>1568</v>
      </c>
      <c r="J15" s="588" t="s">
        <v>1569</v>
      </c>
      <c r="K15" s="22" t="s">
        <v>149</v>
      </c>
      <c r="L15" s="42" t="s">
        <v>1484</v>
      </c>
      <c r="M15" s="584" t="s">
        <v>404</v>
      </c>
      <c r="N15" s="584" t="s">
        <v>67</v>
      </c>
      <c r="O15" s="584" t="s">
        <v>57</v>
      </c>
      <c r="P15" s="591" t="s">
        <v>1570</v>
      </c>
      <c r="Q15" s="584" t="s">
        <v>1517</v>
      </c>
      <c r="R15" s="584" t="s">
        <v>1517</v>
      </c>
      <c r="S15" s="126" t="s">
        <v>1518</v>
      </c>
      <c r="T15" s="126" t="s">
        <v>1533</v>
      </c>
      <c r="U15" s="22" t="s">
        <v>149</v>
      </c>
      <c r="V15" s="42" t="s">
        <v>1484</v>
      </c>
      <c r="W15" s="44" t="s">
        <v>64</v>
      </c>
      <c r="Y15">
        <v>1</v>
      </c>
      <c r="Z15">
        <v>1</v>
      </c>
      <c r="AB15">
        <v>5</v>
      </c>
      <c r="AC15">
        <v>1</v>
      </c>
      <c r="AD15">
        <v>1</v>
      </c>
      <c r="AE15">
        <v>2</v>
      </c>
      <c r="AF15">
        <v>4</v>
      </c>
      <c r="AG15">
        <v>1</v>
      </c>
      <c r="AH15">
        <v>2</v>
      </c>
      <c r="AI15">
        <v>9</v>
      </c>
      <c r="AK15">
        <v>1</v>
      </c>
      <c r="AL15">
        <v>28</v>
      </c>
    </row>
    <row r="16" spans="1:38" ht="26.45" customHeight="1">
      <c r="A16" s="584">
        <f t="shared" si="0"/>
        <v>14</v>
      </c>
      <c r="B16" s="584">
        <v>2022</v>
      </c>
      <c r="C16" s="584" t="s">
        <v>1512</v>
      </c>
      <c r="D16" s="584" t="s">
        <v>1513</v>
      </c>
      <c r="E16" s="586">
        <v>44594</v>
      </c>
      <c r="F16" s="586" t="s">
        <v>3</v>
      </c>
      <c r="G16" s="592">
        <v>44607</v>
      </c>
      <c r="H16" s="584" t="s">
        <v>1564</v>
      </c>
      <c r="I16" s="589" t="s">
        <v>1571</v>
      </c>
      <c r="J16" s="588" t="s">
        <v>1572</v>
      </c>
      <c r="K16" s="22" t="s">
        <v>1556</v>
      </c>
      <c r="L16" s="42" t="s">
        <v>146</v>
      </c>
      <c r="M16" s="584" t="s">
        <v>418</v>
      </c>
      <c r="N16" s="584" t="s">
        <v>34</v>
      </c>
      <c r="O16" s="584" t="s">
        <v>57</v>
      </c>
      <c r="P16" s="591" t="s">
        <v>1573</v>
      </c>
      <c r="Q16" s="584" t="s">
        <v>1544</v>
      </c>
      <c r="R16" s="584" t="s">
        <v>1544</v>
      </c>
      <c r="S16" s="126" t="s">
        <v>1574</v>
      </c>
      <c r="T16" s="126" t="s">
        <v>1575</v>
      </c>
      <c r="U16" s="22" t="s">
        <v>1556</v>
      </c>
      <c r="V16" s="42" t="s">
        <v>146</v>
      </c>
      <c r="W16" s="44" t="s">
        <v>79</v>
      </c>
      <c r="X16">
        <v>1</v>
      </c>
      <c r="Y16">
        <v>4</v>
      </c>
      <c r="Z16">
        <v>1</v>
      </c>
      <c r="AA16">
        <v>3</v>
      </c>
      <c r="AB16">
        <v>10</v>
      </c>
      <c r="AC16">
        <v>1</v>
      </c>
      <c r="AD16">
        <v>1</v>
      </c>
      <c r="AE16">
        <v>3</v>
      </c>
      <c r="AF16">
        <v>4</v>
      </c>
      <c r="AG16">
        <v>1</v>
      </c>
      <c r="AH16">
        <v>2</v>
      </c>
      <c r="AI16">
        <v>23</v>
      </c>
      <c r="AJ16">
        <v>2</v>
      </c>
      <c r="AK16">
        <v>2</v>
      </c>
      <c r="AL16">
        <v>58</v>
      </c>
    </row>
    <row r="17" spans="1:22" ht="26.45" customHeight="1">
      <c r="A17" s="584">
        <f t="shared" si="0"/>
        <v>15</v>
      </c>
      <c r="B17" s="584">
        <v>2022</v>
      </c>
      <c r="C17" s="584" t="s">
        <v>1512</v>
      </c>
      <c r="D17" s="584" t="s">
        <v>1513</v>
      </c>
      <c r="E17" s="586">
        <v>44594</v>
      </c>
      <c r="F17" s="586" t="s">
        <v>3</v>
      </c>
      <c r="G17" s="592">
        <v>44611</v>
      </c>
      <c r="H17" s="584" t="s">
        <v>1520</v>
      </c>
      <c r="I17" s="589" t="s">
        <v>1576</v>
      </c>
      <c r="J17" s="588" t="s">
        <v>1577</v>
      </c>
      <c r="K17" s="22" t="s">
        <v>149</v>
      </c>
      <c r="L17" s="42" t="s">
        <v>1484</v>
      </c>
      <c r="M17" s="584" t="s">
        <v>441</v>
      </c>
      <c r="N17" s="584" t="s">
        <v>64</v>
      </c>
      <c r="O17" s="584" t="s">
        <v>57</v>
      </c>
      <c r="P17" s="591" t="s">
        <v>1578</v>
      </c>
      <c r="Q17" s="584" t="s">
        <v>1517</v>
      </c>
      <c r="R17" s="584" t="s">
        <v>1517</v>
      </c>
      <c r="S17" s="126" t="s">
        <v>1518</v>
      </c>
      <c r="T17" s="126" t="s">
        <v>1523</v>
      </c>
      <c r="U17" s="22" t="s">
        <v>149</v>
      </c>
      <c r="V17" s="42" t="s">
        <v>1484</v>
      </c>
    </row>
    <row r="18" spans="1:22" ht="26.45" customHeight="1">
      <c r="A18" s="584">
        <f t="shared" si="0"/>
        <v>16</v>
      </c>
      <c r="B18" s="584">
        <v>2022</v>
      </c>
      <c r="C18" s="584" t="s">
        <v>1512</v>
      </c>
      <c r="D18" s="584" t="s">
        <v>1513</v>
      </c>
      <c r="E18" s="586">
        <v>44594</v>
      </c>
      <c r="F18" s="586" t="s">
        <v>3</v>
      </c>
      <c r="G18" s="592">
        <v>44614</v>
      </c>
      <c r="H18" s="584" t="s">
        <v>1564</v>
      </c>
      <c r="I18" s="588" t="s">
        <v>1579</v>
      </c>
      <c r="J18" s="589" t="s">
        <v>333</v>
      </c>
      <c r="K18" s="22" t="s">
        <v>149</v>
      </c>
      <c r="L18" s="42" t="s">
        <v>1484</v>
      </c>
      <c r="M18" s="584" t="s">
        <v>458</v>
      </c>
      <c r="N18" s="584" t="s">
        <v>67</v>
      </c>
      <c r="O18" s="584" t="s">
        <v>58</v>
      </c>
      <c r="P18" s="591" t="s">
        <v>1580</v>
      </c>
      <c r="Q18" s="584" t="s">
        <v>1517</v>
      </c>
      <c r="R18" s="584" t="s">
        <v>1517</v>
      </c>
      <c r="S18" s="126" t="s">
        <v>1518</v>
      </c>
      <c r="T18" s="126" t="s">
        <v>1519</v>
      </c>
      <c r="U18" s="22" t="s">
        <v>149</v>
      </c>
      <c r="V18" s="42" t="s">
        <v>1484</v>
      </c>
    </row>
    <row r="19" spans="1:22" ht="26.45" customHeight="1">
      <c r="A19" s="584">
        <f t="shared" si="0"/>
        <v>17</v>
      </c>
      <c r="B19" s="584">
        <v>2022</v>
      </c>
      <c r="C19" s="584" t="s">
        <v>1512</v>
      </c>
      <c r="D19" s="584" t="s">
        <v>1513</v>
      </c>
      <c r="E19" s="586">
        <v>44594</v>
      </c>
      <c r="F19" s="586" t="s">
        <v>3</v>
      </c>
      <c r="G19" s="592">
        <v>44615</v>
      </c>
      <c r="H19" s="584" t="s">
        <v>1581</v>
      </c>
      <c r="I19" s="588" t="s">
        <v>1582</v>
      </c>
      <c r="J19" s="588" t="s">
        <v>1583</v>
      </c>
      <c r="K19" s="22" t="s">
        <v>149</v>
      </c>
      <c r="L19" s="42" t="s">
        <v>1484</v>
      </c>
      <c r="M19" s="584" t="s">
        <v>469</v>
      </c>
      <c r="N19" s="584" t="s">
        <v>64</v>
      </c>
      <c r="O19" s="584" t="s">
        <v>57</v>
      </c>
      <c r="P19" s="591" t="s">
        <v>1584</v>
      </c>
      <c r="Q19" s="584" t="s">
        <v>1517</v>
      </c>
      <c r="R19" s="584" t="s">
        <v>1517</v>
      </c>
      <c r="S19" s="126" t="s">
        <v>1518</v>
      </c>
      <c r="T19" s="126" t="s">
        <v>1585</v>
      </c>
      <c r="U19" s="22" t="s">
        <v>149</v>
      </c>
      <c r="V19" s="42" t="s">
        <v>1484</v>
      </c>
    </row>
    <row r="20" spans="1:22" ht="26.45" customHeight="1">
      <c r="A20" s="584">
        <f t="shared" si="0"/>
        <v>18</v>
      </c>
      <c r="B20" s="584">
        <v>2022</v>
      </c>
      <c r="C20" s="584" t="s">
        <v>1512</v>
      </c>
      <c r="D20" s="584" t="s">
        <v>1513</v>
      </c>
      <c r="E20" s="586">
        <v>44622</v>
      </c>
      <c r="F20" s="586" t="s">
        <v>4</v>
      </c>
      <c r="G20" s="592">
        <v>44621</v>
      </c>
      <c r="H20" s="584" t="s">
        <v>1564</v>
      </c>
      <c r="I20" s="588" t="s">
        <v>1586</v>
      </c>
      <c r="J20" s="588" t="s">
        <v>1587</v>
      </c>
      <c r="K20" s="22" t="s">
        <v>147</v>
      </c>
      <c r="L20" s="42" t="s">
        <v>1484</v>
      </c>
      <c r="M20" s="584" t="s">
        <v>486</v>
      </c>
      <c r="N20" s="584" t="s">
        <v>64</v>
      </c>
      <c r="O20" s="584" t="s">
        <v>57</v>
      </c>
      <c r="P20" s="591" t="s">
        <v>1588</v>
      </c>
      <c r="Q20" s="584" t="s">
        <v>1517</v>
      </c>
      <c r="R20" s="584" t="s">
        <v>1517</v>
      </c>
      <c r="S20" s="126" t="s">
        <v>1518</v>
      </c>
      <c r="T20" s="126" t="s">
        <v>1561</v>
      </c>
      <c r="U20" s="22" t="s">
        <v>147</v>
      </c>
      <c r="V20" s="42" t="s">
        <v>1484</v>
      </c>
    </row>
    <row r="21" spans="1:22" ht="26.45" customHeight="1">
      <c r="A21" s="584">
        <f t="shared" si="0"/>
        <v>19</v>
      </c>
      <c r="B21" s="584">
        <v>2022</v>
      </c>
      <c r="C21" s="584" t="s">
        <v>1512</v>
      </c>
      <c r="D21" s="584" t="s">
        <v>1513</v>
      </c>
      <c r="E21" s="586">
        <v>44622</v>
      </c>
      <c r="F21" s="586" t="s">
        <v>4</v>
      </c>
      <c r="G21" s="592">
        <v>44627</v>
      </c>
      <c r="H21" s="584" t="s">
        <v>1529</v>
      </c>
      <c r="I21" s="588" t="s">
        <v>1568</v>
      </c>
      <c r="J21" s="588" t="s">
        <v>1589</v>
      </c>
      <c r="K21" s="22" t="s">
        <v>149</v>
      </c>
      <c r="L21" s="42" t="s">
        <v>1484</v>
      </c>
      <c r="M21" s="584" t="s">
        <v>503</v>
      </c>
      <c r="N21" s="592" t="s">
        <v>67</v>
      </c>
      <c r="O21" s="584" t="s">
        <v>58</v>
      </c>
      <c r="P21" s="591" t="s">
        <v>1590</v>
      </c>
      <c r="Q21" s="584" t="s">
        <v>1517</v>
      </c>
      <c r="R21" s="584" t="s">
        <v>1517</v>
      </c>
      <c r="S21" s="126" t="s">
        <v>1518</v>
      </c>
      <c r="T21" s="126" t="s">
        <v>1519</v>
      </c>
      <c r="U21" s="22" t="s">
        <v>149</v>
      </c>
      <c r="V21" s="42" t="s">
        <v>1484</v>
      </c>
    </row>
    <row r="22" spans="1:22" ht="26.45" customHeight="1">
      <c r="A22" s="584">
        <f t="shared" si="0"/>
        <v>20</v>
      </c>
      <c r="B22" s="584">
        <v>2022</v>
      </c>
      <c r="C22" s="584" t="s">
        <v>1512</v>
      </c>
      <c r="D22" s="584" t="s">
        <v>1513</v>
      </c>
      <c r="E22" s="586">
        <v>44622</v>
      </c>
      <c r="F22" s="586" t="s">
        <v>4</v>
      </c>
      <c r="G22" s="592">
        <v>44628</v>
      </c>
      <c r="H22" s="584" t="s">
        <v>1564</v>
      </c>
      <c r="I22" s="588" t="s">
        <v>1591</v>
      </c>
      <c r="J22" s="588" t="s">
        <v>1592</v>
      </c>
      <c r="K22" s="22" t="s">
        <v>149</v>
      </c>
      <c r="L22" s="42" t="s">
        <v>1484</v>
      </c>
      <c r="M22" s="584" t="s">
        <v>514</v>
      </c>
      <c r="N22" s="584" t="s">
        <v>64</v>
      </c>
      <c r="O22" s="584" t="s">
        <v>57</v>
      </c>
      <c r="P22" s="591" t="s">
        <v>1593</v>
      </c>
      <c r="Q22" s="584" t="s">
        <v>1517</v>
      </c>
      <c r="R22" s="584" t="s">
        <v>1517</v>
      </c>
      <c r="S22" s="126" t="s">
        <v>1518</v>
      </c>
      <c r="T22" s="126" t="s">
        <v>1523</v>
      </c>
      <c r="U22" s="22" t="s">
        <v>149</v>
      </c>
      <c r="V22" s="42" t="s">
        <v>1484</v>
      </c>
    </row>
    <row r="23" spans="1:22" ht="26.45" customHeight="1">
      <c r="A23" s="584">
        <f t="shared" si="0"/>
        <v>21</v>
      </c>
      <c r="B23" s="584">
        <v>2022</v>
      </c>
      <c r="C23" s="584" t="s">
        <v>1512</v>
      </c>
      <c r="D23" s="584" t="s">
        <v>1513</v>
      </c>
      <c r="E23" s="586">
        <v>44622</v>
      </c>
      <c r="F23" s="586" t="s">
        <v>4</v>
      </c>
      <c r="G23" s="592">
        <v>44628</v>
      </c>
      <c r="H23" s="584" t="s">
        <v>1564</v>
      </c>
      <c r="I23" s="588" t="s">
        <v>1594</v>
      </c>
      <c r="J23" s="588" t="s">
        <v>1595</v>
      </c>
      <c r="K23" s="22" t="s">
        <v>149</v>
      </c>
      <c r="L23" s="42" t="s">
        <v>1484</v>
      </c>
      <c r="M23" s="584" t="s">
        <v>539</v>
      </c>
      <c r="N23" s="592" t="s">
        <v>67</v>
      </c>
      <c r="O23" s="584" t="s">
        <v>58</v>
      </c>
      <c r="P23" s="591" t="s">
        <v>1596</v>
      </c>
      <c r="Q23" s="584" t="s">
        <v>1517</v>
      </c>
      <c r="R23" s="584" t="s">
        <v>1517</v>
      </c>
      <c r="S23" s="126" t="s">
        <v>1518</v>
      </c>
      <c r="T23" s="126" t="s">
        <v>1519</v>
      </c>
      <c r="U23" s="22" t="s">
        <v>149</v>
      </c>
      <c r="V23" s="42" t="s">
        <v>1484</v>
      </c>
    </row>
    <row r="24" spans="1:22" ht="26.45" customHeight="1">
      <c r="A24" s="584">
        <f t="shared" si="0"/>
        <v>22</v>
      </c>
      <c r="B24" s="584">
        <v>2022</v>
      </c>
      <c r="C24" s="584" t="s">
        <v>1512</v>
      </c>
      <c r="D24" s="584" t="s">
        <v>1513</v>
      </c>
      <c r="E24" s="586">
        <v>44622</v>
      </c>
      <c r="F24" s="586" t="s">
        <v>4</v>
      </c>
      <c r="G24" s="592">
        <v>44629</v>
      </c>
      <c r="H24" s="584" t="s">
        <v>1581</v>
      </c>
      <c r="I24" s="588" t="s">
        <v>1568</v>
      </c>
      <c r="J24" s="588" t="s">
        <v>1597</v>
      </c>
      <c r="K24" s="22" t="s">
        <v>1489</v>
      </c>
      <c r="L24" s="42" t="s">
        <v>1484</v>
      </c>
      <c r="M24" s="584" t="s">
        <v>550</v>
      </c>
      <c r="N24" s="584" t="s">
        <v>64</v>
      </c>
      <c r="O24" s="584" t="s">
        <v>58</v>
      </c>
      <c r="P24" s="591" t="s">
        <v>1466</v>
      </c>
      <c r="Q24" s="584" t="s">
        <v>1517</v>
      </c>
      <c r="R24" s="584" t="s">
        <v>1517</v>
      </c>
      <c r="S24" s="126" t="s">
        <v>1598</v>
      </c>
      <c r="T24" s="126" t="s">
        <v>1599</v>
      </c>
      <c r="U24" s="22" t="s">
        <v>1489</v>
      </c>
      <c r="V24" s="42" t="s">
        <v>1484</v>
      </c>
    </row>
    <row r="25" spans="1:22" ht="26.45" customHeight="1">
      <c r="A25" s="584">
        <f t="shared" si="0"/>
        <v>23</v>
      </c>
      <c r="B25" s="584">
        <v>2022</v>
      </c>
      <c r="C25" s="584" t="s">
        <v>1512</v>
      </c>
      <c r="D25" s="584" t="s">
        <v>1513</v>
      </c>
      <c r="E25" s="586">
        <v>44622</v>
      </c>
      <c r="F25" s="586" t="s">
        <v>4</v>
      </c>
      <c r="G25" s="592">
        <v>44632</v>
      </c>
      <c r="H25" s="584" t="s">
        <v>1520</v>
      </c>
      <c r="I25" s="588" t="s">
        <v>1600</v>
      </c>
      <c r="J25" s="588" t="s">
        <v>568</v>
      </c>
      <c r="K25" s="22" t="s">
        <v>1490</v>
      </c>
      <c r="L25" s="42" t="s">
        <v>1484</v>
      </c>
      <c r="M25" s="584" t="s">
        <v>566</v>
      </c>
      <c r="N25" s="584" t="s">
        <v>64</v>
      </c>
      <c r="O25" s="584" t="s">
        <v>57</v>
      </c>
      <c r="P25" s="591" t="s">
        <v>1601</v>
      </c>
      <c r="Q25" s="584" t="s">
        <v>1517</v>
      </c>
      <c r="R25" s="584" t="s">
        <v>1544</v>
      </c>
      <c r="S25" s="126" t="s">
        <v>1518</v>
      </c>
      <c r="T25" s="126" t="s">
        <v>1523</v>
      </c>
      <c r="U25" s="22" t="s">
        <v>1490</v>
      </c>
      <c r="V25" s="42" t="s">
        <v>1484</v>
      </c>
    </row>
    <row r="26" spans="1:22" ht="26.45" customHeight="1">
      <c r="A26" s="584">
        <f t="shared" si="0"/>
        <v>24</v>
      </c>
      <c r="B26" s="584">
        <v>2022</v>
      </c>
      <c r="C26" s="584" t="s">
        <v>1512</v>
      </c>
      <c r="D26" s="584" t="s">
        <v>1513</v>
      </c>
      <c r="E26" s="586">
        <v>44622</v>
      </c>
      <c r="F26" s="586" t="s">
        <v>4</v>
      </c>
      <c r="G26" s="592">
        <v>44638</v>
      </c>
      <c r="H26" s="595" t="s">
        <v>1546</v>
      </c>
      <c r="I26" s="588" t="s">
        <v>1579</v>
      </c>
      <c r="J26" s="588" t="s">
        <v>1602</v>
      </c>
      <c r="K26" s="22" t="s">
        <v>148</v>
      </c>
      <c r="L26" s="42" t="s">
        <v>1484</v>
      </c>
      <c r="M26" s="584" t="s">
        <v>584</v>
      </c>
      <c r="N26" s="584" t="s">
        <v>64</v>
      </c>
      <c r="O26" s="584" t="s">
        <v>58</v>
      </c>
      <c r="P26" s="591" t="s">
        <v>1603</v>
      </c>
      <c r="Q26" s="584" t="s">
        <v>1517</v>
      </c>
      <c r="R26" s="584" t="s">
        <v>1517</v>
      </c>
      <c r="S26" s="126" t="s">
        <v>1545</v>
      </c>
      <c r="T26" s="126" t="s">
        <v>1519</v>
      </c>
      <c r="U26" s="22" t="s">
        <v>148</v>
      </c>
      <c r="V26" s="42" t="s">
        <v>1484</v>
      </c>
    </row>
    <row r="27" spans="1:22" ht="26.45" customHeight="1">
      <c r="A27" s="584">
        <f t="shared" si="0"/>
        <v>25</v>
      </c>
      <c r="B27" s="584">
        <v>2022</v>
      </c>
      <c r="C27" s="584" t="s">
        <v>1512</v>
      </c>
      <c r="D27" s="584" t="s">
        <v>1513</v>
      </c>
      <c r="E27" s="586">
        <v>44653</v>
      </c>
      <c r="F27" s="586" t="s">
        <v>5</v>
      </c>
      <c r="G27" s="592">
        <v>44653</v>
      </c>
      <c r="H27" s="595" t="s">
        <v>1604</v>
      </c>
      <c r="I27" s="596" t="s">
        <v>1605</v>
      </c>
      <c r="J27" s="597" t="s">
        <v>1606</v>
      </c>
      <c r="K27" s="22" t="s">
        <v>149</v>
      </c>
      <c r="L27" s="42" t="s">
        <v>1484</v>
      </c>
      <c r="M27" s="584" t="s">
        <v>599</v>
      </c>
      <c r="N27" s="584" t="s">
        <v>64</v>
      </c>
      <c r="O27" s="584" t="s">
        <v>57</v>
      </c>
      <c r="P27" s="591" t="s">
        <v>1471</v>
      </c>
      <c r="Q27" s="584" t="s">
        <v>1517</v>
      </c>
      <c r="R27" s="584" t="s">
        <v>1517</v>
      </c>
      <c r="S27" s="126" t="s">
        <v>1518</v>
      </c>
      <c r="T27" s="126" t="s">
        <v>1537</v>
      </c>
      <c r="U27" s="22" t="s">
        <v>149</v>
      </c>
      <c r="V27" s="42" t="s">
        <v>1484</v>
      </c>
    </row>
    <row r="28" spans="1:22" ht="26.45" customHeight="1">
      <c r="A28" s="584">
        <f t="shared" si="0"/>
        <v>26</v>
      </c>
      <c r="B28" s="584">
        <v>2022</v>
      </c>
      <c r="C28" s="584" t="s">
        <v>1512</v>
      </c>
      <c r="D28" s="584" t="s">
        <v>1513</v>
      </c>
      <c r="E28" s="586">
        <v>44653</v>
      </c>
      <c r="F28" s="586" t="s">
        <v>5</v>
      </c>
      <c r="G28" s="592">
        <v>44659</v>
      </c>
      <c r="H28" s="595" t="s">
        <v>1546</v>
      </c>
      <c r="I28" s="596" t="s">
        <v>1607</v>
      </c>
      <c r="J28" s="596" t="s">
        <v>1608</v>
      </c>
      <c r="K28" s="22" t="s">
        <v>149</v>
      </c>
      <c r="L28" s="42" t="s">
        <v>1484</v>
      </c>
      <c r="M28" s="584" t="s">
        <v>617</v>
      </c>
      <c r="N28" s="584" t="s">
        <v>67</v>
      </c>
      <c r="O28" s="584" t="s">
        <v>58</v>
      </c>
      <c r="P28" s="591" t="s">
        <v>1473</v>
      </c>
      <c r="Q28" s="584" t="s">
        <v>1517</v>
      </c>
      <c r="R28" s="584" t="s">
        <v>1517</v>
      </c>
      <c r="S28" s="126" t="s">
        <v>1518</v>
      </c>
      <c r="T28" s="126" t="s">
        <v>1519</v>
      </c>
      <c r="U28" s="22" t="s">
        <v>149</v>
      </c>
      <c r="V28" s="42" t="s">
        <v>1484</v>
      </c>
    </row>
    <row r="29" spans="1:22" ht="26.45" customHeight="1">
      <c r="A29" s="584">
        <f t="shared" si="0"/>
        <v>27</v>
      </c>
      <c r="B29" s="584">
        <v>2022</v>
      </c>
      <c r="C29" s="584" t="s">
        <v>1512</v>
      </c>
      <c r="D29" s="584" t="s">
        <v>1513</v>
      </c>
      <c r="E29" s="586">
        <v>44653</v>
      </c>
      <c r="F29" s="586" t="s">
        <v>5</v>
      </c>
      <c r="G29" s="592">
        <v>44660</v>
      </c>
      <c r="H29" s="595" t="s">
        <v>1604</v>
      </c>
      <c r="I29" s="596" t="s">
        <v>1609</v>
      </c>
      <c r="J29" s="596" t="s">
        <v>1610</v>
      </c>
      <c r="K29" s="22" t="s">
        <v>1552</v>
      </c>
      <c r="L29" s="42" t="s">
        <v>146</v>
      </c>
      <c r="M29" s="584" t="s">
        <v>628</v>
      </c>
      <c r="N29" s="584" t="s">
        <v>67</v>
      </c>
      <c r="O29" s="584" t="s">
        <v>58</v>
      </c>
      <c r="P29" s="591" t="s">
        <v>1611</v>
      </c>
      <c r="Q29" s="584" t="s">
        <v>1612</v>
      </c>
      <c r="R29" s="584" t="s">
        <v>1544</v>
      </c>
      <c r="S29" s="126" t="s">
        <v>1545</v>
      </c>
      <c r="T29" s="126" t="s">
        <v>1613</v>
      </c>
      <c r="U29" s="22" t="s">
        <v>1552</v>
      </c>
      <c r="V29" s="42" t="s">
        <v>146</v>
      </c>
    </row>
    <row r="30" spans="1:22" ht="26.45" customHeight="1">
      <c r="A30" s="584">
        <f t="shared" si="0"/>
        <v>28</v>
      </c>
      <c r="B30" s="584">
        <v>2022</v>
      </c>
      <c r="C30" s="584" t="s">
        <v>1512</v>
      </c>
      <c r="D30" s="584" t="s">
        <v>1513</v>
      </c>
      <c r="E30" s="586">
        <v>44653</v>
      </c>
      <c r="F30" s="586" t="s">
        <v>5</v>
      </c>
      <c r="G30" s="592">
        <v>44662</v>
      </c>
      <c r="H30" s="595" t="s">
        <v>1529</v>
      </c>
      <c r="I30" s="596" t="s">
        <v>1538</v>
      </c>
      <c r="J30" s="596" t="s">
        <v>1614</v>
      </c>
      <c r="K30" s="22" t="s">
        <v>1558</v>
      </c>
      <c r="L30" s="42" t="s">
        <v>1484</v>
      </c>
      <c r="M30" s="584" t="s">
        <v>646</v>
      </c>
      <c r="N30" s="584" t="s">
        <v>66</v>
      </c>
      <c r="O30" s="584" t="s">
        <v>58</v>
      </c>
      <c r="P30" s="591" t="s">
        <v>1615</v>
      </c>
      <c r="Q30" s="584" t="s">
        <v>1616</v>
      </c>
      <c r="R30" s="584" t="s">
        <v>1544</v>
      </c>
      <c r="S30" s="126" t="s">
        <v>1558</v>
      </c>
      <c r="T30" s="126" t="s">
        <v>1617</v>
      </c>
      <c r="U30" s="22" t="s">
        <v>1558</v>
      </c>
      <c r="V30" s="42" t="s">
        <v>1484</v>
      </c>
    </row>
    <row r="31" spans="1:22" ht="26.45" customHeight="1">
      <c r="A31" s="584">
        <f t="shared" si="0"/>
        <v>29</v>
      </c>
      <c r="B31" s="584">
        <v>2022</v>
      </c>
      <c r="C31" s="584" t="s">
        <v>1512</v>
      </c>
      <c r="D31" s="584" t="s">
        <v>1513</v>
      </c>
      <c r="E31" s="586">
        <v>44653</v>
      </c>
      <c r="F31" s="586" t="s">
        <v>5</v>
      </c>
      <c r="G31" s="592">
        <v>44665</v>
      </c>
      <c r="H31" s="595" t="s">
        <v>1534</v>
      </c>
      <c r="I31" s="597" t="s">
        <v>1618</v>
      </c>
      <c r="J31" s="588" t="s">
        <v>1619</v>
      </c>
      <c r="K31" s="22" t="s">
        <v>155</v>
      </c>
      <c r="L31" s="42" t="s">
        <v>155</v>
      </c>
      <c r="M31" s="584" t="s">
        <v>662</v>
      </c>
      <c r="N31" s="584" t="s">
        <v>64</v>
      </c>
      <c r="O31" s="584" t="s">
        <v>58</v>
      </c>
      <c r="P31" s="591" t="s">
        <v>1474</v>
      </c>
      <c r="Q31" s="584" t="s">
        <v>1517</v>
      </c>
      <c r="R31" s="584" t="s">
        <v>1517</v>
      </c>
      <c r="S31" s="126" t="s">
        <v>1598</v>
      </c>
      <c r="T31" s="126" t="s">
        <v>1599</v>
      </c>
      <c r="U31" s="22" t="s">
        <v>155</v>
      </c>
      <c r="V31" s="42" t="s">
        <v>155</v>
      </c>
    </row>
    <row r="32" spans="1:22" ht="26.45" customHeight="1">
      <c r="A32" s="584">
        <f t="shared" si="0"/>
        <v>30</v>
      </c>
      <c r="B32" s="584">
        <v>2022</v>
      </c>
      <c r="C32" s="584" t="s">
        <v>1512</v>
      </c>
      <c r="D32" s="584" t="s">
        <v>1513</v>
      </c>
      <c r="E32" s="586">
        <v>44653</v>
      </c>
      <c r="F32" s="586" t="s">
        <v>5</v>
      </c>
      <c r="G32" s="592">
        <v>44665</v>
      </c>
      <c r="H32" s="595" t="s">
        <v>1534</v>
      </c>
      <c r="I32" s="596" t="s">
        <v>1620</v>
      </c>
      <c r="J32" s="596" t="s">
        <v>1621</v>
      </c>
      <c r="K32" s="22" t="s">
        <v>147</v>
      </c>
      <c r="L32" s="42" t="s">
        <v>1484</v>
      </c>
      <c r="M32" s="584" t="s">
        <v>678</v>
      </c>
      <c r="N32" s="584" t="s">
        <v>64</v>
      </c>
      <c r="O32" s="584" t="s">
        <v>57</v>
      </c>
      <c r="P32" s="591" t="s">
        <v>1477</v>
      </c>
      <c r="Q32" s="584" t="s">
        <v>1517</v>
      </c>
      <c r="R32" s="584" t="s">
        <v>1517</v>
      </c>
      <c r="S32" s="126" t="s">
        <v>1518</v>
      </c>
      <c r="T32" s="126" t="s">
        <v>1523</v>
      </c>
      <c r="U32" s="22" t="s">
        <v>147</v>
      </c>
      <c r="V32" s="42" t="s">
        <v>1484</v>
      </c>
    </row>
    <row r="33" spans="1:22" ht="26.45" customHeight="1">
      <c r="A33" s="584">
        <f t="shared" si="0"/>
        <v>31</v>
      </c>
      <c r="B33" s="584">
        <v>2022</v>
      </c>
      <c r="C33" s="584" t="s">
        <v>1512</v>
      </c>
      <c r="D33" s="584" t="s">
        <v>1513</v>
      </c>
      <c r="E33" s="586">
        <v>44653</v>
      </c>
      <c r="F33" s="586" t="s">
        <v>5</v>
      </c>
      <c r="G33" s="592">
        <v>44668</v>
      </c>
      <c r="H33" s="595" t="s">
        <v>1514</v>
      </c>
      <c r="I33" s="596" t="s">
        <v>1622</v>
      </c>
      <c r="J33" s="596" t="s">
        <v>1623</v>
      </c>
      <c r="K33" s="22" t="s">
        <v>149</v>
      </c>
      <c r="L33" s="42" t="s">
        <v>1484</v>
      </c>
      <c r="M33" s="584" t="s">
        <v>718</v>
      </c>
      <c r="N33" s="584" t="s">
        <v>64</v>
      </c>
      <c r="O33" s="584" t="s">
        <v>58</v>
      </c>
      <c r="P33" s="591" t="s">
        <v>1624</v>
      </c>
      <c r="Q33" s="584" t="s">
        <v>1517</v>
      </c>
      <c r="R33" s="584" t="s">
        <v>1517</v>
      </c>
      <c r="S33" s="126" t="s">
        <v>1518</v>
      </c>
      <c r="T33" s="126" t="s">
        <v>1523</v>
      </c>
      <c r="U33" s="22" t="s">
        <v>149</v>
      </c>
      <c r="V33" s="42" t="s">
        <v>1484</v>
      </c>
    </row>
    <row r="34" spans="1:22" ht="26.45" customHeight="1">
      <c r="A34" s="584">
        <f t="shared" si="0"/>
        <v>32</v>
      </c>
      <c r="B34" s="584">
        <v>2022</v>
      </c>
      <c r="C34" s="584" t="s">
        <v>1512</v>
      </c>
      <c r="D34" s="584" t="s">
        <v>1513</v>
      </c>
      <c r="E34" s="586">
        <v>44653</v>
      </c>
      <c r="F34" s="586" t="s">
        <v>5</v>
      </c>
      <c r="G34" s="592">
        <v>44672</v>
      </c>
      <c r="H34" s="595" t="s">
        <v>1534</v>
      </c>
      <c r="I34" s="596" t="s">
        <v>1625</v>
      </c>
      <c r="J34" s="596" t="s">
        <v>1626</v>
      </c>
      <c r="K34" s="22" t="s">
        <v>147</v>
      </c>
      <c r="L34" s="42" t="s">
        <v>1484</v>
      </c>
      <c r="M34" s="584" t="s">
        <v>731</v>
      </c>
      <c r="N34" s="584" t="s">
        <v>64</v>
      </c>
      <c r="O34" s="584" t="s">
        <v>57</v>
      </c>
      <c r="P34" s="591" t="s">
        <v>1627</v>
      </c>
      <c r="Q34" s="584" t="s">
        <v>1517</v>
      </c>
      <c r="R34" s="584" t="s">
        <v>1517</v>
      </c>
      <c r="S34" s="126" t="s">
        <v>1518</v>
      </c>
      <c r="T34" s="126" t="s">
        <v>1537</v>
      </c>
      <c r="U34" s="22" t="s">
        <v>147</v>
      </c>
      <c r="V34" s="42" t="s">
        <v>1484</v>
      </c>
    </row>
    <row r="35" spans="1:22" ht="26.45" customHeight="1">
      <c r="A35" s="584">
        <f t="shared" si="0"/>
        <v>33</v>
      </c>
      <c r="B35" s="584">
        <v>2022</v>
      </c>
      <c r="C35" s="584" t="s">
        <v>1512</v>
      </c>
      <c r="D35" s="584" t="s">
        <v>1513</v>
      </c>
      <c r="E35" s="586">
        <v>44653</v>
      </c>
      <c r="F35" s="586" t="s">
        <v>5</v>
      </c>
      <c r="G35" s="592">
        <v>44676</v>
      </c>
      <c r="H35" s="584" t="s">
        <v>1529</v>
      </c>
      <c r="I35" s="596" t="s">
        <v>1628</v>
      </c>
      <c r="J35" s="596" t="s">
        <v>1629</v>
      </c>
      <c r="K35" s="22" t="s">
        <v>149</v>
      </c>
      <c r="L35" s="42" t="s">
        <v>1484</v>
      </c>
      <c r="M35" s="584" t="s">
        <v>745</v>
      </c>
      <c r="N35" s="584" t="s">
        <v>64</v>
      </c>
      <c r="O35" s="584" t="s">
        <v>57</v>
      </c>
      <c r="P35" s="591" t="s">
        <v>1630</v>
      </c>
      <c r="Q35" s="584" t="s">
        <v>1517</v>
      </c>
      <c r="R35" s="584" t="s">
        <v>1517</v>
      </c>
      <c r="S35" s="126" t="s">
        <v>1518</v>
      </c>
      <c r="T35" s="126" t="s">
        <v>1561</v>
      </c>
      <c r="U35" s="22" t="s">
        <v>149</v>
      </c>
      <c r="V35" s="42" t="s">
        <v>1484</v>
      </c>
    </row>
    <row r="36" spans="1:22" ht="26.45" customHeight="1">
      <c r="A36" s="584">
        <f t="shared" si="0"/>
        <v>34</v>
      </c>
      <c r="B36" s="584">
        <v>2022</v>
      </c>
      <c r="C36" s="584" t="s">
        <v>1512</v>
      </c>
      <c r="D36" s="584" t="s">
        <v>1513</v>
      </c>
      <c r="E36" s="586">
        <v>44692</v>
      </c>
      <c r="F36" s="584" t="s">
        <v>6</v>
      </c>
      <c r="G36" s="592">
        <v>44692</v>
      </c>
      <c r="H36" s="584" t="s">
        <v>1631</v>
      </c>
      <c r="I36" s="588" t="s">
        <v>1632</v>
      </c>
      <c r="J36" s="588" t="s">
        <v>772</v>
      </c>
      <c r="K36" s="22" t="s">
        <v>149</v>
      </c>
      <c r="L36" s="42" t="s">
        <v>1484</v>
      </c>
      <c r="M36" s="584" t="s">
        <v>770</v>
      </c>
      <c r="N36" s="584" t="s">
        <v>67</v>
      </c>
      <c r="O36" s="584" t="s">
        <v>57</v>
      </c>
      <c r="P36" s="591" t="s">
        <v>1633</v>
      </c>
      <c r="Q36" s="584" t="s">
        <v>1517</v>
      </c>
      <c r="R36" s="584" t="s">
        <v>1517</v>
      </c>
      <c r="S36" s="126" t="s">
        <v>1518</v>
      </c>
      <c r="T36" s="126" t="s">
        <v>1537</v>
      </c>
      <c r="U36" s="22" t="s">
        <v>149</v>
      </c>
      <c r="V36" s="42" t="s">
        <v>1484</v>
      </c>
    </row>
    <row r="37" spans="1:22" ht="26.45" customHeight="1">
      <c r="A37" s="584">
        <f t="shared" si="0"/>
        <v>35</v>
      </c>
      <c r="B37" s="584">
        <v>2022</v>
      </c>
      <c r="C37" s="584" t="s">
        <v>1512</v>
      </c>
      <c r="D37" s="584" t="s">
        <v>1513</v>
      </c>
      <c r="E37" s="586">
        <v>44692</v>
      </c>
      <c r="F37" s="584" t="s">
        <v>6</v>
      </c>
      <c r="G37" s="592">
        <v>44692</v>
      </c>
      <c r="H37" s="584" t="s">
        <v>1631</v>
      </c>
      <c r="I37" s="581" t="s">
        <v>1634</v>
      </c>
      <c r="J37" s="588" t="s">
        <v>772</v>
      </c>
      <c r="K37" s="22" t="s">
        <v>149</v>
      </c>
      <c r="L37" s="42" t="s">
        <v>1484</v>
      </c>
      <c r="M37" s="584" t="s">
        <v>797</v>
      </c>
      <c r="N37" s="584" t="s">
        <v>67</v>
      </c>
      <c r="O37" s="584" t="s">
        <v>57</v>
      </c>
      <c r="P37" s="591" t="s">
        <v>1635</v>
      </c>
      <c r="Q37" s="584" t="s">
        <v>1517</v>
      </c>
      <c r="R37" s="584" t="s">
        <v>1517</v>
      </c>
      <c r="S37" s="126" t="s">
        <v>1518</v>
      </c>
      <c r="T37" s="126" t="s">
        <v>1537</v>
      </c>
      <c r="U37" s="22" t="s">
        <v>149</v>
      </c>
      <c r="V37" s="42" t="s">
        <v>1484</v>
      </c>
    </row>
    <row r="38" spans="1:22" ht="26.45" customHeight="1">
      <c r="A38" s="584">
        <f t="shared" si="0"/>
        <v>36</v>
      </c>
      <c r="B38" s="584">
        <v>2022</v>
      </c>
      <c r="C38" s="584" t="s">
        <v>1512</v>
      </c>
      <c r="D38" s="584" t="s">
        <v>1513</v>
      </c>
      <c r="E38" s="586">
        <v>44692</v>
      </c>
      <c r="F38" s="584" t="s">
        <v>6</v>
      </c>
      <c r="G38" s="592">
        <v>44696</v>
      </c>
      <c r="H38" s="584" t="s">
        <v>1514</v>
      </c>
      <c r="I38" s="598" t="s">
        <v>1636</v>
      </c>
      <c r="J38" s="588" t="s">
        <v>808</v>
      </c>
      <c r="K38" s="22" t="s">
        <v>1556</v>
      </c>
      <c r="L38" s="42" t="s">
        <v>146</v>
      </c>
      <c r="M38" s="584" t="s">
        <v>807</v>
      </c>
      <c r="N38" s="584" t="s">
        <v>64</v>
      </c>
      <c r="O38" s="584" t="s">
        <v>57</v>
      </c>
      <c r="P38" s="591" t="s">
        <v>1637</v>
      </c>
      <c r="Q38" s="584" t="s">
        <v>1544</v>
      </c>
      <c r="R38" s="584" t="s">
        <v>1544</v>
      </c>
      <c r="S38" s="126" t="s">
        <v>1518</v>
      </c>
      <c r="T38" s="126" t="s">
        <v>1561</v>
      </c>
      <c r="U38" s="22" t="s">
        <v>1556</v>
      </c>
      <c r="V38" s="42" t="s">
        <v>146</v>
      </c>
    </row>
    <row r="39" spans="1:22" ht="26.45" customHeight="1">
      <c r="A39" s="584">
        <f t="shared" si="0"/>
        <v>37</v>
      </c>
      <c r="B39" s="584">
        <v>2022</v>
      </c>
      <c r="C39" s="584" t="s">
        <v>1512</v>
      </c>
      <c r="D39" s="584" t="s">
        <v>1513</v>
      </c>
      <c r="E39" s="586">
        <v>44692</v>
      </c>
      <c r="F39" s="584" t="s">
        <v>6</v>
      </c>
      <c r="G39" s="592">
        <v>44702</v>
      </c>
      <c r="H39" s="584" t="s">
        <v>1520</v>
      </c>
      <c r="I39" s="598" t="s">
        <v>1638</v>
      </c>
      <c r="J39" s="588" t="s">
        <v>1639</v>
      </c>
      <c r="K39" s="22" t="s">
        <v>1555</v>
      </c>
      <c r="L39" s="42" t="s">
        <v>1484</v>
      </c>
      <c r="M39" s="584" t="s">
        <v>826</v>
      </c>
      <c r="N39" s="584" t="s">
        <v>64</v>
      </c>
      <c r="O39" s="584" t="s">
        <v>57</v>
      </c>
      <c r="P39" s="591" t="s">
        <v>1640</v>
      </c>
      <c r="Q39" s="584" t="s">
        <v>1544</v>
      </c>
      <c r="R39" s="584" t="s">
        <v>1544</v>
      </c>
      <c r="S39" s="126" t="s">
        <v>1518</v>
      </c>
      <c r="T39" s="126" t="s">
        <v>1523</v>
      </c>
      <c r="U39" s="22" t="s">
        <v>1555</v>
      </c>
      <c r="V39" s="42" t="s">
        <v>1484</v>
      </c>
    </row>
    <row r="40" spans="1:22" ht="26.45" customHeight="1">
      <c r="A40" s="584">
        <f t="shared" si="0"/>
        <v>38</v>
      </c>
      <c r="B40" s="584">
        <v>2022</v>
      </c>
      <c r="C40" s="584" t="s">
        <v>1512</v>
      </c>
      <c r="D40" s="584" t="s">
        <v>1513</v>
      </c>
      <c r="E40" s="586">
        <v>44692</v>
      </c>
      <c r="F40" s="584" t="s">
        <v>6</v>
      </c>
      <c r="G40" s="592">
        <v>44702</v>
      </c>
      <c r="H40" s="584" t="s">
        <v>1520</v>
      </c>
      <c r="I40" s="598" t="s">
        <v>1641</v>
      </c>
      <c r="J40" s="588" t="s">
        <v>1642</v>
      </c>
      <c r="K40" s="22" t="s">
        <v>147</v>
      </c>
      <c r="L40" s="42" t="s">
        <v>1484</v>
      </c>
      <c r="M40" s="584" t="s">
        <v>852</v>
      </c>
      <c r="N40" s="584" t="s">
        <v>67</v>
      </c>
      <c r="O40" s="584" t="s">
        <v>58</v>
      </c>
      <c r="P40" s="591" t="s">
        <v>1643</v>
      </c>
      <c r="Q40" s="584" t="s">
        <v>1517</v>
      </c>
      <c r="R40" s="584" t="s">
        <v>1517</v>
      </c>
      <c r="S40" s="126" t="s">
        <v>1518</v>
      </c>
      <c r="T40" s="126" t="s">
        <v>1519</v>
      </c>
      <c r="U40" s="22" t="s">
        <v>147</v>
      </c>
      <c r="V40" s="42" t="s">
        <v>1484</v>
      </c>
    </row>
    <row r="41" spans="1:22" ht="26.45" customHeight="1">
      <c r="A41" s="584">
        <f t="shared" si="0"/>
        <v>39</v>
      </c>
      <c r="B41" s="584">
        <v>2022</v>
      </c>
      <c r="C41" s="584" t="s">
        <v>1512</v>
      </c>
      <c r="D41" s="584" t="s">
        <v>1513</v>
      </c>
      <c r="E41" s="586">
        <v>44692</v>
      </c>
      <c r="F41" s="584" t="s">
        <v>6</v>
      </c>
      <c r="G41" s="592">
        <v>44704</v>
      </c>
      <c r="H41" s="584" t="s">
        <v>1529</v>
      </c>
      <c r="I41" s="598" t="s">
        <v>1644</v>
      </c>
      <c r="J41" s="588" t="s">
        <v>867</v>
      </c>
      <c r="K41" s="22" t="s">
        <v>1493</v>
      </c>
      <c r="L41" s="42" t="s">
        <v>146</v>
      </c>
      <c r="M41" s="584" t="s">
        <v>865</v>
      </c>
      <c r="N41" s="584" t="s">
        <v>66</v>
      </c>
      <c r="O41" s="584" t="s">
        <v>57</v>
      </c>
      <c r="P41" s="591" t="s">
        <v>1645</v>
      </c>
      <c r="Q41" s="584" t="s">
        <v>1544</v>
      </c>
      <c r="R41" s="584" t="s">
        <v>1544</v>
      </c>
      <c r="S41" s="126" t="s">
        <v>1518</v>
      </c>
      <c r="T41" s="126" t="s">
        <v>1519</v>
      </c>
      <c r="U41" s="22" t="s">
        <v>1493</v>
      </c>
      <c r="V41" s="42" t="s">
        <v>146</v>
      </c>
    </row>
    <row r="42" spans="1:22" ht="26.45" customHeight="1">
      <c r="A42" s="584">
        <f t="shared" si="0"/>
        <v>40</v>
      </c>
      <c r="B42" s="584">
        <v>2022</v>
      </c>
      <c r="C42" s="584" t="s">
        <v>1512</v>
      </c>
      <c r="D42" s="584" t="s">
        <v>1513</v>
      </c>
      <c r="E42" s="586">
        <v>44692</v>
      </c>
      <c r="F42" s="584" t="s">
        <v>6</v>
      </c>
      <c r="G42" s="592">
        <v>44706</v>
      </c>
      <c r="H42" s="584" t="s">
        <v>1581</v>
      </c>
      <c r="I42" s="598" t="s">
        <v>1515</v>
      </c>
      <c r="J42" s="588" t="s">
        <v>890</v>
      </c>
      <c r="K42" s="22" t="s">
        <v>1493</v>
      </c>
      <c r="L42" s="42" t="s">
        <v>146</v>
      </c>
      <c r="M42" s="584" t="s">
        <v>888</v>
      </c>
      <c r="N42" s="584" t="s">
        <v>67</v>
      </c>
      <c r="O42" s="584" t="s">
        <v>58</v>
      </c>
      <c r="P42" s="591" t="s">
        <v>1646</v>
      </c>
      <c r="Q42" s="584" t="s">
        <v>1544</v>
      </c>
      <c r="R42" s="584" t="s">
        <v>1544</v>
      </c>
      <c r="S42" s="126" t="s">
        <v>1518</v>
      </c>
      <c r="T42" s="126" t="s">
        <v>1519</v>
      </c>
      <c r="U42" s="22" t="s">
        <v>1493</v>
      </c>
      <c r="V42" s="42" t="s">
        <v>146</v>
      </c>
    </row>
    <row r="43" spans="1:22" ht="26.45" customHeight="1">
      <c r="A43" s="584">
        <f t="shared" si="0"/>
        <v>41</v>
      </c>
      <c r="B43" s="584">
        <v>2022</v>
      </c>
      <c r="C43" s="584" t="s">
        <v>1512</v>
      </c>
      <c r="D43" s="584" t="s">
        <v>1513</v>
      </c>
      <c r="E43" s="586">
        <v>44692</v>
      </c>
      <c r="F43" s="584" t="s">
        <v>6</v>
      </c>
      <c r="G43" s="592">
        <v>44707</v>
      </c>
      <c r="H43" s="584" t="s">
        <v>1534</v>
      </c>
      <c r="I43" s="598" t="s">
        <v>1647</v>
      </c>
      <c r="J43" s="588" t="s">
        <v>1648</v>
      </c>
      <c r="K43" s="22" t="s">
        <v>149</v>
      </c>
      <c r="L43" s="42" t="s">
        <v>1484</v>
      </c>
      <c r="M43" s="584" t="s">
        <v>901</v>
      </c>
      <c r="N43" s="584" t="s">
        <v>67</v>
      </c>
      <c r="O43" s="584" t="s">
        <v>58</v>
      </c>
      <c r="P43" s="591" t="s">
        <v>1649</v>
      </c>
      <c r="Q43" s="584" t="s">
        <v>1517</v>
      </c>
      <c r="R43" s="584" t="s">
        <v>1517</v>
      </c>
      <c r="S43" s="126" t="s">
        <v>1518</v>
      </c>
      <c r="T43" s="126" t="s">
        <v>1519</v>
      </c>
      <c r="U43" s="22" t="s">
        <v>149</v>
      </c>
      <c r="V43" s="42" t="s">
        <v>1484</v>
      </c>
    </row>
    <row r="44" spans="1:22" ht="26.45" customHeight="1">
      <c r="A44" s="584">
        <f t="shared" si="0"/>
        <v>42</v>
      </c>
      <c r="B44" s="584">
        <v>2022</v>
      </c>
      <c r="C44" s="584" t="s">
        <v>1512</v>
      </c>
      <c r="D44" s="584" t="s">
        <v>1513</v>
      </c>
      <c r="E44" s="586">
        <v>44692</v>
      </c>
      <c r="F44" s="584" t="s">
        <v>6</v>
      </c>
      <c r="G44" s="592">
        <v>44709</v>
      </c>
      <c r="H44" s="584" t="s">
        <v>1520</v>
      </c>
      <c r="I44" s="598" t="s">
        <v>1650</v>
      </c>
      <c r="J44" s="588" t="s">
        <v>1651</v>
      </c>
      <c r="K44" s="22" t="s">
        <v>1554</v>
      </c>
      <c r="L44" s="42" t="s">
        <v>157</v>
      </c>
      <c r="M44" s="584" t="s">
        <v>914</v>
      </c>
      <c r="N44" s="584" t="s">
        <v>64</v>
      </c>
      <c r="O44" s="584" t="s">
        <v>57</v>
      </c>
      <c r="P44" s="591" t="s">
        <v>1652</v>
      </c>
      <c r="Q44" s="584" t="s">
        <v>1653</v>
      </c>
      <c r="R44" s="584" t="s">
        <v>1653</v>
      </c>
      <c r="S44" s="126" t="s">
        <v>1654</v>
      </c>
      <c r="T44" s="126" t="s">
        <v>1523</v>
      </c>
      <c r="U44" s="22" t="s">
        <v>1554</v>
      </c>
      <c r="V44" s="42" t="s">
        <v>157</v>
      </c>
    </row>
    <row r="45" spans="1:22" ht="26.45" customHeight="1">
      <c r="A45" s="584">
        <f t="shared" si="0"/>
        <v>43</v>
      </c>
      <c r="B45" s="584">
        <v>2022</v>
      </c>
      <c r="C45" s="584" t="s">
        <v>1512</v>
      </c>
      <c r="D45" s="584" t="s">
        <v>1513</v>
      </c>
      <c r="E45" s="586">
        <v>44692</v>
      </c>
      <c r="F45" s="584" t="s">
        <v>6</v>
      </c>
      <c r="G45" s="592">
        <v>44709</v>
      </c>
      <c r="H45" s="584" t="s">
        <v>1520</v>
      </c>
      <c r="I45" s="598" t="s">
        <v>1655</v>
      </c>
      <c r="J45" s="588" t="s">
        <v>540</v>
      </c>
      <c r="K45" s="22" t="s">
        <v>148</v>
      </c>
      <c r="L45" s="42" t="s">
        <v>1484</v>
      </c>
      <c r="M45" s="584" t="s">
        <v>950</v>
      </c>
      <c r="N45" s="584" t="s">
        <v>67</v>
      </c>
      <c r="O45" s="584" t="s">
        <v>57</v>
      </c>
      <c r="P45" s="591" t="s">
        <v>1656</v>
      </c>
      <c r="Q45" s="584" t="s">
        <v>1653</v>
      </c>
      <c r="R45" s="584" t="s">
        <v>1517</v>
      </c>
      <c r="S45" s="126" t="s">
        <v>1657</v>
      </c>
      <c r="T45" s="126" t="s">
        <v>1533</v>
      </c>
      <c r="U45" s="22" t="s">
        <v>148</v>
      </c>
      <c r="V45" s="42" t="s">
        <v>1484</v>
      </c>
    </row>
    <row r="46" spans="1:22" ht="26.45" customHeight="1">
      <c r="A46" s="584">
        <f t="shared" si="0"/>
        <v>44</v>
      </c>
      <c r="B46" s="584">
        <v>2022</v>
      </c>
      <c r="C46" s="584" t="s">
        <v>1512</v>
      </c>
      <c r="D46" s="584" t="s">
        <v>1513</v>
      </c>
      <c r="E46" s="586">
        <v>44723</v>
      </c>
      <c r="F46" s="584" t="s">
        <v>116</v>
      </c>
      <c r="G46" s="592">
        <v>44714</v>
      </c>
      <c r="H46" s="584" t="s">
        <v>1534</v>
      </c>
      <c r="I46" s="598" t="s">
        <v>1658</v>
      </c>
      <c r="J46" s="588" t="s">
        <v>967</v>
      </c>
      <c r="K46" s="22" t="s">
        <v>1490</v>
      </c>
      <c r="L46" s="42" t="s">
        <v>1484</v>
      </c>
      <c r="M46" s="584" t="s">
        <v>965</v>
      </c>
      <c r="N46" s="584" t="s">
        <v>64</v>
      </c>
      <c r="O46" s="584" t="s">
        <v>58</v>
      </c>
      <c r="P46" s="591" t="s">
        <v>1659</v>
      </c>
      <c r="Q46" s="584" t="s">
        <v>1517</v>
      </c>
      <c r="R46" s="584" t="s">
        <v>1544</v>
      </c>
      <c r="S46" s="126" t="s">
        <v>1660</v>
      </c>
      <c r="T46" s="126"/>
      <c r="U46" s="22" t="s">
        <v>1490</v>
      </c>
      <c r="V46" s="42" t="s">
        <v>1484</v>
      </c>
    </row>
    <row r="47" spans="1:22" ht="26.45" customHeight="1">
      <c r="A47" s="584">
        <f t="shared" si="0"/>
        <v>45</v>
      </c>
      <c r="B47" s="584">
        <v>2022</v>
      </c>
      <c r="C47" s="584" t="s">
        <v>1512</v>
      </c>
      <c r="D47" s="584" t="s">
        <v>1513</v>
      </c>
      <c r="E47" s="586">
        <v>44723</v>
      </c>
      <c r="F47" s="584" t="s">
        <v>116</v>
      </c>
      <c r="G47" s="592">
        <v>44721</v>
      </c>
      <c r="H47" s="584" t="s">
        <v>1534</v>
      </c>
      <c r="I47" s="598" t="s">
        <v>1607</v>
      </c>
      <c r="J47" s="588" t="s">
        <v>1661</v>
      </c>
      <c r="K47" s="22" t="s">
        <v>1493</v>
      </c>
      <c r="L47" s="42" t="s">
        <v>146</v>
      </c>
      <c r="M47" s="584" t="s">
        <v>986</v>
      </c>
      <c r="N47" s="584" t="s">
        <v>67</v>
      </c>
      <c r="O47" s="584" t="s">
        <v>58</v>
      </c>
      <c r="P47" s="591" t="s">
        <v>1662</v>
      </c>
      <c r="Q47" s="584" t="s">
        <v>1544</v>
      </c>
      <c r="R47" s="584" t="s">
        <v>1544</v>
      </c>
      <c r="S47" s="126" t="s">
        <v>1518</v>
      </c>
      <c r="T47" s="126" t="s">
        <v>1519</v>
      </c>
      <c r="U47" s="22" t="s">
        <v>1493</v>
      </c>
      <c r="V47" s="42" t="s">
        <v>146</v>
      </c>
    </row>
    <row r="48" spans="1:22" ht="26.45" customHeight="1">
      <c r="A48" s="584">
        <f t="shared" si="0"/>
        <v>46</v>
      </c>
      <c r="B48" s="584">
        <v>2022</v>
      </c>
      <c r="C48" s="584" t="s">
        <v>1512</v>
      </c>
      <c r="D48" s="584" t="s">
        <v>1513</v>
      </c>
      <c r="E48" s="586">
        <v>44723</v>
      </c>
      <c r="F48" s="584" t="s">
        <v>116</v>
      </c>
      <c r="G48" s="592">
        <v>44721</v>
      </c>
      <c r="H48" s="584" t="s">
        <v>1534</v>
      </c>
      <c r="I48" s="598" t="s">
        <v>1663</v>
      </c>
      <c r="J48" s="588" t="s">
        <v>389</v>
      </c>
      <c r="K48" s="22" t="s">
        <v>147</v>
      </c>
      <c r="L48" s="42" t="s">
        <v>1484</v>
      </c>
      <c r="M48" s="584" t="s">
        <v>997</v>
      </c>
      <c r="N48" s="584" t="s">
        <v>64</v>
      </c>
      <c r="O48" s="584" t="s">
        <v>57</v>
      </c>
      <c r="P48" s="591" t="s">
        <v>1664</v>
      </c>
      <c r="Q48" s="584" t="s">
        <v>1517</v>
      </c>
      <c r="R48" s="584" t="s">
        <v>1517</v>
      </c>
      <c r="S48" s="126" t="s">
        <v>1518</v>
      </c>
      <c r="T48" s="126" t="s">
        <v>1523</v>
      </c>
      <c r="U48" s="22" t="s">
        <v>147</v>
      </c>
      <c r="V48" s="42" t="s">
        <v>1484</v>
      </c>
    </row>
    <row r="49" spans="1:22" ht="26.45" customHeight="1">
      <c r="A49" s="584">
        <f t="shared" si="0"/>
        <v>47</v>
      </c>
      <c r="B49" s="584">
        <v>2022</v>
      </c>
      <c r="C49" s="584" t="s">
        <v>1512</v>
      </c>
      <c r="D49" s="584" t="s">
        <v>1513</v>
      </c>
      <c r="E49" s="586">
        <v>44723</v>
      </c>
      <c r="F49" s="584" t="s">
        <v>116</v>
      </c>
      <c r="G49" s="592">
        <v>44723</v>
      </c>
      <c r="H49" s="584" t="s">
        <v>1520</v>
      </c>
      <c r="I49" s="598" t="s">
        <v>1665</v>
      </c>
      <c r="J49" s="588" t="s">
        <v>1666</v>
      </c>
      <c r="K49" s="22" t="s">
        <v>148</v>
      </c>
      <c r="L49" s="42" t="s">
        <v>1484</v>
      </c>
      <c r="M49" s="584" t="s">
        <v>1022</v>
      </c>
      <c r="N49" s="584" t="s">
        <v>67</v>
      </c>
      <c r="O49" s="584" t="s">
        <v>58</v>
      </c>
      <c r="P49" s="591" t="s">
        <v>1667</v>
      </c>
      <c r="Q49" s="584" t="s">
        <v>1517</v>
      </c>
      <c r="R49" s="584" t="s">
        <v>1517</v>
      </c>
      <c r="S49" s="126" t="s">
        <v>1518</v>
      </c>
      <c r="T49" s="126" t="s">
        <v>1523</v>
      </c>
      <c r="U49" s="22" t="s">
        <v>148</v>
      </c>
      <c r="V49" s="42" t="s">
        <v>1484</v>
      </c>
    </row>
    <row r="50" spans="1:22" ht="26.45" customHeight="1">
      <c r="A50" s="584">
        <f t="shared" si="0"/>
        <v>48</v>
      </c>
      <c r="B50" s="584">
        <v>2022</v>
      </c>
      <c r="C50" s="584" t="s">
        <v>1512</v>
      </c>
      <c r="D50" s="584" t="s">
        <v>1513</v>
      </c>
      <c r="E50" s="586">
        <v>44723</v>
      </c>
      <c r="F50" s="584" t="s">
        <v>116</v>
      </c>
      <c r="G50" s="592">
        <v>44724</v>
      </c>
      <c r="H50" s="584" t="s">
        <v>1514</v>
      </c>
      <c r="I50" s="598" t="s">
        <v>1668</v>
      </c>
      <c r="J50" s="588" t="s">
        <v>1040</v>
      </c>
      <c r="K50" s="22" t="s">
        <v>149</v>
      </c>
      <c r="L50" s="42" t="s">
        <v>1484</v>
      </c>
      <c r="M50" s="584" t="s">
        <v>1039</v>
      </c>
      <c r="N50" s="584" t="s">
        <v>64</v>
      </c>
      <c r="O50" s="584" t="s">
        <v>57</v>
      </c>
      <c r="P50" s="591" t="s">
        <v>1669</v>
      </c>
      <c r="Q50" s="584" t="s">
        <v>1517</v>
      </c>
      <c r="R50" s="584" t="s">
        <v>1517</v>
      </c>
      <c r="S50" s="126" t="s">
        <v>1518</v>
      </c>
      <c r="T50" s="126" t="s">
        <v>1523</v>
      </c>
      <c r="U50" s="22" t="s">
        <v>149</v>
      </c>
      <c r="V50" s="42" t="s">
        <v>1484</v>
      </c>
    </row>
    <row r="51" spans="1:22" ht="26.45" customHeight="1">
      <c r="A51" s="584">
        <f t="shared" si="0"/>
        <v>49</v>
      </c>
      <c r="B51" s="584">
        <v>2022</v>
      </c>
      <c r="C51" s="584" t="s">
        <v>1512</v>
      </c>
      <c r="D51" s="584" t="s">
        <v>1513</v>
      </c>
      <c r="E51" s="586">
        <v>44723</v>
      </c>
      <c r="F51" s="584" t="s">
        <v>116</v>
      </c>
      <c r="G51" s="592">
        <v>44724</v>
      </c>
      <c r="H51" s="584" t="s">
        <v>1514</v>
      </c>
      <c r="I51" s="598" t="s">
        <v>1670</v>
      </c>
      <c r="J51" s="588" t="s">
        <v>1062</v>
      </c>
      <c r="K51" s="22" t="s">
        <v>1553</v>
      </c>
      <c r="L51" s="42" t="s">
        <v>1484</v>
      </c>
      <c r="M51" s="584" t="s">
        <v>1061</v>
      </c>
      <c r="N51" s="584" t="s">
        <v>64</v>
      </c>
      <c r="O51" s="584" t="s">
        <v>58</v>
      </c>
      <c r="P51" s="591" t="s">
        <v>1671</v>
      </c>
      <c r="Q51" s="584" t="s">
        <v>1517</v>
      </c>
      <c r="R51" s="584" t="s">
        <v>1517</v>
      </c>
      <c r="S51" s="126" t="s">
        <v>1518</v>
      </c>
      <c r="T51" s="126" t="s">
        <v>1523</v>
      </c>
      <c r="U51" s="22" t="s">
        <v>1553</v>
      </c>
      <c r="V51" s="42" t="s">
        <v>1484</v>
      </c>
    </row>
    <row r="52" spans="1:22" ht="26.45" customHeight="1">
      <c r="A52" s="584">
        <f t="shared" si="0"/>
        <v>50</v>
      </c>
      <c r="B52" s="584">
        <v>2022</v>
      </c>
      <c r="C52" s="584" t="s">
        <v>1512</v>
      </c>
      <c r="D52" s="584" t="s">
        <v>1513</v>
      </c>
      <c r="E52" s="586">
        <v>44723</v>
      </c>
      <c r="F52" s="584" t="s">
        <v>116</v>
      </c>
      <c r="G52" s="592">
        <v>44736</v>
      </c>
      <c r="H52" s="584" t="s">
        <v>1546</v>
      </c>
      <c r="I52" s="598" t="s">
        <v>1672</v>
      </c>
      <c r="J52" s="588" t="s">
        <v>284</v>
      </c>
      <c r="K52" s="22" t="s">
        <v>149</v>
      </c>
      <c r="L52" s="42" t="s">
        <v>1484</v>
      </c>
      <c r="M52" s="584" t="s">
        <v>1073</v>
      </c>
      <c r="N52" s="584" t="s">
        <v>66</v>
      </c>
      <c r="O52" s="584" t="s">
        <v>58</v>
      </c>
      <c r="P52" s="591" t="s">
        <v>1673</v>
      </c>
      <c r="Q52" s="584" t="s">
        <v>1653</v>
      </c>
      <c r="R52" s="584" t="s">
        <v>1517</v>
      </c>
      <c r="S52" s="126" t="s">
        <v>1674</v>
      </c>
      <c r="T52" s="126" t="s">
        <v>1617</v>
      </c>
      <c r="U52" s="22" t="s">
        <v>149</v>
      </c>
      <c r="V52" s="42" t="s">
        <v>1484</v>
      </c>
    </row>
    <row r="53" spans="1:22" ht="26.45" customHeight="1">
      <c r="A53" s="584">
        <f t="shared" si="0"/>
        <v>51</v>
      </c>
      <c r="B53" s="584">
        <v>2022</v>
      </c>
      <c r="C53" s="584" t="s">
        <v>1512</v>
      </c>
      <c r="D53" s="584" t="s">
        <v>1513</v>
      </c>
      <c r="E53" s="586">
        <v>44723</v>
      </c>
      <c r="F53" s="584" t="s">
        <v>116</v>
      </c>
      <c r="G53" s="592">
        <v>44738</v>
      </c>
      <c r="H53" s="584" t="s">
        <v>1514</v>
      </c>
      <c r="I53" s="598" t="s">
        <v>1675</v>
      </c>
      <c r="J53" s="588" t="s">
        <v>1097</v>
      </c>
      <c r="K53" s="22" t="s">
        <v>1556</v>
      </c>
      <c r="L53" s="42" t="s">
        <v>146</v>
      </c>
      <c r="M53" s="584" t="s">
        <v>1096</v>
      </c>
      <c r="N53" s="584" t="s">
        <v>64</v>
      </c>
      <c r="O53" s="584" t="s">
        <v>57</v>
      </c>
      <c r="P53" s="591" t="s">
        <v>1676</v>
      </c>
      <c r="Q53" s="584" t="s">
        <v>1544</v>
      </c>
      <c r="R53" s="584" t="s">
        <v>1544</v>
      </c>
      <c r="S53" s="126" t="s">
        <v>1518</v>
      </c>
      <c r="T53" s="126" t="s">
        <v>1523</v>
      </c>
      <c r="U53" s="22" t="s">
        <v>1556</v>
      </c>
      <c r="V53" s="42" t="s">
        <v>146</v>
      </c>
    </row>
    <row r="54" spans="1:22" ht="26.45" customHeight="1">
      <c r="A54" s="584">
        <f t="shared" si="0"/>
        <v>52</v>
      </c>
      <c r="B54" s="584">
        <v>2022</v>
      </c>
      <c r="C54" s="584" t="s">
        <v>1512</v>
      </c>
      <c r="D54" s="584" t="s">
        <v>1513</v>
      </c>
      <c r="E54" s="586">
        <v>44753</v>
      </c>
      <c r="F54" s="584" t="s">
        <v>8</v>
      </c>
      <c r="G54" s="592">
        <v>44749</v>
      </c>
      <c r="H54" s="584" t="s">
        <v>1534</v>
      </c>
      <c r="I54" s="598" t="s">
        <v>1677</v>
      </c>
      <c r="J54" s="588" t="s">
        <v>1115</v>
      </c>
      <c r="K54" s="22" t="s">
        <v>155</v>
      </c>
      <c r="L54" s="42" t="s">
        <v>155</v>
      </c>
      <c r="M54" s="584" t="s">
        <v>1114</v>
      </c>
      <c r="N54" s="584" t="s">
        <v>34</v>
      </c>
      <c r="O54" s="584" t="s">
        <v>58</v>
      </c>
      <c r="P54" s="591" t="s">
        <v>1678</v>
      </c>
      <c r="Q54" s="584" t="s">
        <v>1616</v>
      </c>
      <c r="R54" s="584" t="s">
        <v>1616</v>
      </c>
      <c r="S54" s="126" t="s">
        <v>1679</v>
      </c>
      <c r="T54" s="126" t="s">
        <v>1680</v>
      </c>
      <c r="U54" s="22" t="s">
        <v>155</v>
      </c>
      <c r="V54" s="42" t="s">
        <v>155</v>
      </c>
    </row>
    <row r="55" spans="1:22" ht="26.45" customHeight="1">
      <c r="A55" s="584">
        <f t="shared" si="0"/>
        <v>53</v>
      </c>
      <c r="B55" s="584">
        <v>2022</v>
      </c>
      <c r="C55" s="584" t="s">
        <v>1512</v>
      </c>
      <c r="D55" s="584" t="s">
        <v>1513</v>
      </c>
      <c r="E55" s="586">
        <v>44753</v>
      </c>
      <c r="F55" s="584" t="s">
        <v>8</v>
      </c>
      <c r="G55" s="592">
        <v>44749</v>
      </c>
      <c r="H55" s="584" t="s">
        <v>1534</v>
      </c>
      <c r="I55" s="598" t="s">
        <v>1681</v>
      </c>
      <c r="J55" s="588" t="s">
        <v>1682</v>
      </c>
      <c r="K55" s="22" t="s">
        <v>149</v>
      </c>
      <c r="L55" s="42" t="s">
        <v>1484</v>
      </c>
      <c r="M55" s="584" t="s">
        <v>1141</v>
      </c>
      <c r="N55" s="584" t="s">
        <v>64</v>
      </c>
      <c r="O55" s="584" t="s">
        <v>57</v>
      </c>
      <c r="P55" s="591" t="s">
        <v>1683</v>
      </c>
      <c r="Q55" s="584" t="s">
        <v>1517</v>
      </c>
      <c r="R55" s="584" t="s">
        <v>1517</v>
      </c>
      <c r="S55" s="126" t="s">
        <v>1518</v>
      </c>
      <c r="T55" s="126" t="s">
        <v>1537</v>
      </c>
      <c r="U55" s="22" t="s">
        <v>149</v>
      </c>
      <c r="V55" s="42" t="s">
        <v>1484</v>
      </c>
    </row>
    <row r="56" spans="1:22" ht="26.45" customHeight="1">
      <c r="A56" s="584">
        <f t="shared" si="0"/>
        <v>54</v>
      </c>
      <c r="B56" s="584">
        <v>2022</v>
      </c>
      <c r="C56" s="584" t="s">
        <v>1512</v>
      </c>
      <c r="D56" s="584" t="s">
        <v>1513</v>
      </c>
      <c r="E56" s="586">
        <v>44753</v>
      </c>
      <c r="F56" s="584" t="s">
        <v>8</v>
      </c>
      <c r="G56" s="592">
        <v>44755</v>
      </c>
      <c r="H56" s="584" t="s">
        <v>1581</v>
      </c>
      <c r="I56" s="598" t="s">
        <v>1684</v>
      </c>
      <c r="J56" s="599" t="s">
        <v>1685</v>
      </c>
      <c r="K56" s="22" t="s">
        <v>149</v>
      </c>
      <c r="L56" s="42" t="s">
        <v>1484</v>
      </c>
      <c r="M56" s="584" t="s">
        <v>1157</v>
      </c>
      <c r="N56" s="584" t="s">
        <v>64</v>
      </c>
      <c r="O56" s="584" t="s">
        <v>58</v>
      </c>
      <c r="P56" s="591" t="s">
        <v>1686</v>
      </c>
      <c r="Q56" s="584" t="s">
        <v>1517</v>
      </c>
      <c r="R56" s="584" t="s">
        <v>1517</v>
      </c>
      <c r="S56" s="126" t="s">
        <v>1518</v>
      </c>
      <c r="T56" s="126" t="s">
        <v>1561</v>
      </c>
      <c r="U56" s="22" t="s">
        <v>149</v>
      </c>
      <c r="V56" s="42" t="s">
        <v>1484</v>
      </c>
    </row>
    <row r="57" spans="1:22" ht="26.45" customHeight="1">
      <c r="A57" s="584">
        <f t="shared" si="0"/>
        <v>55</v>
      </c>
      <c r="B57" s="584">
        <v>2022</v>
      </c>
      <c r="C57" s="584" t="s">
        <v>1512</v>
      </c>
      <c r="D57" s="584" t="s">
        <v>1513</v>
      </c>
      <c r="E57" s="586">
        <v>44753</v>
      </c>
      <c r="F57" s="584" t="s">
        <v>8</v>
      </c>
      <c r="G57" s="592">
        <v>44758</v>
      </c>
      <c r="H57" s="584" t="s">
        <v>1520</v>
      </c>
      <c r="I57" s="598" t="s">
        <v>1687</v>
      </c>
      <c r="J57" s="599" t="s">
        <v>1174</v>
      </c>
      <c r="K57" s="22" t="s">
        <v>147</v>
      </c>
      <c r="L57" s="42" t="s">
        <v>1484</v>
      </c>
      <c r="M57" s="584" t="s">
        <v>1173</v>
      </c>
      <c r="N57" s="584" t="s">
        <v>34</v>
      </c>
      <c r="O57" s="584" t="s">
        <v>57</v>
      </c>
      <c r="P57" s="591" t="s">
        <v>1688</v>
      </c>
      <c r="Q57" s="584" t="s">
        <v>1517</v>
      </c>
      <c r="R57" s="584" t="s">
        <v>1517</v>
      </c>
      <c r="S57" s="126" t="s">
        <v>1518</v>
      </c>
      <c r="T57" s="126" t="s">
        <v>1561</v>
      </c>
      <c r="U57" s="22" t="s">
        <v>147</v>
      </c>
      <c r="V57" s="42" t="s">
        <v>1484</v>
      </c>
    </row>
    <row r="58" spans="1:22" ht="26.45" customHeight="1">
      <c r="A58" s="584">
        <f t="shared" si="0"/>
        <v>56</v>
      </c>
      <c r="B58" s="584">
        <v>2022</v>
      </c>
      <c r="C58" s="584" t="s">
        <v>1512</v>
      </c>
      <c r="D58" s="584" t="s">
        <v>1513</v>
      </c>
      <c r="E58" s="586">
        <v>44753</v>
      </c>
      <c r="F58" s="584" t="s">
        <v>8</v>
      </c>
      <c r="G58" s="592">
        <v>44763</v>
      </c>
      <c r="H58" s="584" t="s">
        <v>1534</v>
      </c>
      <c r="I58" s="598" t="s">
        <v>1607</v>
      </c>
      <c r="J58" s="599" t="s">
        <v>1207</v>
      </c>
      <c r="K58" s="22" t="s">
        <v>1557</v>
      </c>
      <c r="L58" s="42" t="s">
        <v>1484</v>
      </c>
      <c r="M58" s="584" t="s">
        <v>1206</v>
      </c>
      <c r="N58" s="584" t="s">
        <v>64</v>
      </c>
      <c r="O58" s="584" t="s">
        <v>57</v>
      </c>
      <c r="P58" s="600" t="s">
        <v>1689</v>
      </c>
      <c r="Q58" s="584" t="s">
        <v>1517</v>
      </c>
      <c r="R58" s="584" t="s">
        <v>1517</v>
      </c>
      <c r="S58" s="126" t="s">
        <v>1518</v>
      </c>
      <c r="T58" s="126" t="s">
        <v>1561</v>
      </c>
      <c r="U58" s="22" t="s">
        <v>1557</v>
      </c>
      <c r="V58" s="42" t="s">
        <v>1484</v>
      </c>
    </row>
    <row r="59" spans="1:22" ht="26.45" customHeight="1">
      <c r="A59" s="584">
        <f t="shared" si="0"/>
        <v>57</v>
      </c>
      <c r="B59" s="584">
        <v>2022</v>
      </c>
      <c r="C59" s="584" t="s">
        <v>1512</v>
      </c>
      <c r="D59" s="584" t="s">
        <v>1513</v>
      </c>
      <c r="E59" s="586">
        <v>44753</v>
      </c>
      <c r="F59" s="584" t="s">
        <v>8</v>
      </c>
      <c r="G59" s="601">
        <v>44764</v>
      </c>
      <c r="H59" s="584" t="s">
        <v>1546</v>
      </c>
      <c r="I59" s="598" t="s">
        <v>1690</v>
      </c>
      <c r="J59" s="599" t="s">
        <v>1691</v>
      </c>
      <c r="K59" s="22" t="s">
        <v>149</v>
      </c>
      <c r="L59" s="42" t="s">
        <v>1484</v>
      </c>
      <c r="M59" s="584" t="s">
        <v>1219</v>
      </c>
      <c r="N59" s="584" t="s">
        <v>67</v>
      </c>
      <c r="O59" s="584" t="s">
        <v>58</v>
      </c>
      <c r="P59" s="600" t="s">
        <v>1692</v>
      </c>
      <c r="Q59" s="584" t="s">
        <v>1517</v>
      </c>
      <c r="R59" s="584" t="s">
        <v>1517</v>
      </c>
      <c r="S59" s="126" t="s">
        <v>1518</v>
      </c>
      <c r="T59" s="126" t="s">
        <v>1519</v>
      </c>
      <c r="U59" s="22" t="s">
        <v>149</v>
      </c>
      <c r="V59" s="42" t="s">
        <v>1484</v>
      </c>
    </row>
    <row r="60" spans="1:22" ht="26.45" customHeight="1">
      <c r="A60" s="584">
        <f t="shared" si="0"/>
        <v>58</v>
      </c>
      <c r="B60" s="584">
        <v>2022</v>
      </c>
      <c r="C60" s="584" t="s">
        <v>1512</v>
      </c>
      <c r="D60" s="584" t="s">
        <v>1513</v>
      </c>
      <c r="E60" s="586">
        <v>44753</v>
      </c>
      <c r="F60" s="584" t="s">
        <v>8</v>
      </c>
      <c r="G60" s="592">
        <v>44770</v>
      </c>
      <c r="H60" s="584" t="s">
        <v>1534</v>
      </c>
      <c r="I60" s="598" t="s">
        <v>1693</v>
      </c>
      <c r="J60" s="588" t="s">
        <v>1235</v>
      </c>
      <c r="K60" s="22" t="s">
        <v>1558</v>
      </c>
      <c r="L60" s="42" t="s">
        <v>1484</v>
      </c>
      <c r="M60" s="584" t="s">
        <v>1234</v>
      </c>
      <c r="N60" s="584" t="s">
        <v>66</v>
      </c>
      <c r="O60" s="584" t="s">
        <v>58</v>
      </c>
      <c r="P60" s="591" t="s">
        <v>1694</v>
      </c>
      <c r="Q60" s="584" t="s">
        <v>1695</v>
      </c>
      <c r="R60" s="584" t="s">
        <v>1517</v>
      </c>
      <c r="S60" s="126" t="s">
        <v>1696</v>
      </c>
      <c r="T60" s="126" t="s">
        <v>1697</v>
      </c>
      <c r="U60" s="22" t="s">
        <v>1558</v>
      </c>
      <c r="V60" s="42" t="s">
        <v>1484</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tabColor theme="9" tint="0.79998168889431442"/>
  </sheetPr>
  <dimension ref="A1:AR75"/>
  <sheetViews>
    <sheetView showGridLines="0" zoomScale="59" zoomScaleNormal="59" workbookViewId="0">
      <pane ySplit="1" topLeftCell="A2" activePane="bottomLeft" state="frozen"/>
      <selection pane="bottomLeft" activeCell="J7" sqref="J7"/>
      <selection activeCell="W58" sqref="W58"/>
    </sheetView>
  </sheetViews>
  <sheetFormatPr defaultColWidth="8.7109375" defaultRowHeight="14.1"/>
  <cols>
    <col min="1" max="1" width="6.85546875" style="30" customWidth="1"/>
    <col min="2" max="2" width="13.5703125" style="30" customWidth="1"/>
    <col min="3" max="3" width="13.140625" style="30" customWidth="1"/>
    <col min="4" max="4" width="16" style="138" customWidth="1"/>
    <col min="5" max="6" width="15.28515625" style="529" customWidth="1"/>
    <col min="7" max="7" width="16.42578125" style="529" customWidth="1"/>
    <col min="8" max="8" width="11.140625" style="138" customWidth="1"/>
    <col min="9" max="9" width="15.140625" style="138" customWidth="1"/>
    <col min="10" max="10" width="40.85546875" style="529" bestFit="1" customWidth="1"/>
    <col min="11" max="11" width="22.140625" style="529" customWidth="1"/>
    <col min="12" max="12" width="22.28515625" style="971" bestFit="1" customWidth="1"/>
    <col min="13" max="13" width="26.42578125" style="971" bestFit="1" customWidth="1"/>
    <col min="14" max="14" width="15.5703125" style="971" customWidth="1"/>
    <col min="15" max="15" width="81.42578125" style="971" customWidth="1"/>
    <col min="16" max="16" width="26.42578125" style="971" customWidth="1"/>
    <col min="17" max="17" width="74.85546875" style="1104" customWidth="1"/>
    <col min="18" max="18" width="30.28515625" style="138" customWidth="1"/>
    <col min="19" max="19" width="18.5703125" style="138" customWidth="1"/>
    <col min="20" max="20" width="15" style="138" customWidth="1"/>
    <col min="21" max="21" width="22.140625" style="138" customWidth="1"/>
    <col min="22" max="22" width="20.28515625" style="138" customWidth="1"/>
    <col min="23" max="23" width="14.7109375" style="138" customWidth="1"/>
    <col min="24" max="24" width="27.7109375" style="529" customWidth="1"/>
    <col min="25" max="25" width="22.140625" style="519" customWidth="1"/>
    <col min="26" max="26" width="30.5703125" style="30" customWidth="1"/>
    <col min="27" max="27" width="25.5703125" style="30" customWidth="1"/>
    <col min="28" max="28" width="22.7109375" style="30" customWidth="1"/>
    <col min="29" max="29" width="18.140625" style="30" customWidth="1"/>
    <col min="30" max="30" width="15" style="30" customWidth="1"/>
    <col min="31" max="31" width="35.42578125" style="30" customWidth="1"/>
    <col min="32" max="32" width="36" style="138" customWidth="1"/>
    <col min="33" max="33" width="19.85546875" style="138" customWidth="1"/>
    <col min="34" max="34" width="26.7109375" style="30" customWidth="1"/>
    <col min="35" max="35" width="25.85546875" style="30" customWidth="1"/>
    <col min="36" max="36" width="16.7109375" style="30" customWidth="1"/>
    <col min="37" max="37" width="21" style="30" customWidth="1"/>
    <col min="38" max="38" width="25.42578125" style="30" customWidth="1"/>
    <col min="39" max="39" width="24.140625" style="30" customWidth="1"/>
    <col min="40" max="40" width="29.7109375" style="30" customWidth="1"/>
    <col min="41" max="41" width="126.5703125" style="30" bestFit="1" customWidth="1"/>
    <col min="42" max="42" width="86.140625" style="30" customWidth="1"/>
    <col min="43" max="44" width="8.7109375" style="30" customWidth="1"/>
    <col min="45" max="16384" width="8.7109375" style="30"/>
  </cols>
  <sheetData>
    <row r="1" spans="1:42" s="528" customFormat="1" ht="60" customHeight="1">
      <c r="A1" s="994" t="s">
        <v>1439</v>
      </c>
      <c r="B1" s="994" t="s">
        <v>1497</v>
      </c>
      <c r="C1" s="994" t="s">
        <v>1498</v>
      </c>
      <c r="D1" s="995" t="s">
        <v>1499</v>
      </c>
      <c r="E1" s="996" t="s">
        <v>1457</v>
      </c>
      <c r="F1" s="996" t="s">
        <v>1500</v>
      </c>
      <c r="G1" s="996" t="s">
        <v>1501</v>
      </c>
      <c r="H1" s="996" t="s">
        <v>1502</v>
      </c>
      <c r="I1" s="996" t="s">
        <v>1503</v>
      </c>
      <c r="J1" s="997" t="s">
        <v>1698</v>
      </c>
      <c r="K1" s="998" t="s">
        <v>1699</v>
      </c>
      <c r="L1" s="998" t="s">
        <v>1700</v>
      </c>
      <c r="M1" s="998" t="s">
        <v>1701</v>
      </c>
      <c r="N1" s="998" t="s">
        <v>1702</v>
      </c>
      <c r="O1" s="998" t="s">
        <v>1703</v>
      </c>
      <c r="P1" s="998" t="s">
        <v>1704</v>
      </c>
      <c r="Q1" s="1103" t="s">
        <v>1705</v>
      </c>
      <c r="R1" s="995" t="s">
        <v>1505</v>
      </c>
      <c r="S1" s="992" t="s">
        <v>1506</v>
      </c>
      <c r="T1" s="992" t="s">
        <v>1706</v>
      </c>
      <c r="U1" s="995" t="s">
        <v>1508</v>
      </c>
      <c r="V1" s="995" t="s">
        <v>1509</v>
      </c>
      <c r="W1" s="995" t="s">
        <v>1707</v>
      </c>
      <c r="X1" s="1148" t="s">
        <v>1708</v>
      </c>
      <c r="Y1" s="995" t="s">
        <v>1709</v>
      </c>
      <c r="Z1" s="995" t="s">
        <v>1710</v>
      </c>
      <c r="AA1" s="995" t="s">
        <v>1711</v>
      </c>
      <c r="AB1" s="995" t="s">
        <v>1712</v>
      </c>
      <c r="AC1" s="995" t="s">
        <v>1713</v>
      </c>
      <c r="AD1" s="995" t="s">
        <v>1714</v>
      </c>
      <c r="AE1" s="995" t="s">
        <v>1715</v>
      </c>
      <c r="AF1" s="995" t="s">
        <v>1716</v>
      </c>
      <c r="AG1" s="995" t="s">
        <v>1717</v>
      </c>
      <c r="AH1" s="995" t="s">
        <v>1718</v>
      </c>
      <c r="AI1" s="995" t="s">
        <v>1719</v>
      </c>
      <c r="AJ1" s="995" t="s">
        <v>1720</v>
      </c>
      <c r="AK1" s="995" t="s">
        <v>1721</v>
      </c>
      <c r="AL1" s="995" t="s">
        <v>1722</v>
      </c>
      <c r="AM1" s="995" t="s">
        <v>1723</v>
      </c>
      <c r="AN1" s="995" t="s">
        <v>1724</v>
      </c>
      <c r="AO1" s="995" t="s">
        <v>1725</v>
      </c>
      <c r="AP1" s="995" t="s">
        <v>1726</v>
      </c>
    </row>
    <row r="2" spans="1:42" s="528" customFormat="1" ht="30" customHeight="1">
      <c r="A2" s="628">
        <v>1</v>
      </c>
      <c r="B2" s="629">
        <v>2022</v>
      </c>
      <c r="C2" s="628" t="s">
        <v>1512</v>
      </c>
      <c r="D2" s="628" t="s">
        <v>1513</v>
      </c>
      <c r="E2" s="630">
        <v>44562</v>
      </c>
      <c r="F2" s="630" t="s">
        <v>2</v>
      </c>
      <c r="G2" s="631">
        <v>44563</v>
      </c>
      <c r="H2" s="632" t="s">
        <v>1514</v>
      </c>
      <c r="I2" s="628" t="s">
        <v>1515</v>
      </c>
      <c r="J2" s="633" t="s">
        <v>206</v>
      </c>
      <c r="K2" s="989" t="s">
        <v>1484</v>
      </c>
      <c r="L2" s="989" t="s">
        <v>149</v>
      </c>
      <c r="M2" s="989" t="s">
        <v>1727</v>
      </c>
      <c r="N2" s="989" t="s">
        <v>67</v>
      </c>
      <c r="O2" s="993" t="s">
        <v>1516</v>
      </c>
      <c r="P2" s="989" t="s">
        <v>1728</v>
      </c>
      <c r="Q2" s="993" t="s">
        <v>1729</v>
      </c>
      <c r="R2" s="628" t="s">
        <v>204</v>
      </c>
      <c r="S2" s="628" t="s">
        <v>67</v>
      </c>
      <c r="T2" s="628" t="s">
        <v>58</v>
      </c>
      <c r="U2" s="628" t="s">
        <v>1517</v>
      </c>
      <c r="V2" s="628" t="s">
        <v>1517</v>
      </c>
      <c r="W2" s="628" t="s">
        <v>1730</v>
      </c>
      <c r="X2" s="633" t="s">
        <v>207</v>
      </c>
      <c r="Y2" s="633" t="s">
        <v>1731</v>
      </c>
      <c r="Z2" s="634" t="s">
        <v>1732</v>
      </c>
      <c r="AA2" s="634" t="s">
        <v>1733</v>
      </c>
      <c r="AB2" s="634" t="s">
        <v>1734</v>
      </c>
      <c r="AC2" s="634" t="s">
        <v>1735</v>
      </c>
      <c r="AD2" s="634" t="s">
        <v>1736</v>
      </c>
      <c r="AE2" s="634" t="s">
        <v>1737</v>
      </c>
      <c r="AF2" s="631">
        <v>44591</v>
      </c>
      <c r="AG2" s="631">
        <v>44591</v>
      </c>
      <c r="AH2" s="634" t="s">
        <v>1738</v>
      </c>
      <c r="AI2" s="634" t="s">
        <v>1739</v>
      </c>
      <c r="AJ2" s="634" t="s">
        <v>1740</v>
      </c>
      <c r="AK2" s="634" t="s">
        <v>1741</v>
      </c>
      <c r="AL2" s="634" t="s">
        <v>27</v>
      </c>
      <c r="AM2" s="634" t="s">
        <v>78</v>
      </c>
      <c r="AN2" s="634" t="s">
        <v>72</v>
      </c>
      <c r="AO2" s="634" t="s">
        <v>1742</v>
      </c>
      <c r="AP2" s="634" t="s">
        <v>1743</v>
      </c>
    </row>
    <row r="3" spans="1:42" s="528" customFormat="1" ht="30" customHeight="1">
      <c r="A3" s="129">
        <f>A2+1</f>
        <v>2</v>
      </c>
      <c r="B3" s="635">
        <v>2022</v>
      </c>
      <c r="C3" s="129" t="s">
        <v>1512</v>
      </c>
      <c r="D3" s="129" t="s">
        <v>1513</v>
      </c>
      <c r="E3" s="636">
        <v>44562</v>
      </c>
      <c r="F3" s="636" t="s">
        <v>2</v>
      </c>
      <c r="G3" s="637">
        <v>44569</v>
      </c>
      <c r="H3" s="632" t="s">
        <v>1520</v>
      </c>
      <c r="I3" s="129" t="s">
        <v>1521</v>
      </c>
      <c r="J3" s="639" t="s">
        <v>221</v>
      </c>
      <c r="K3" s="972" t="s">
        <v>1484</v>
      </c>
      <c r="L3" s="972" t="s">
        <v>1489</v>
      </c>
      <c r="M3" s="972" t="s">
        <v>221</v>
      </c>
      <c r="N3" s="972" t="s">
        <v>64</v>
      </c>
      <c r="O3" s="973" t="s">
        <v>1522</v>
      </c>
      <c r="P3" s="972" t="s">
        <v>1744</v>
      </c>
      <c r="Q3" s="973" t="s">
        <v>1745</v>
      </c>
      <c r="R3" s="129" t="s">
        <v>219</v>
      </c>
      <c r="S3" s="129" t="s">
        <v>64</v>
      </c>
      <c r="T3" s="129" t="s">
        <v>58</v>
      </c>
      <c r="U3" s="129" t="s">
        <v>1517</v>
      </c>
      <c r="V3" s="129" t="s">
        <v>1517</v>
      </c>
      <c r="W3" s="129" t="s">
        <v>1730</v>
      </c>
      <c r="X3" s="638" t="s">
        <v>222</v>
      </c>
      <c r="Y3" s="638" t="s">
        <v>1746</v>
      </c>
      <c r="Z3" s="639" t="s">
        <v>1732</v>
      </c>
      <c r="AA3" s="639" t="s">
        <v>1747</v>
      </c>
      <c r="AB3" s="639" t="s">
        <v>1748</v>
      </c>
      <c r="AC3" s="639" t="s">
        <v>1749</v>
      </c>
      <c r="AD3" s="639" t="s">
        <v>1750</v>
      </c>
      <c r="AE3" s="639" t="s">
        <v>1737</v>
      </c>
      <c r="AF3" s="637">
        <v>44594</v>
      </c>
      <c r="AG3" s="637">
        <v>44594</v>
      </c>
      <c r="AH3" s="638" t="s">
        <v>1751</v>
      </c>
      <c r="AI3" s="638" t="s">
        <v>1752</v>
      </c>
      <c r="AJ3" s="638" t="s">
        <v>1740</v>
      </c>
      <c r="AK3" s="638" t="s">
        <v>1753</v>
      </c>
      <c r="AL3" s="638" t="s">
        <v>27</v>
      </c>
      <c r="AM3" s="639" t="s">
        <v>76</v>
      </c>
      <c r="AN3" s="639" t="s">
        <v>74</v>
      </c>
      <c r="AO3" s="639" t="s">
        <v>1754</v>
      </c>
      <c r="AP3" s="639" t="s">
        <v>1755</v>
      </c>
    </row>
    <row r="4" spans="1:42" s="528" customFormat="1" ht="30" customHeight="1">
      <c r="A4" s="129">
        <f t="shared" ref="A4:A67" si="0">A3+1</f>
        <v>3</v>
      </c>
      <c r="B4" s="635">
        <v>2022</v>
      </c>
      <c r="C4" s="129" t="s">
        <v>1512</v>
      </c>
      <c r="D4" s="129" t="s">
        <v>1513</v>
      </c>
      <c r="E4" s="636">
        <v>44562</v>
      </c>
      <c r="F4" s="636" t="s">
        <v>2</v>
      </c>
      <c r="G4" s="637">
        <v>44570</v>
      </c>
      <c r="H4" s="632" t="s">
        <v>1514</v>
      </c>
      <c r="I4" s="129" t="s">
        <v>1524</v>
      </c>
      <c r="J4" s="639" t="s">
        <v>239</v>
      </c>
      <c r="K4" s="972" t="s">
        <v>1484</v>
      </c>
      <c r="L4" s="972" t="s">
        <v>1756</v>
      </c>
      <c r="M4" s="972" t="s">
        <v>1324</v>
      </c>
      <c r="N4" s="972" t="s">
        <v>66</v>
      </c>
      <c r="O4" s="973" t="s">
        <v>1525</v>
      </c>
      <c r="P4" s="972" t="s">
        <v>1697</v>
      </c>
      <c r="Q4" s="973" t="s">
        <v>1757</v>
      </c>
      <c r="R4" s="129" t="s">
        <v>237</v>
      </c>
      <c r="S4" s="640" t="s">
        <v>66</v>
      </c>
      <c r="T4" s="129" t="s">
        <v>58</v>
      </c>
      <c r="U4" s="129" t="s">
        <v>1526</v>
      </c>
      <c r="V4" s="129" t="s">
        <v>1517</v>
      </c>
      <c r="W4" s="129" t="s">
        <v>1758</v>
      </c>
      <c r="X4" s="638" t="s">
        <v>240</v>
      </c>
      <c r="Y4" s="638" t="s">
        <v>1759</v>
      </c>
      <c r="Z4" s="639" t="s">
        <v>1760</v>
      </c>
      <c r="AA4" s="639" t="s">
        <v>1733</v>
      </c>
      <c r="AB4" s="639" t="s">
        <v>1734</v>
      </c>
      <c r="AC4" s="639" t="s">
        <v>1761</v>
      </c>
      <c r="AD4" s="639" t="s">
        <v>1750</v>
      </c>
      <c r="AE4" s="639" t="s">
        <v>1737</v>
      </c>
      <c r="AF4" s="637">
        <v>44575</v>
      </c>
      <c r="AG4" s="637">
        <v>44575</v>
      </c>
      <c r="AH4" s="638" t="s">
        <v>1762</v>
      </c>
      <c r="AI4" s="638" t="s">
        <v>944</v>
      </c>
      <c r="AJ4" s="638" t="s">
        <v>1740</v>
      </c>
      <c r="AK4" s="638" t="s">
        <v>1763</v>
      </c>
      <c r="AL4" s="638" t="s">
        <v>27</v>
      </c>
      <c r="AM4" s="639" t="s">
        <v>76</v>
      </c>
      <c r="AN4" s="639" t="s">
        <v>74</v>
      </c>
      <c r="AO4" s="639" t="s">
        <v>1764</v>
      </c>
      <c r="AP4" s="639" t="s">
        <v>1765</v>
      </c>
    </row>
    <row r="5" spans="1:42" s="528" customFormat="1" ht="30" customHeight="1">
      <c r="A5" s="129">
        <f t="shared" si="0"/>
        <v>4</v>
      </c>
      <c r="B5" s="635">
        <v>2022</v>
      </c>
      <c r="C5" s="129" t="s">
        <v>1512</v>
      </c>
      <c r="D5" s="129" t="s">
        <v>1513</v>
      </c>
      <c r="E5" s="636">
        <v>44562</v>
      </c>
      <c r="F5" s="636" t="s">
        <v>2</v>
      </c>
      <c r="G5" s="637">
        <v>44571</v>
      </c>
      <c r="H5" s="632" t="s">
        <v>1529</v>
      </c>
      <c r="I5" s="129" t="s">
        <v>1530</v>
      </c>
      <c r="J5" s="639" t="s">
        <v>254</v>
      </c>
      <c r="K5" s="972" t="s">
        <v>1484</v>
      </c>
      <c r="L5" s="972" t="s">
        <v>1756</v>
      </c>
      <c r="M5" s="972" t="s">
        <v>1766</v>
      </c>
      <c r="N5" s="972" t="s">
        <v>67</v>
      </c>
      <c r="O5" s="973" t="s">
        <v>1531</v>
      </c>
      <c r="P5" s="972" t="s">
        <v>1728</v>
      </c>
      <c r="Q5" s="973" t="s">
        <v>1745</v>
      </c>
      <c r="R5" s="129" t="s">
        <v>252</v>
      </c>
      <c r="S5" s="628" t="s">
        <v>67</v>
      </c>
      <c r="T5" s="129" t="s">
        <v>58</v>
      </c>
      <c r="U5" s="129" t="s">
        <v>1517</v>
      </c>
      <c r="V5" s="129" t="s">
        <v>1517</v>
      </c>
      <c r="W5" s="129" t="s">
        <v>1730</v>
      </c>
      <c r="X5" s="638" t="s">
        <v>255</v>
      </c>
      <c r="Y5" s="638" t="s">
        <v>1767</v>
      </c>
      <c r="Z5" s="639" t="s">
        <v>1768</v>
      </c>
      <c r="AA5" s="639" t="s">
        <v>1769</v>
      </c>
      <c r="AB5" s="639" t="s">
        <v>1770</v>
      </c>
      <c r="AC5" s="639" t="s">
        <v>1771</v>
      </c>
      <c r="AD5" s="639" t="s">
        <v>1772</v>
      </c>
      <c r="AE5" s="639" t="s">
        <v>1773</v>
      </c>
      <c r="AF5" s="637" t="s">
        <v>1774</v>
      </c>
      <c r="AG5" s="637" t="s">
        <v>1774</v>
      </c>
      <c r="AH5" s="638" t="s">
        <v>1751</v>
      </c>
      <c r="AI5" s="638" t="s">
        <v>226</v>
      </c>
      <c r="AJ5" s="638" t="s">
        <v>1740</v>
      </c>
      <c r="AK5" s="638" t="s">
        <v>1775</v>
      </c>
      <c r="AL5" s="638" t="s">
        <v>1751</v>
      </c>
      <c r="AM5" s="639" t="s">
        <v>78</v>
      </c>
      <c r="AN5" s="639" t="s">
        <v>72</v>
      </c>
      <c r="AO5" s="639" t="s">
        <v>1776</v>
      </c>
      <c r="AP5" s="639" t="s">
        <v>1777</v>
      </c>
    </row>
    <row r="6" spans="1:42" s="528" customFormat="1" ht="30" customHeight="1">
      <c r="A6" s="129">
        <f t="shared" si="0"/>
        <v>5</v>
      </c>
      <c r="B6" s="635">
        <v>2022</v>
      </c>
      <c r="C6" s="129" t="s">
        <v>1512</v>
      </c>
      <c r="D6" s="129" t="s">
        <v>1513</v>
      </c>
      <c r="E6" s="636">
        <v>44562</v>
      </c>
      <c r="F6" s="636" t="s">
        <v>2</v>
      </c>
      <c r="G6" s="637">
        <v>44574</v>
      </c>
      <c r="H6" s="632" t="s">
        <v>1534</v>
      </c>
      <c r="I6" s="129" t="s">
        <v>1535</v>
      </c>
      <c r="J6" s="638" t="s">
        <v>284</v>
      </c>
      <c r="K6" s="972" t="s">
        <v>1484</v>
      </c>
      <c r="L6" s="972" t="s">
        <v>149</v>
      </c>
      <c r="M6" s="972" t="s">
        <v>1778</v>
      </c>
      <c r="N6" s="972" t="s">
        <v>67</v>
      </c>
      <c r="O6" s="973" t="s">
        <v>1536</v>
      </c>
      <c r="P6" s="972" t="s">
        <v>1779</v>
      </c>
      <c r="Q6" s="973" t="s">
        <v>1745</v>
      </c>
      <c r="R6" s="129" t="s">
        <v>282</v>
      </c>
      <c r="S6" s="628" t="s">
        <v>67</v>
      </c>
      <c r="T6" s="129" t="s">
        <v>57</v>
      </c>
      <c r="U6" s="129" t="s">
        <v>1517</v>
      </c>
      <c r="V6" s="129" t="s">
        <v>1517</v>
      </c>
      <c r="W6" s="129" t="s">
        <v>1758</v>
      </c>
      <c r="X6" s="638" t="s">
        <v>285</v>
      </c>
      <c r="Y6" s="638" t="s">
        <v>1780</v>
      </c>
      <c r="Z6" s="639" t="s">
        <v>1732</v>
      </c>
      <c r="AA6" s="639" t="s">
        <v>1781</v>
      </c>
      <c r="AB6" s="639" t="s">
        <v>1748</v>
      </c>
      <c r="AC6" s="639" t="s">
        <v>1782</v>
      </c>
      <c r="AD6" s="639" t="s">
        <v>1736</v>
      </c>
      <c r="AE6" s="639" t="s">
        <v>1737</v>
      </c>
      <c r="AF6" s="637" t="s">
        <v>1783</v>
      </c>
      <c r="AG6" s="637" t="s">
        <v>1783</v>
      </c>
      <c r="AH6" s="638" t="s">
        <v>1751</v>
      </c>
      <c r="AI6" s="638" t="s">
        <v>1784</v>
      </c>
      <c r="AJ6" s="638" t="s">
        <v>1740</v>
      </c>
      <c r="AK6" s="638" t="s">
        <v>1785</v>
      </c>
      <c r="AL6" s="638" t="s">
        <v>27</v>
      </c>
      <c r="AM6" s="639" t="s">
        <v>76</v>
      </c>
      <c r="AN6" s="639" t="s">
        <v>71</v>
      </c>
      <c r="AO6" s="639" t="s">
        <v>1786</v>
      </c>
      <c r="AP6" s="639" t="s">
        <v>1787</v>
      </c>
    </row>
    <row r="7" spans="1:42" s="528" customFormat="1" ht="30" customHeight="1">
      <c r="A7" s="129">
        <f t="shared" si="0"/>
        <v>6</v>
      </c>
      <c r="B7" s="635">
        <v>2022</v>
      </c>
      <c r="C7" s="129" t="s">
        <v>1512</v>
      </c>
      <c r="D7" s="129" t="s">
        <v>1513</v>
      </c>
      <c r="E7" s="636">
        <v>44562</v>
      </c>
      <c r="F7" s="636" t="s">
        <v>2</v>
      </c>
      <c r="G7" s="637">
        <v>44577</v>
      </c>
      <c r="H7" s="632" t="s">
        <v>1514</v>
      </c>
      <c r="I7" s="129" t="s">
        <v>1538</v>
      </c>
      <c r="J7" s="639" t="s">
        <v>302</v>
      </c>
      <c r="K7" s="972" t="s">
        <v>1484</v>
      </c>
      <c r="L7" s="972" t="s">
        <v>1756</v>
      </c>
      <c r="M7" s="972" t="s">
        <v>679</v>
      </c>
      <c r="N7" s="972" t="s">
        <v>64</v>
      </c>
      <c r="O7" s="973" t="s">
        <v>1539</v>
      </c>
      <c r="P7" s="972" t="s">
        <v>1788</v>
      </c>
      <c r="Q7" s="973" t="s">
        <v>1789</v>
      </c>
      <c r="R7" s="129" t="s">
        <v>300</v>
      </c>
      <c r="S7" s="628" t="s">
        <v>67</v>
      </c>
      <c r="T7" s="129" t="s">
        <v>58</v>
      </c>
      <c r="U7" s="129" t="s">
        <v>1517</v>
      </c>
      <c r="V7" s="129" t="s">
        <v>1517</v>
      </c>
      <c r="W7" s="129" t="s">
        <v>1730</v>
      </c>
      <c r="X7" s="638" t="s">
        <v>303</v>
      </c>
      <c r="Y7" s="638" t="s">
        <v>1790</v>
      </c>
      <c r="Z7" s="639" t="s">
        <v>1732</v>
      </c>
      <c r="AA7" s="639" t="s">
        <v>1791</v>
      </c>
      <c r="AB7" s="639" t="s">
        <v>1734</v>
      </c>
      <c r="AC7" s="639" t="s">
        <v>1792</v>
      </c>
      <c r="AD7" s="639" t="s">
        <v>1750</v>
      </c>
      <c r="AE7" s="639" t="s">
        <v>1737</v>
      </c>
      <c r="AF7" s="637" t="s">
        <v>1783</v>
      </c>
      <c r="AG7" s="637" t="s">
        <v>1783</v>
      </c>
      <c r="AH7" s="638" t="s">
        <v>27</v>
      </c>
      <c r="AI7" s="638" t="s">
        <v>1793</v>
      </c>
      <c r="AJ7" s="638" t="s">
        <v>1740</v>
      </c>
      <c r="AK7" s="638" t="s">
        <v>1781</v>
      </c>
      <c r="AL7" s="638" t="s">
        <v>27</v>
      </c>
      <c r="AM7" s="639" t="s">
        <v>77</v>
      </c>
      <c r="AN7" s="639" t="s">
        <v>75</v>
      </c>
      <c r="AO7" s="639" t="s">
        <v>1794</v>
      </c>
      <c r="AP7" s="639" t="s">
        <v>1795</v>
      </c>
    </row>
    <row r="8" spans="1:42" s="528" customFormat="1" ht="30" customHeight="1">
      <c r="A8" s="129">
        <f t="shared" si="0"/>
        <v>7</v>
      </c>
      <c r="B8" s="635">
        <v>2022</v>
      </c>
      <c r="C8" s="129" t="s">
        <v>1512</v>
      </c>
      <c r="D8" s="129" t="s">
        <v>1541</v>
      </c>
      <c r="E8" s="636">
        <v>44562</v>
      </c>
      <c r="F8" s="636" t="s">
        <v>2</v>
      </c>
      <c r="G8" s="637">
        <v>44581</v>
      </c>
      <c r="H8" s="632" t="s">
        <v>1534</v>
      </c>
      <c r="I8" s="129" t="s">
        <v>1542</v>
      </c>
      <c r="J8" s="639" t="s">
        <v>316</v>
      </c>
      <c r="K8" s="972" t="s">
        <v>1484</v>
      </c>
      <c r="L8" s="972" t="s">
        <v>1489</v>
      </c>
      <c r="M8" s="972" t="s">
        <v>316</v>
      </c>
      <c r="N8" s="972" t="s">
        <v>64</v>
      </c>
      <c r="O8" s="973" t="s">
        <v>1543</v>
      </c>
      <c r="P8" s="972" t="s">
        <v>1744</v>
      </c>
      <c r="Q8" s="973" t="s">
        <v>1745</v>
      </c>
      <c r="R8" s="129" t="s">
        <v>314</v>
      </c>
      <c r="S8" s="129" t="s">
        <v>64</v>
      </c>
      <c r="T8" s="129" t="s">
        <v>58</v>
      </c>
      <c r="U8" s="129" t="s">
        <v>1544</v>
      </c>
      <c r="V8" s="129" t="s">
        <v>1517</v>
      </c>
      <c r="W8" s="129" t="s">
        <v>1730</v>
      </c>
      <c r="X8" s="638" t="s">
        <v>317</v>
      </c>
      <c r="Y8" s="638" t="s">
        <v>1796</v>
      </c>
      <c r="Z8" s="639" t="s">
        <v>1797</v>
      </c>
      <c r="AA8" s="639" t="s">
        <v>1798</v>
      </c>
      <c r="AB8" s="639" t="s">
        <v>1799</v>
      </c>
      <c r="AC8" s="639" t="s">
        <v>1800</v>
      </c>
      <c r="AD8" s="639" t="s">
        <v>1772</v>
      </c>
      <c r="AE8" s="639" t="s">
        <v>1773</v>
      </c>
      <c r="AF8" s="637">
        <v>44586</v>
      </c>
      <c r="AG8" s="637">
        <v>44586</v>
      </c>
      <c r="AH8" s="638" t="s">
        <v>1762</v>
      </c>
      <c r="AI8" s="638" t="s">
        <v>1801</v>
      </c>
      <c r="AJ8" s="638" t="s">
        <v>1740</v>
      </c>
      <c r="AK8" s="638" t="s">
        <v>1802</v>
      </c>
      <c r="AL8" s="638" t="s">
        <v>27</v>
      </c>
      <c r="AM8" s="639" t="s">
        <v>76</v>
      </c>
      <c r="AN8" s="639" t="s">
        <v>71</v>
      </c>
      <c r="AO8" s="639" t="s">
        <v>1803</v>
      </c>
      <c r="AP8" s="639" t="s">
        <v>323</v>
      </c>
    </row>
    <row r="9" spans="1:42" s="528" customFormat="1" ht="30" customHeight="1">
      <c r="A9" s="129">
        <f t="shared" si="0"/>
        <v>8</v>
      </c>
      <c r="B9" s="635">
        <v>2022</v>
      </c>
      <c r="C9" s="129" t="s">
        <v>1512</v>
      </c>
      <c r="D9" s="129" t="s">
        <v>1513</v>
      </c>
      <c r="E9" s="636">
        <v>44562</v>
      </c>
      <c r="F9" s="636" t="s">
        <v>2</v>
      </c>
      <c r="G9" s="637">
        <v>44582</v>
      </c>
      <c r="H9" s="632" t="s">
        <v>1546</v>
      </c>
      <c r="I9" s="129" t="s">
        <v>1547</v>
      </c>
      <c r="J9" s="638" t="s">
        <v>333</v>
      </c>
      <c r="K9" s="972" t="s">
        <v>1484</v>
      </c>
      <c r="L9" s="972" t="s">
        <v>149</v>
      </c>
      <c r="M9" s="972" t="s">
        <v>1804</v>
      </c>
      <c r="N9" s="972" t="s">
        <v>67</v>
      </c>
      <c r="O9" s="973" t="s">
        <v>1548</v>
      </c>
      <c r="P9" s="972" t="s">
        <v>1728</v>
      </c>
      <c r="Q9" s="973" t="s">
        <v>1745</v>
      </c>
      <c r="R9" s="129" t="s">
        <v>332</v>
      </c>
      <c r="S9" s="628" t="s">
        <v>67</v>
      </c>
      <c r="T9" s="129" t="s">
        <v>58</v>
      </c>
      <c r="U9" s="129" t="s">
        <v>1517</v>
      </c>
      <c r="V9" s="129" t="s">
        <v>1517</v>
      </c>
      <c r="W9" s="129" t="s">
        <v>1758</v>
      </c>
      <c r="X9" s="638" t="s">
        <v>334</v>
      </c>
      <c r="Y9" s="638" t="s">
        <v>1805</v>
      </c>
      <c r="Z9" s="639" t="s">
        <v>1732</v>
      </c>
      <c r="AA9" s="639" t="s">
        <v>1806</v>
      </c>
      <c r="AB9" s="639" t="s">
        <v>1748</v>
      </c>
      <c r="AC9" s="639" t="s">
        <v>1807</v>
      </c>
      <c r="AD9" s="639" t="s">
        <v>1736</v>
      </c>
      <c r="AE9" s="639" t="s">
        <v>1737</v>
      </c>
      <c r="AF9" s="637">
        <v>44601</v>
      </c>
      <c r="AG9" s="637">
        <v>44601</v>
      </c>
      <c r="AH9" s="638" t="s">
        <v>1762</v>
      </c>
      <c r="AI9" s="638" t="s">
        <v>1739</v>
      </c>
      <c r="AJ9" s="638" t="s">
        <v>1740</v>
      </c>
      <c r="AK9" s="638" t="s">
        <v>1741</v>
      </c>
      <c r="AL9" s="638" t="s">
        <v>1751</v>
      </c>
      <c r="AM9" s="639" t="s">
        <v>76</v>
      </c>
      <c r="AN9" s="639" t="s">
        <v>71</v>
      </c>
      <c r="AO9" s="639" t="s">
        <v>1786</v>
      </c>
      <c r="AP9" s="639" t="s">
        <v>1808</v>
      </c>
    </row>
    <row r="10" spans="1:42" s="528" customFormat="1" ht="30" customHeight="1">
      <c r="A10" s="129">
        <f t="shared" si="0"/>
        <v>9</v>
      </c>
      <c r="B10" s="635">
        <v>2022</v>
      </c>
      <c r="C10" s="129" t="s">
        <v>1512</v>
      </c>
      <c r="D10" s="129" t="s">
        <v>1513</v>
      </c>
      <c r="E10" s="636">
        <v>44562</v>
      </c>
      <c r="F10" s="636" t="s">
        <v>2</v>
      </c>
      <c r="G10" s="637">
        <v>44583</v>
      </c>
      <c r="H10" s="632" t="s">
        <v>1520</v>
      </c>
      <c r="I10" s="129" t="s">
        <v>1550</v>
      </c>
      <c r="J10" s="638" t="s">
        <v>347</v>
      </c>
      <c r="K10" s="972" t="s">
        <v>1484</v>
      </c>
      <c r="L10" s="972" t="s">
        <v>149</v>
      </c>
      <c r="M10" s="972" t="s">
        <v>1809</v>
      </c>
      <c r="N10" s="972" t="s">
        <v>67</v>
      </c>
      <c r="O10" s="973" t="s">
        <v>1551</v>
      </c>
      <c r="P10" s="972" t="s">
        <v>1779</v>
      </c>
      <c r="Q10" s="973" t="s">
        <v>1810</v>
      </c>
      <c r="R10" s="129" t="s">
        <v>345</v>
      </c>
      <c r="S10" s="628" t="s">
        <v>67</v>
      </c>
      <c r="T10" s="129" t="s">
        <v>57</v>
      </c>
      <c r="U10" s="129" t="s">
        <v>1517</v>
      </c>
      <c r="V10" s="129" t="s">
        <v>1517</v>
      </c>
      <c r="W10" s="129" t="s">
        <v>1758</v>
      </c>
      <c r="X10" s="638" t="s">
        <v>348</v>
      </c>
      <c r="Y10" s="638" t="s">
        <v>1811</v>
      </c>
      <c r="Z10" s="639" t="s">
        <v>1732</v>
      </c>
      <c r="AA10" s="639" t="s">
        <v>1791</v>
      </c>
      <c r="AB10" s="639" t="s">
        <v>1734</v>
      </c>
      <c r="AC10" s="639" t="s">
        <v>1812</v>
      </c>
      <c r="AD10" s="639" t="s">
        <v>1813</v>
      </c>
      <c r="AE10" s="639" t="s">
        <v>1737</v>
      </c>
      <c r="AF10" s="637">
        <v>44567</v>
      </c>
      <c r="AG10" s="637">
        <v>44567</v>
      </c>
      <c r="AH10" s="638" t="s">
        <v>1751</v>
      </c>
      <c r="AI10" s="638" t="s">
        <v>1814</v>
      </c>
      <c r="AJ10" s="638" t="s">
        <v>1740</v>
      </c>
      <c r="AK10" s="638" t="s">
        <v>1815</v>
      </c>
      <c r="AL10" s="638" t="s">
        <v>27</v>
      </c>
      <c r="AM10" s="639" t="s">
        <v>76</v>
      </c>
      <c r="AN10" s="639" t="s">
        <v>74</v>
      </c>
      <c r="AO10" s="639" t="s">
        <v>1816</v>
      </c>
      <c r="AP10" s="639" t="s">
        <v>1817</v>
      </c>
    </row>
    <row r="11" spans="1:42" s="528" customFormat="1" ht="30" customHeight="1">
      <c r="A11" s="129">
        <f t="shared" si="0"/>
        <v>10</v>
      </c>
      <c r="B11" s="635">
        <v>2022</v>
      </c>
      <c r="C11" s="129" t="s">
        <v>1512</v>
      </c>
      <c r="D11" s="129" t="s">
        <v>1513</v>
      </c>
      <c r="E11" s="636">
        <v>44562</v>
      </c>
      <c r="F11" s="636" t="s">
        <v>2</v>
      </c>
      <c r="G11" s="637">
        <v>44588</v>
      </c>
      <c r="H11" s="129" t="s">
        <v>1534</v>
      </c>
      <c r="I11" s="129" t="s">
        <v>1559</v>
      </c>
      <c r="J11" s="639" t="s">
        <v>355</v>
      </c>
      <c r="K11" s="972" t="s">
        <v>1484</v>
      </c>
      <c r="L11" s="972" t="s">
        <v>1489</v>
      </c>
      <c r="M11" s="972" t="s">
        <v>355</v>
      </c>
      <c r="N11" s="972" t="s">
        <v>64</v>
      </c>
      <c r="O11" s="973" t="s">
        <v>1560</v>
      </c>
      <c r="P11" s="972" t="s">
        <v>1818</v>
      </c>
      <c r="Q11" s="973" t="s">
        <v>1745</v>
      </c>
      <c r="R11" s="129" t="s">
        <v>353</v>
      </c>
      <c r="S11" s="129" t="s">
        <v>64</v>
      </c>
      <c r="T11" s="129" t="s">
        <v>57</v>
      </c>
      <c r="U11" s="129" t="s">
        <v>1517</v>
      </c>
      <c r="V11" s="129" t="s">
        <v>1517</v>
      </c>
      <c r="W11" s="129" t="s">
        <v>1819</v>
      </c>
      <c r="X11" s="638" t="s">
        <v>356</v>
      </c>
      <c r="Y11" s="638">
        <v>80002036</v>
      </c>
      <c r="Z11" s="639" t="s">
        <v>1820</v>
      </c>
      <c r="AA11" s="639" t="s">
        <v>1821</v>
      </c>
      <c r="AB11" s="639" t="s">
        <v>1748</v>
      </c>
      <c r="AC11" s="639" t="s">
        <v>1822</v>
      </c>
      <c r="AD11" s="639" t="s">
        <v>1736</v>
      </c>
      <c r="AE11" s="639" t="s">
        <v>1737</v>
      </c>
      <c r="AF11" s="637">
        <v>44581</v>
      </c>
      <c r="AG11" s="637">
        <v>44581</v>
      </c>
      <c r="AH11" s="638" t="s">
        <v>1762</v>
      </c>
      <c r="AI11" s="638" t="s">
        <v>1752</v>
      </c>
      <c r="AJ11" s="638" t="s">
        <v>1740</v>
      </c>
      <c r="AK11" s="638" t="s">
        <v>1753</v>
      </c>
      <c r="AL11" s="638" t="s">
        <v>27</v>
      </c>
      <c r="AM11" s="639" t="s">
        <v>76</v>
      </c>
      <c r="AN11" s="639" t="s">
        <v>71</v>
      </c>
      <c r="AO11" s="639" t="s">
        <v>1823</v>
      </c>
      <c r="AP11" s="639" t="s">
        <v>1824</v>
      </c>
    </row>
    <row r="12" spans="1:42" s="528" customFormat="1" ht="30" customHeight="1">
      <c r="A12" s="129">
        <f t="shared" si="0"/>
        <v>11</v>
      </c>
      <c r="B12" s="635">
        <v>2022</v>
      </c>
      <c r="C12" s="129" t="s">
        <v>1512</v>
      </c>
      <c r="D12" s="129" t="s">
        <v>1513</v>
      </c>
      <c r="E12" s="636">
        <v>44562</v>
      </c>
      <c r="F12" s="636" t="s">
        <v>2</v>
      </c>
      <c r="G12" s="637">
        <v>44588</v>
      </c>
      <c r="H12" s="129" t="s">
        <v>1534</v>
      </c>
      <c r="I12" s="129" t="s">
        <v>1562</v>
      </c>
      <c r="J12" s="639" t="s">
        <v>365</v>
      </c>
      <c r="K12" s="972" t="s">
        <v>1484</v>
      </c>
      <c r="L12" s="972" t="s">
        <v>1756</v>
      </c>
      <c r="M12" s="972" t="s">
        <v>1825</v>
      </c>
      <c r="N12" s="972" t="s">
        <v>64</v>
      </c>
      <c r="O12" s="973" t="s">
        <v>1563</v>
      </c>
      <c r="P12" s="972" t="s">
        <v>1744</v>
      </c>
      <c r="Q12" s="973" t="s">
        <v>1789</v>
      </c>
      <c r="R12" s="129" t="s">
        <v>364</v>
      </c>
      <c r="S12" s="628" t="s">
        <v>67</v>
      </c>
      <c r="T12" s="129" t="s">
        <v>57</v>
      </c>
      <c r="U12" s="129" t="s">
        <v>1517</v>
      </c>
      <c r="V12" s="129" t="s">
        <v>1517</v>
      </c>
      <c r="W12" s="129" t="s">
        <v>1730</v>
      </c>
      <c r="X12" s="638" t="s">
        <v>366</v>
      </c>
      <c r="Y12" s="638">
        <v>80000930</v>
      </c>
      <c r="Z12" s="639" t="s">
        <v>1732</v>
      </c>
      <c r="AA12" s="639" t="s">
        <v>1826</v>
      </c>
      <c r="AB12" s="639" t="s">
        <v>1748</v>
      </c>
      <c r="AC12" s="639" t="s">
        <v>1827</v>
      </c>
      <c r="AD12" s="639" t="s">
        <v>1736</v>
      </c>
      <c r="AE12" s="639" t="s">
        <v>1737</v>
      </c>
      <c r="AF12" s="637">
        <v>44589</v>
      </c>
      <c r="AG12" s="637">
        <v>44589</v>
      </c>
      <c r="AH12" s="638" t="s">
        <v>27</v>
      </c>
      <c r="AI12" s="638" t="s">
        <v>1828</v>
      </c>
      <c r="AJ12" s="638" t="s">
        <v>1740</v>
      </c>
      <c r="AK12" s="638" t="s">
        <v>1829</v>
      </c>
      <c r="AL12" s="638" t="s">
        <v>27</v>
      </c>
      <c r="AM12" s="639" t="s">
        <v>78</v>
      </c>
      <c r="AN12" s="639" t="s">
        <v>72</v>
      </c>
      <c r="AO12" s="639" t="s">
        <v>1794</v>
      </c>
      <c r="AP12" s="639" t="s">
        <v>1830</v>
      </c>
    </row>
    <row r="13" spans="1:42" s="528" customFormat="1" ht="30" customHeight="1">
      <c r="A13" s="129">
        <f t="shared" si="0"/>
        <v>12</v>
      </c>
      <c r="B13" s="129">
        <v>2022</v>
      </c>
      <c r="C13" s="129" t="s">
        <v>1512</v>
      </c>
      <c r="D13" s="129" t="s">
        <v>1513</v>
      </c>
      <c r="E13" s="636">
        <v>44562</v>
      </c>
      <c r="F13" s="636" t="s">
        <v>2</v>
      </c>
      <c r="G13" s="641">
        <v>44592</v>
      </c>
      <c r="H13" s="642" t="s">
        <v>1564</v>
      </c>
      <c r="I13" s="642" t="s">
        <v>1565</v>
      </c>
      <c r="J13" s="643" t="s">
        <v>389</v>
      </c>
      <c r="K13" s="990" t="s">
        <v>1484</v>
      </c>
      <c r="L13" s="972" t="s">
        <v>1756</v>
      </c>
      <c r="M13" s="972" t="s">
        <v>998</v>
      </c>
      <c r="N13" s="972" t="s">
        <v>64</v>
      </c>
      <c r="O13" s="973" t="s">
        <v>1567</v>
      </c>
      <c r="P13" s="972" t="s">
        <v>1818</v>
      </c>
      <c r="Q13" s="973" t="s">
        <v>1831</v>
      </c>
      <c r="R13" s="129" t="s">
        <v>1566</v>
      </c>
      <c r="S13" s="129" t="s">
        <v>64</v>
      </c>
      <c r="T13" s="129" t="s">
        <v>57</v>
      </c>
      <c r="U13" s="129" t="s">
        <v>1517</v>
      </c>
      <c r="V13" s="129" t="s">
        <v>1517</v>
      </c>
      <c r="W13" s="129" t="s">
        <v>1758</v>
      </c>
      <c r="X13" s="638" t="s">
        <v>390</v>
      </c>
      <c r="Y13" s="638">
        <v>80000501</v>
      </c>
      <c r="Z13" s="639" t="s">
        <v>1820</v>
      </c>
      <c r="AA13" s="639" t="s">
        <v>1832</v>
      </c>
      <c r="AB13" s="639" t="s">
        <v>1748</v>
      </c>
      <c r="AC13" s="639" t="s">
        <v>1833</v>
      </c>
      <c r="AD13" s="639" t="s">
        <v>1772</v>
      </c>
      <c r="AE13" s="639" t="s">
        <v>1773</v>
      </c>
      <c r="AF13" s="637">
        <v>44578</v>
      </c>
      <c r="AG13" s="637">
        <v>44578</v>
      </c>
      <c r="AH13" s="638" t="s">
        <v>1762</v>
      </c>
      <c r="AI13" s="638" t="s">
        <v>1834</v>
      </c>
      <c r="AJ13" s="638" t="s">
        <v>1740</v>
      </c>
      <c r="AK13" s="638" t="s">
        <v>1835</v>
      </c>
      <c r="AL13" s="638" t="s">
        <v>1751</v>
      </c>
      <c r="AM13" s="639" t="s">
        <v>76</v>
      </c>
      <c r="AN13" s="639" t="s">
        <v>74</v>
      </c>
      <c r="AO13" s="639" t="s">
        <v>1836</v>
      </c>
      <c r="AP13" s="639" t="s">
        <v>1837</v>
      </c>
    </row>
    <row r="14" spans="1:42" s="528" customFormat="1" ht="30" customHeight="1">
      <c r="A14" s="129">
        <f t="shared" si="0"/>
        <v>13</v>
      </c>
      <c r="B14" s="129">
        <v>2022</v>
      </c>
      <c r="C14" s="129" t="s">
        <v>1512</v>
      </c>
      <c r="D14" s="129" t="s">
        <v>1513</v>
      </c>
      <c r="E14" s="636">
        <v>44594</v>
      </c>
      <c r="F14" s="636" t="s">
        <v>3</v>
      </c>
      <c r="G14" s="641">
        <v>44597</v>
      </c>
      <c r="H14" s="644" t="s">
        <v>1520</v>
      </c>
      <c r="I14" s="129" t="s">
        <v>1568</v>
      </c>
      <c r="J14" s="638" t="s">
        <v>1569</v>
      </c>
      <c r="K14" s="972" t="s">
        <v>1484</v>
      </c>
      <c r="L14" s="972" t="s">
        <v>149</v>
      </c>
      <c r="M14" s="972" t="s">
        <v>405</v>
      </c>
      <c r="N14" s="972" t="s">
        <v>67</v>
      </c>
      <c r="O14" s="973" t="s">
        <v>1570</v>
      </c>
      <c r="P14" s="972" t="s">
        <v>1779</v>
      </c>
      <c r="Q14" s="973" t="s">
        <v>1745</v>
      </c>
      <c r="R14" s="129" t="s">
        <v>404</v>
      </c>
      <c r="S14" s="628" t="s">
        <v>67</v>
      </c>
      <c r="T14" s="129" t="s">
        <v>57</v>
      </c>
      <c r="U14" s="129" t="s">
        <v>1517</v>
      </c>
      <c r="V14" s="129" t="s">
        <v>1517</v>
      </c>
      <c r="W14" s="129" t="s">
        <v>1730</v>
      </c>
      <c r="X14" s="638" t="s">
        <v>406</v>
      </c>
      <c r="Y14" s="638">
        <v>80002252</v>
      </c>
      <c r="Z14" s="639" t="s">
        <v>1820</v>
      </c>
      <c r="AA14" s="645" t="s">
        <v>1838</v>
      </c>
      <c r="AB14" s="639" t="s">
        <v>1748</v>
      </c>
      <c r="AC14" s="129" t="s">
        <v>1749</v>
      </c>
      <c r="AD14" s="646" t="s">
        <v>1750</v>
      </c>
      <c r="AE14" s="639" t="s">
        <v>1737</v>
      </c>
      <c r="AF14" s="637">
        <v>44578</v>
      </c>
      <c r="AG14" s="637">
        <v>44578</v>
      </c>
      <c r="AH14" s="638" t="s">
        <v>1751</v>
      </c>
      <c r="AI14" s="638" t="s">
        <v>1739</v>
      </c>
      <c r="AJ14" s="638" t="s">
        <v>1740</v>
      </c>
      <c r="AK14" s="638" t="s">
        <v>1741</v>
      </c>
      <c r="AL14" s="638" t="s">
        <v>27</v>
      </c>
      <c r="AM14" s="639" t="s">
        <v>76</v>
      </c>
      <c r="AN14" s="639" t="s">
        <v>74</v>
      </c>
      <c r="AO14" s="639" t="s">
        <v>1839</v>
      </c>
      <c r="AP14" s="639" t="s">
        <v>1840</v>
      </c>
    </row>
    <row r="15" spans="1:42" s="528" customFormat="1" ht="30" customHeight="1">
      <c r="A15" s="129">
        <f t="shared" si="0"/>
        <v>14</v>
      </c>
      <c r="B15" s="129">
        <v>2022</v>
      </c>
      <c r="C15" s="129" t="s">
        <v>1512</v>
      </c>
      <c r="D15" s="129" t="s">
        <v>1513</v>
      </c>
      <c r="E15" s="636">
        <v>44594</v>
      </c>
      <c r="F15" s="636" t="s">
        <v>3</v>
      </c>
      <c r="G15" s="641">
        <v>44607</v>
      </c>
      <c r="H15" s="129" t="s">
        <v>1564</v>
      </c>
      <c r="I15" s="129" t="s">
        <v>1571</v>
      </c>
      <c r="J15" s="638" t="s">
        <v>1572</v>
      </c>
      <c r="K15" s="972" t="s">
        <v>146</v>
      </c>
      <c r="L15" s="972" t="s">
        <v>1495</v>
      </c>
      <c r="M15" s="972" t="s">
        <v>1572</v>
      </c>
      <c r="N15" s="972" t="s">
        <v>34</v>
      </c>
      <c r="O15" s="973" t="s">
        <v>1573</v>
      </c>
      <c r="P15" s="972" t="s">
        <v>1841</v>
      </c>
      <c r="Q15" s="973" t="s">
        <v>1842</v>
      </c>
      <c r="R15" s="129" t="s">
        <v>418</v>
      </c>
      <c r="S15" s="640" t="s">
        <v>34</v>
      </c>
      <c r="T15" s="129" t="s">
        <v>57</v>
      </c>
      <c r="U15" s="129" t="s">
        <v>1544</v>
      </c>
      <c r="V15" s="129" t="s">
        <v>1544</v>
      </c>
      <c r="W15" s="129" t="s">
        <v>1758</v>
      </c>
      <c r="X15" s="638" t="s">
        <v>420</v>
      </c>
      <c r="Y15" s="638">
        <v>80002320</v>
      </c>
      <c r="Z15" s="638" t="s">
        <v>1843</v>
      </c>
      <c r="AA15" s="645" t="s">
        <v>1838</v>
      </c>
      <c r="AB15" s="639" t="s">
        <v>1748</v>
      </c>
      <c r="AC15" s="129" t="s">
        <v>1844</v>
      </c>
      <c r="AD15" s="647" t="s">
        <v>1845</v>
      </c>
      <c r="AE15" s="639" t="s">
        <v>1846</v>
      </c>
      <c r="AF15" s="637">
        <v>44586</v>
      </c>
      <c r="AG15" s="637">
        <v>44586</v>
      </c>
      <c r="AH15" s="638" t="s">
        <v>1751</v>
      </c>
      <c r="AI15" s="638" t="s">
        <v>814</v>
      </c>
      <c r="AJ15" s="638" t="s">
        <v>1740</v>
      </c>
      <c r="AK15" s="638" t="s">
        <v>1847</v>
      </c>
      <c r="AL15" s="638" t="s">
        <v>27</v>
      </c>
      <c r="AM15" s="639" t="s">
        <v>76</v>
      </c>
      <c r="AN15" s="639" t="s">
        <v>73</v>
      </c>
      <c r="AO15" s="639" t="s">
        <v>1848</v>
      </c>
      <c r="AP15" s="639" t="s">
        <v>1849</v>
      </c>
    </row>
    <row r="16" spans="1:42" s="528" customFormat="1" ht="30" customHeight="1">
      <c r="A16" s="129">
        <f t="shared" si="0"/>
        <v>15</v>
      </c>
      <c r="B16" s="129">
        <v>2022</v>
      </c>
      <c r="C16" s="129" t="s">
        <v>1512</v>
      </c>
      <c r="D16" s="129" t="s">
        <v>1513</v>
      </c>
      <c r="E16" s="636">
        <v>44594</v>
      </c>
      <c r="F16" s="636" t="s">
        <v>3</v>
      </c>
      <c r="G16" s="641">
        <v>44611</v>
      </c>
      <c r="H16" s="129" t="s">
        <v>1520</v>
      </c>
      <c r="I16" s="129" t="s">
        <v>1576</v>
      </c>
      <c r="J16" s="638" t="s">
        <v>1577</v>
      </c>
      <c r="K16" s="972" t="s">
        <v>1484</v>
      </c>
      <c r="L16" s="972" t="s">
        <v>149</v>
      </c>
      <c r="M16" s="972" t="s">
        <v>443</v>
      </c>
      <c r="N16" s="972" t="s">
        <v>64</v>
      </c>
      <c r="O16" s="973" t="s">
        <v>1578</v>
      </c>
      <c r="P16" s="972" t="s">
        <v>1744</v>
      </c>
      <c r="Q16" s="973" t="s">
        <v>1850</v>
      </c>
      <c r="R16" s="129" t="s">
        <v>441</v>
      </c>
      <c r="S16" s="129" t="s">
        <v>64</v>
      </c>
      <c r="T16" s="129" t="s">
        <v>57</v>
      </c>
      <c r="U16" s="129" t="s">
        <v>1517</v>
      </c>
      <c r="V16" s="129" t="s">
        <v>1517</v>
      </c>
      <c r="W16" s="129" t="s">
        <v>1730</v>
      </c>
      <c r="X16" s="638" t="s">
        <v>444</v>
      </c>
      <c r="Y16" s="648">
        <v>8000124</v>
      </c>
      <c r="Z16" s="639" t="s">
        <v>1820</v>
      </c>
      <c r="AA16" s="639" t="s">
        <v>1851</v>
      </c>
      <c r="AB16" s="639" t="s">
        <v>1748</v>
      </c>
      <c r="AC16" s="639" t="s">
        <v>1822</v>
      </c>
      <c r="AD16" s="639" t="s">
        <v>1736</v>
      </c>
      <c r="AE16" s="639" t="s">
        <v>1737</v>
      </c>
      <c r="AF16" s="637" t="s">
        <v>1852</v>
      </c>
      <c r="AG16" s="637" t="s">
        <v>1852</v>
      </c>
      <c r="AH16" s="638" t="s">
        <v>1738</v>
      </c>
      <c r="AI16" s="638" t="s">
        <v>1853</v>
      </c>
      <c r="AJ16" s="638" t="s">
        <v>1740</v>
      </c>
      <c r="AK16" s="638" t="s">
        <v>1785</v>
      </c>
      <c r="AL16" s="638" t="s">
        <v>27</v>
      </c>
      <c r="AM16" s="639" t="s">
        <v>76</v>
      </c>
      <c r="AN16" s="639" t="s">
        <v>74</v>
      </c>
      <c r="AO16" s="639" t="s">
        <v>1854</v>
      </c>
      <c r="AP16" s="639" t="s">
        <v>1855</v>
      </c>
    </row>
    <row r="17" spans="1:42" s="528" customFormat="1" ht="30" customHeight="1">
      <c r="A17" s="129">
        <f t="shared" si="0"/>
        <v>16</v>
      </c>
      <c r="B17" s="129">
        <v>2022</v>
      </c>
      <c r="C17" s="129" t="s">
        <v>1512</v>
      </c>
      <c r="D17" s="129" t="s">
        <v>1513</v>
      </c>
      <c r="E17" s="636">
        <v>44594</v>
      </c>
      <c r="F17" s="636" t="s">
        <v>3</v>
      </c>
      <c r="G17" s="641">
        <v>44614</v>
      </c>
      <c r="H17" s="129" t="s">
        <v>1564</v>
      </c>
      <c r="I17" s="129" t="s">
        <v>1579</v>
      </c>
      <c r="J17" s="638" t="s">
        <v>333</v>
      </c>
      <c r="K17" s="972" t="s">
        <v>1484</v>
      </c>
      <c r="L17" s="972" t="s">
        <v>149</v>
      </c>
      <c r="M17" s="972" t="s">
        <v>1804</v>
      </c>
      <c r="N17" s="972" t="s">
        <v>67</v>
      </c>
      <c r="O17" s="973" t="s">
        <v>1580</v>
      </c>
      <c r="P17" s="972" t="s">
        <v>1728</v>
      </c>
      <c r="Q17" s="973" t="s">
        <v>1745</v>
      </c>
      <c r="R17" s="129" t="s">
        <v>458</v>
      </c>
      <c r="S17" s="628" t="s">
        <v>67</v>
      </c>
      <c r="T17" s="129" t="s">
        <v>58</v>
      </c>
      <c r="U17" s="129" t="s">
        <v>1517</v>
      </c>
      <c r="V17" s="129" t="s">
        <v>1517</v>
      </c>
      <c r="W17" s="129" t="s">
        <v>1730</v>
      </c>
      <c r="X17" s="654" t="s">
        <v>460</v>
      </c>
      <c r="Y17" s="638">
        <v>8000859</v>
      </c>
      <c r="Z17" s="639" t="s">
        <v>1820</v>
      </c>
      <c r="AA17" s="639" t="s">
        <v>1856</v>
      </c>
      <c r="AB17" s="639" t="s">
        <v>1748</v>
      </c>
      <c r="AC17" s="639" t="s">
        <v>1857</v>
      </c>
      <c r="AD17" s="647" t="s">
        <v>1813</v>
      </c>
      <c r="AE17" s="639" t="s">
        <v>1737</v>
      </c>
      <c r="AF17" s="637">
        <v>44611</v>
      </c>
      <c r="AG17" s="637">
        <v>44611</v>
      </c>
      <c r="AH17" s="638" t="s">
        <v>1738</v>
      </c>
      <c r="AI17" s="638" t="s">
        <v>1858</v>
      </c>
      <c r="AJ17" s="638" t="s">
        <v>1859</v>
      </c>
      <c r="AK17" s="638" t="s">
        <v>1860</v>
      </c>
      <c r="AL17" s="638" t="s">
        <v>27</v>
      </c>
      <c r="AM17" s="639" t="s">
        <v>76</v>
      </c>
      <c r="AN17" s="639" t="s">
        <v>71</v>
      </c>
      <c r="AO17" s="639" t="s">
        <v>1861</v>
      </c>
      <c r="AP17" s="639" t="s">
        <v>1862</v>
      </c>
    </row>
    <row r="18" spans="1:42" s="528" customFormat="1" ht="30" customHeight="1">
      <c r="A18" s="129">
        <f t="shared" si="0"/>
        <v>17</v>
      </c>
      <c r="B18" s="129">
        <v>2022</v>
      </c>
      <c r="C18" s="129" t="s">
        <v>1512</v>
      </c>
      <c r="D18" s="129" t="s">
        <v>1513</v>
      </c>
      <c r="E18" s="636">
        <v>44594</v>
      </c>
      <c r="F18" s="636" t="s">
        <v>3</v>
      </c>
      <c r="G18" s="641">
        <v>44615</v>
      </c>
      <c r="H18" s="129" t="s">
        <v>1581</v>
      </c>
      <c r="I18" s="129" t="s">
        <v>1582</v>
      </c>
      <c r="J18" s="638" t="s">
        <v>1583</v>
      </c>
      <c r="K18" s="972" t="s">
        <v>1484</v>
      </c>
      <c r="L18" s="972" t="s">
        <v>149</v>
      </c>
      <c r="M18" s="972" t="s">
        <v>1863</v>
      </c>
      <c r="N18" s="972" t="s">
        <v>64</v>
      </c>
      <c r="O18" s="973" t="s">
        <v>1584</v>
      </c>
      <c r="P18" s="972" t="s">
        <v>1788</v>
      </c>
      <c r="Q18" s="973" t="s">
        <v>1789</v>
      </c>
      <c r="R18" s="129" t="s">
        <v>469</v>
      </c>
      <c r="S18" s="129" t="s">
        <v>64</v>
      </c>
      <c r="T18" s="129" t="s">
        <v>57</v>
      </c>
      <c r="U18" s="129" t="s">
        <v>1517</v>
      </c>
      <c r="V18" s="129" t="s">
        <v>1517</v>
      </c>
      <c r="W18" s="129" t="s">
        <v>1730</v>
      </c>
      <c r="X18" s="638" t="s">
        <v>1864</v>
      </c>
      <c r="Y18" s="648" t="s">
        <v>1865</v>
      </c>
      <c r="Z18" s="639" t="s">
        <v>1820</v>
      </c>
      <c r="AA18" s="639" t="s">
        <v>1866</v>
      </c>
      <c r="AB18" s="639" t="s">
        <v>1734</v>
      </c>
      <c r="AC18" s="650" t="s">
        <v>1867</v>
      </c>
      <c r="AD18" s="639" t="s">
        <v>1736</v>
      </c>
      <c r="AE18" s="639" t="s">
        <v>1737</v>
      </c>
      <c r="AF18" s="637">
        <v>44562</v>
      </c>
      <c r="AG18" s="637">
        <v>44562</v>
      </c>
      <c r="AH18" s="638" t="s">
        <v>1738</v>
      </c>
      <c r="AI18" s="638" t="s">
        <v>1868</v>
      </c>
      <c r="AJ18" s="638" t="s">
        <v>1740</v>
      </c>
      <c r="AK18" s="638" t="s">
        <v>1869</v>
      </c>
      <c r="AL18" s="638" t="s">
        <v>27</v>
      </c>
      <c r="AM18" s="639" t="s">
        <v>77</v>
      </c>
      <c r="AN18" s="639" t="s">
        <v>75</v>
      </c>
      <c r="AO18" s="639" t="s">
        <v>1794</v>
      </c>
      <c r="AP18" s="639" t="s">
        <v>1870</v>
      </c>
    </row>
    <row r="19" spans="1:42" s="528" customFormat="1" ht="30" customHeight="1">
      <c r="A19" s="129">
        <f t="shared" si="0"/>
        <v>18</v>
      </c>
      <c r="B19" s="129">
        <v>2022</v>
      </c>
      <c r="C19" s="129" t="s">
        <v>1512</v>
      </c>
      <c r="D19" s="129" t="s">
        <v>1513</v>
      </c>
      <c r="E19" s="636">
        <v>44622</v>
      </c>
      <c r="F19" s="636" t="s">
        <v>4</v>
      </c>
      <c r="G19" s="641">
        <v>44621</v>
      </c>
      <c r="H19" s="129" t="s">
        <v>1564</v>
      </c>
      <c r="I19" s="129" t="s">
        <v>1586</v>
      </c>
      <c r="J19" s="638" t="s">
        <v>1587</v>
      </c>
      <c r="K19" s="972" t="s">
        <v>1484</v>
      </c>
      <c r="L19" s="972" t="s">
        <v>1756</v>
      </c>
      <c r="M19" s="972" t="s">
        <v>488</v>
      </c>
      <c r="N19" s="972" t="s">
        <v>64</v>
      </c>
      <c r="O19" s="973" t="s">
        <v>1588</v>
      </c>
      <c r="P19" s="972" t="s">
        <v>1818</v>
      </c>
      <c r="Q19" s="973" t="s">
        <v>1831</v>
      </c>
      <c r="R19" s="129" t="s">
        <v>486</v>
      </c>
      <c r="S19" s="129" t="s">
        <v>64</v>
      </c>
      <c r="T19" s="129" t="s">
        <v>57</v>
      </c>
      <c r="U19" s="129" t="s">
        <v>1517</v>
      </c>
      <c r="V19" s="129" t="s">
        <v>1517</v>
      </c>
      <c r="W19" s="129" t="s">
        <v>1758</v>
      </c>
      <c r="X19" s="638" t="s">
        <v>489</v>
      </c>
      <c r="Y19" s="648" t="s">
        <v>1871</v>
      </c>
      <c r="Z19" s="639" t="s">
        <v>1820</v>
      </c>
      <c r="AA19" s="639" t="s">
        <v>1872</v>
      </c>
      <c r="AB19" s="639" t="s">
        <v>1734</v>
      </c>
      <c r="AC19" s="639" t="s">
        <v>1792</v>
      </c>
      <c r="AD19" s="639" t="s">
        <v>1750</v>
      </c>
      <c r="AE19" s="639" t="s">
        <v>1737</v>
      </c>
      <c r="AF19" s="637">
        <v>44609</v>
      </c>
      <c r="AG19" s="637">
        <v>44609</v>
      </c>
      <c r="AH19" s="638" t="s">
        <v>1738</v>
      </c>
      <c r="AI19" s="638" t="s">
        <v>1858</v>
      </c>
      <c r="AJ19" s="638" t="s">
        <v>1859</v>
      </c>
      <c r="AK19" s="638" t="s">
        <v>1860</v>
      </c>
      <c r="AL19" s="638" t="s">
        <v>1751</v>
      </c>
      <c r="AM19" s="639" t="s">
        <v>76</v>
      </c>
      <c r="AN19" s="639" t="s">
        <v>74</v>
      </c>
      <c r="AO19" s="639" t="s">
        <v>1836</v>
      </c>
      <c r="AP19" s="639" t="s">
        <v>1837</v>
      </c>
    </row>
    <row r="20" spans="1:42" s="528" customFormat="1" ht="30" customHeight="1">
      <c r="A20" s="129">
        <f t="shared" si="0"/>
        <v>19</v>
      </c>
      <c r="B20" s="129">
        <v>2022</v>
      </c>
      <c r="C20" s="129" t="s">
        <v>1512</v>
      </c>
      <c r="D20" s="129" t="s">
        <v>1513</v>
      </c>
      <c r="E20" s="636">
        <v>44622</v>
      </c>
      <c r="F20" s="636" t="s">
        <v>4</v>
      </c>
      <c r="G20" s="641">
        <v>44627</v>
      </c>
      <c r="H20" s="129" t="s">
        <v>1529</v>
      </c>
      <c r="I20" s="129" t="s">
        <v>1568</v>
      </c>
      <c r="J20" s="638" t="s">
        <v>1589</v>
      </c>
      <c r="K20" s="972" t="s">
        <v>1484</v>
      </c>
      <c r="L20" s="972" t="s">
        <v>149</v>
      </c>
      <c r="M20" s="972" t="s">
        <v>505</v>
      </c>
      <c r="N20" s="972" t="s">
        <v>67</v>
      </c>
      <c r="O20" s="973" t="s">
        <v>1590</v>
      </c>
      <c r="P20" s="972" t="s">
        <v>1728</v>
      </c>
      <c r="Q20" s="973" t="s">
        <v>1745</v>
      </c>
      <c r="R20" s="129" t="s">
        <v>503</v>
      </c>
      <c r="S20" s="628" t="s">
        <v>67</v>
      </c>
      <c r="T20" s="129" t="s">
        <v>58</v>
      </c>
      <c r="U20" s="129" t="s">
        <v>1517</v>
      </c>
      <c r="V20" s="129" t="s">
        <v>1517</v>
      </c>
      <c r="W20" s="129" t="s">
        <v>1758</v>
      </c>
      <c r="X20" s="638" t="s">
        <v>506</v>
      </c>
      <c r="Y20" s="638">
        <v>80000498</v>
      </c>
      <c r="Z20" s="639" t="s">
        <v>1820</v>
      </c>
      <c r="AA20" s="639" t="s">
        <v>1873</v>
      </c>
      <c r="AB20" s="639" t="s">
        <v>1734</v>
      </c>
      <c r="AC20" s="639" t="s">
        <v>1735</v>
      </c>
      <c r="AD20" s="639" t="s">
        <v>1736</v>
      </c>
      <c r="AE20" s="639" t="s">
        <v>1737</v>
      </c>
      <c r="AF20" s="637">
        <v>44576</v>
      </c>
      <c r="AG20" s="637">
        <v>44576</v>
      </c>
      <c r="AH20" s="638" t="s">
        <v>1751</v>
      </c>
      <c r="AI20" s="638" t="s">
        <v>1868</v>
      </c>
      <c r="AJ20" s="638" t="s">
        <v>1740</v>
      </c>
      <c r="AK20" s="638" t="s">
        <v>1869</v>
      </c>
      <c r="AL20" s="638" t="s">
        <v>27</v>
      </c>
      <c r="AM20" s="639" t="s">
        <v>76</v>
      </c>
      <c r="AN20" s="639" t="s">
        <v>74</v>
      </c>
      <c r="AO20" s="639" t="s">
        <v>1874</v>
      </c>
      <c r="AP20" s="639" t="s">
        <v>1875</v>
      </c>
    </row>
    <row r="21" spans="1:42" s="528" customFormat="1" ht="30" customHeight="1">
      <c r="A21" s="129">
        <f t="shared" si="0"/>
        <v>20</v>
      </c>
      <c r="B21" s="129">
        <v>2022</v>
      </c>
      <c r="C21" s="129" t="s">
        <v>1512</v>
      </c>
      <c r="D21" s="129" t="s">
        <v>1513</v>
      </c>
      <c r="E21" s="636">
        <v>44622</v>
      </c>
      <c r="F21" s="636" t="s">
        <v>4</v>
      </c>
      <c r="G21" s="641">
        <v>44628</v>
      </c>
      <c r="H21" s="129" t="s">
        <v>1564</v>
      </c>
      <c r="I21" s="129" t="s">
        <v>1591</v>
      </c>
      <c r="J21" s="638" t="s">
        <v>1592</v>
      </c>
      <c r="K21" s="972" t="s">
        <v>1484</v>
      </c>
      <c r="L21" s="972" t="s">
        <v>149</v>
      </c>
      <c r="M21" s="972" t="s">
        <v>405</v>
      </c>
      <c r="N21" s="972" t="s">
        <v>64</v>
      </c>
      <c r="O21" s="973" t="s">
        <v>1593</v>
      </c>
      <c r="P21" s="972" t="s">
        <v>1744</v>
      </c>
      <c r="Q21" s="973" t="s">
        <v>1745</v>
      </c>
      <c r="R21" s="129" t="s">
        <v>514</v>
      </c>
      <c r="S21" s="129" t="s">
        <v>64</v>
      </c>
      <c r="T21" s="129" t="s">
        <v>57</v>
      </c>
      <c r="U21" s="129" t="s">
        <v>1517</v>
      </c>
      <c r="V21" s="129" t="s">
        <v>1517</v>
      </c>
      <c r="W21" s="129" t="s">
        <v>1730</v>
      </c>
      <c r="X21" s="638" t="s">
        <v>517</v>
      </c>
      <c r="Y21" s="638">
        <v>80002357</v>
      </c>
      <c r="Z21" s="639" t="s">
        <v>1820</v>
      </c>
      <c r="AA21" s="639" t="s">
        <v>1876</v>
      </c>
      <c r="AB21" s="639" t="s">
        <v>1748</v>
      </c>
      <c r="AC21" s="639" t="s">
        <v>1822</v>
      </c>
      <c r="AD21" s="639" t="s">
        <v>1736</v>
      </c>
      <c r="AE21" s="639" t="s">
        <v>1737</v>
      </c>
      <c r="AF21" s="637">
        <v>44596</v>
      </c>
      <c r="AG21" s="637">
        <v>44596</v>
      </c>
      <c r="AH21" s="638" t="s">
        <v>1738</v>
      </c>
      <c r="AI21" s="638" t="s">
        <v>1784</v>
      </c>
      <c r="AJ21" s="638" t="s">
        <v>1740</v>
      </c>
      <c r="AK21" s="638" t="s">
        <v>1785</v>
      </c>
      <c r="AL21" s="638" t="s">
        <v>27</v>
      </c>
      <c r="AM21" s="639" t="s">
        <v>76</v>
      </c>
      <c r="AN21" s="639" t="s">
        <v>74</v>
      </c>
      <c r="AO21" s="639" t="s">
        <v>1877</v>
      </c>
      <c r="AP21" s="639" t="s">
        <v>1878</v>
      </c>
    </row>
    <row r="22" spans="1:42" s="528" customFormat="1" ht="30" customHeight="1">
      <c r="A22" s="129">
        <f t="shared" si="0"/>
        <v>21</v>
      </c>
      <c r="B22" s="129">
        <v>2022</v>
      </c>
      <c r="C22" s="129" t="s">
        <v>1512</v>
      </c>
      <c r="D22" s="129" t="s">
        <v>1513</v>
      </c>
      <c r="E22" s="636">
        <v>44622</v>
      </c>
      <c r="F22" s="636" t="s">
        <v>4</v>
      </c>
      <c r="G22" s="641">
        <v>44628</v>
      </c>
      <c r="H22" s="129" t="s">
        <v>1564</v>
      </c>
      <c r="I22" s="129" t="s">
        <v>1594</v>
      </c>
      <c r="J22" s="638" t="s">
        <v>1595</v>
      </c>
      <c r="K22" s="972" t="s">
        <v>1484</v>
      </c>
      <c r="L22" s="972" t="s">
        <v>149</v>
      </c>
      <c r="M22" s="972" t="s">
        <v>540</v>
      </c>
      <c r="N22" s="972" t="s">
        <v>67</v>
      </c>
      <c r="O22" s="973" t="s">
        <v>1596</v>
      </c>
      <c r="P22" s="972" t="s">
        <v>1728</v>
      </c>
      <c r="Q22" s="973" t="s">
        <v>1745</v>
      </c>
      <c r="R22" s="129" t="s">
        <v>539</v>
      </c>
      <c r="S22" s="628" t="s">
        <v>67</v>
      </c>
      <c r="T22" s="129" t="s">
        <v>58</v>
      </c>
      <c r="U22" s="129" t="s">
        <v>1517</v>
      </c>
      <c r="V22" s="129" t="s">
        <v>1517</v>
      </c>
      <c r="W22" s="129" t="s">
        <v>1758</v>
      </c>
      <c r="X22" s="638" t="s">
        <v>541</v>
      </c>
      <c r="Y22" s="638">
        <v>80001273</v>
      </c>
      <c r="Z22" s="639" t="s">
        <v>1820</v>
      </c>
      <c r="AA22" s="649" t="s">
        <v>1747</v>
      </c>
      <c r="AB22" s="639" t="s">
        <v>1748</v>
      </c>
      <c r="AC22" s="639" t="s">
        <v>1735</v>
      </c>
      <c r="AD22" s="639" t="s">
        <v>1736</v>
      </c>
      <c r="AE22" s="639" t="s">
        <v>1737</v>
      </c>
      <c r="AF22" s="637">
        <v>44611</v>
      </c>
      <c r="AG22" s="637">
        <v>44611</v>
      </c>
      <c r="AH22" s="638" t="s">
        <v>1738</v>
      </c>
      <c r="AI22" s="638" t="s">
        <v>1868</v>
      </c>
      <c r="AJ22" s="638" t="s">
        <v>1740</v>
      </c>
      <c r="AK22" s="638" t="s">
        <v>1869</v>
      </c>
      <c r="AL22" s="638" t="s">
        <v>27</v>
      </c>
      <c r="AM22" s="639" t="s">
        <v>76</v>
      </c>
      <c r="AN22" s="639" t="s">
        <v>71</v>
      </c>
      <c r="AO22" s="639" t="s">
        <v>1879</v>
      </c>
      <c r="AP22" s="639" t="s">
        <v>1880</v>
      </c>
    </row>
    <row r="23" spans="1:42" s="528" customFormat="1" ht="30" customHeight="1">
      <c r="A23" s="129">
        <f t="shared" si="0"/>
        <v>22</v>
      </c>
      <c r="B23" s="129">
        <v>2022</v>
      </c>
      <c r="C23" s="129" t="s">
        <v>1512</v>
      </c>
      <c r="D23" s="129" t="s">
        <v>1513</v>
      </c>
      <c r="E23" s="636">
        <v>44622</v>
      </c>
      <c r="F23" s="636" t="s">
        <v>4</v>
      </c>
      <c r="G23" s="641">
        <v>44629</v>
      </c>
      <c r="H23" s="129" t="s">
        <v>1581</v>
      </c>
      <c r="I23" s="129" t="s">
        <v>1568</v>
      </c>
      <c r="J23" s="638" t="s">
        <v>1597</v>
      </c>
      <c r="K23" s="972" t="s">
        <v>1484</v>
      </c>
      <c r="L23" s="972" t="s">
        <v>1489</v>
      </c>
      <c r="M23" s="972" t="s">
        <v>1597</v>
      </c>
      <c r="N23" s="972" t="s">
        <v>64</v>
      </c>
      <c r="O23" s="973" t="s">
        <v>1466</v>
      </c>
      <c r="P23" s="972" t="s">
        <v>1881</v>
      </c>
      <c r="Q23" s="973" t="s">
        <v>1882</v>
      </c>
      <c r="R23" s="129" t="s">
        <v>550</v>
      </c>
      <c r="S23" s="129" t="s">
        <v>64</v>
      </c>
      <c r="T23" s="129" t="s">
        <v>58</v>
      </c>
      <c r="U23" s="129" t="s">
        <v>1517</v>
      </c>
      <c r="V23" s="129" t="s">
        <v>1517</v>
      </c>
      <c r="W23" s="129" t="s">
        <v>1730</v>
      </c>
      <c r="X23" s="638" t="s">
        <v>553</v>
      </c>
      <c r="Y23" s="638">
        <v>80002879</v>
      </c>
      <c r="Z23" s="639" t="s">
        <v>1768</v>
      </c>
      <c r="AA23" s="645" t="s">
        <v>1883</v>
      </c>
      <c r="AB23" s="639" t="s">
        <v>1770</v>
      </c>
      <c r="AC23" s="639" t="s">
        <v>1884</v>
      </c>
      <c r="AD23" s="639" t="s">
        <v>1750</v>
      </c>
      <c r="AE23" s="639" t="s">
        <v>1737</v>
      </c>
      <c r="AF23" s="637">
        <v>44593</v>
      </c>
      <c r="AG23" s="637">
        <v>44593</v>
      </c>
      <c r="AH23" s="638" t="s">
        <v>27</v>
      </c>
      <c r="AI23" s="638" t="s">
        <v>1885</v>
      </c>
      <c r="AJ23" s="638" t="s">
        <v>1886</v>
      </c>
      <c r="AK23" s="638" t="s">
        <v>1887</v>
      </c>
      <c r="AL23" s="638" t="s">
        <v>27</v>
      </c>
      <c r="AM23" s="639" t="s">
        <v>78</v>
      </c>
      <c r="AN23" s="639" t="s">
        <v>74</v>
      </c>
      <c r="AO23" s="639" t="s">
        <v>1888</v>
      </c>
      <c r="AP23" s="639" t="s">
        <v>1889</v>
      </c>
    </row>
    <row r="24" spans="1:42" s="528" customFormat="1" ht="30" customHeight="1">
      <c r="A24" s="129">
        <f t="shared" si="0"/>
        <v>23</v>
      </c>
      <c r="B24" s="129">
        <v>2022</v>
      </c>
      <c r="C24" s="129" t="s">
        <v>1512</v>
      </c>
      <c r="D24" s="129" t="s">
        <v>1513</v>
      </c>
      <c r="E24" s="636">
        <v>44622</v>
      </c>
      <c r="F24" s="636" t="s">
        <v>4</v>
      </c>
      <c r="G24" s="641">
        <v>44632</v>
      </c>
      <c r="H24" s="129" t="s">
        <v>1520</v>
      </c>
      <c r="I24" s="129" t="s">
        <v>1600</v>
      </c>
      <c r="J24" s="638" t="s">
        <v>568</v>
      </c>
      <c r="K24" s="972" t="s">
        <v>1484</v>
      </c>
      <c r="L24" s="972" t="s">
        <v>1490</v>
      </c>
      <c r="M24" s="972" t="s">
        <v>568</v>
      </c>
      <c r="N24" s="972" t="s">
        <v>64</v>
      </c>
      <c r="O24" s="973" t="s">
        <v>1890</v>
      </c>
      <c r="P24" s="972" t="s">
        <v>1744</v>
      </c>
      <c r="Q24" s="973" t="s">
        <v>1850</v>
      </c>
      <c r="R24" s="129" t="s">
        <v>566</v>
      </c>
      <c r="S24" s="129" t="s">
        <v>64</v>
      </c>
      <c r="T24" s="129" t="s">
        <v>57</v>
      </c>
      <c r="U24" s="129" t="s">
        <v>1517</v>
      </c>
      <c r="V24" s="129" t="s">
        <v>1544</v>
      </c>
      <c r="W24" s="129" t="s">
        <v>1730</v>
      </c>
      <c r="X24" s="638" t="s">
        <v>569</v>
      </c>
      <c r="Y24" s="638">
        <v>80002043</v>
      </c>
      <c r="Z24" s="639" t="s">
        <v>1820</v>
      </c>
      <c r="AA24" s="639" t="s">
        <v>1866</v>
      </c>
      <c r="AB24" s="639" t="s">
        <v>1734</v>
      </c>
      <c r="AC24" s="639" t="s">
        <v>1884</v>
      </c>
      <c r="AD24" s="639" t="s">
        <v>1750</v>
      </c>
      <c r="AE24" s="639" t="s">
        <v>1737</v>
      </c>
      <c r="AF24" s="637">
        <v>44578</v>
      </c>
      <c r="AG24" s="637">
        <v>44578</v>
      </c>
      <c r="AH24" s="638" t="s">
        <v>1738</v>
      </c>
      <c r="AI24" s="638" t="s">
        <v>1868</v>
      </c>
      <c r="AJ24" s="638" t="s">
        <v>1740</v>
      </c>
      <c r="AK24" s="638" t="s">
        <v>1869</v>
      </c>
      <c r="AL24" s="638" t="s">
        <v>1751</v>
      </c>
      <c r="AM24" s="639" t="s">
        <v>76</v>
      </c>
      <c r="AN24" s="639" t="s">
        <v>74</v>
      </c>
      <c r="AO24" s="639" t="s">
        <v>1854</v>
      </c>
      <c r="AP24" s="639" t="s">
        <v>1891</v>
      </c>
    </row>
    <row r="25" spans="1:42" s="528" customFormat="1" ht="30" customHeight="1">
      <c r="A25" s="129">
        <f t="shared" si="0"/>
        <v>24</v>
      </c>
      <c r="B25" s="129">
        <v>2022</v>
      </c>
      <c r="C25" s="129" t="s">
        <v>1512</v>
      </c>
      <c r="D25" s="129" t="s">
        <v>1513</v>
      </c>
      <c r="E25" s="636">
        <v>44622</v>
      </c>
      <c r="F25" s="636" t="s">
        <v>4</v>
      </c>
      <c r="G25" s="641">
        <v>44638</v>
      </c>
      <c r="H25" s="644" t="s">
        <v>1546</v>
      </c>
      <c r="I25" s="129" t="s">
        <v>1579</v>
      </c>
      <c r="J25" s="957" t="s">
        <v>1602</v>
      </c>
      <c r="K25" s="990" t="s">
        <v>1484</v>
      </c>
      <c r="L25" s="972" t="s">
        <v>148</v>
      </c>
      <c r="M25" s="972" t="s">
        <v>1892</v>
      </c>
      <c r="N25" s="972" t="s">
        <v>64</v>
      </c>
      <c r="O25" s="973" t="s">
        <v>1603</v>
      </c>
      <c r="P25" s="972" t="s">
        <v>1728</v>
      </c>
      <c r="Q25" s="973" t="s">
        <v>1745</v>
      </c>
      <c r="R25" s="129" t="s">
        <v>584</v>
      </c>
      <c r="S25" s="129" t="s">
        <v>64</v>
      </c>
      <c r="T25" s="129" t="s">
        <v>58</v>
      </c>
      <c r="U25" s="129" t="s">
        <v>1517</v>
      </c>
      <c r="V25" s="129" t="s">
        <v>1517</v>
      </c>
      <c r="W25" s="129" t="s">
        <v>1730</v>
      </c>
      <c r="X25" s="638" t="s">
        <v>587</v>
      </c>
      <c r="Y25" s="638">
        <v>80001449</v>
      </c>
      <c r="Z25" s="638" t="s">
        <v>1843</v>
      </c>
      <c r="AA25" s="639" t="s">
        <v>1806</v>
      </c>
      <c r="AB25" s="639" t="s">
        <v>1748</v>
      </c>
      <c r="AC25" s="639" t="s">
        <v>1893</v>
      </c>
      <c r="AD25" s="647" t="s">
        <v>1813</v>
      </c>
      <c r="AE25" s="639" t="s">
        <v>1737</v>
      </c>
      <c r="AF25" s="637">
        <v>44606</v>
      </c>
      <c r="AG25" s="637">
        <v>44528</v>
      </c>
      <c r="AH25" s="638" t="s">
        <v>1751</v>
      </c>
      <c r="AI25" s="638" t="s">
        <v>1858</v>
      </c>
      <c r="AJ25" s="638" t="s">
        <v>1859</v>
      </c>
      <c r="AK25" s="638" t="s">
        <v>1860</v>
      </c>
      <c r="AL25" s="638" t="s">
        <v>27</v>
      </c>
      <c r="AM25" s="639" t="s">
        <v>76</v>
      </c>
      <c r="AN25" s="639" t="s">
        <v>71</v>
      </c>
      <c r="AO25" s="639" t="s">
        <v>1786</v>
      </c>
      <c r="AP25" s="639" t="s">
        <v>1894</v>
      </c>
    </row>
    <row r="26" spans="1:42" s="528" customFormat="1" ht="30" customHeight="1">
      <c r="A26" s="129">
        <f t="shared" si="0"/>
        <v>25</v>
      </c>
      <c r="B26" s="129">
        <v>2022</v>
      </c>
      <c r="C26" s="129" t="s">
        <v>1512</v>
      </c>
      <c r="D26" s="129" t="s">
        <v>1513</v>
      </c>
      <c r="E26" s="636">
        <v>44653</v>
      </c>
      <c r="F26" s="636" t="s">
        <v>5</v>
      </c>
      <c r="G26" s="641">
        <v>44653</v>
      </c>
      <c r="H26" s="644" t="s">
        <v>1604</v>
      </c>
      <c r="I26" s="1101" t="s">
        <v>1605</v>
      </c>
      <c r="J26" s="638" t="s">
        <v>1606</v>
      </c>
      <c r="K26" s="972" t="s">
        <v>1484</v>
      </c>
      <c r="L26" s="972" t="s">
        <v>149</v>
      </c>
      <c r="M26" s="972" t="s">
        <v>1727</v>
      </c>
      <c r="N26" s="972" t="s">
        <v>64</v>
      </c>
      <c r="O26" s="973" t="s">
        <v>1471</v>
      </c>
      <c r="P26" s="972" t="s">
        <v>1779</v>
      </c>
      <c r="Q26" s="973" t="s">
        <v>1810</v>
      </c>
      <c r="R26" s="129" t="s">
        <v>599</v>
      </c>
      <c r="S26" s="129" t="s">
        <v>64</v>
      </c>
      <c r="T26" s="129" t="s">
        <v>57</v>
      </c>
      <c r="U26" s="129" t="s">
        <v>1517</v>
      </c>
      <c r="V26" s="129" t="s">
        <v>1517</v>
      </c>
      <c r="W26" s="129" t="s">
        <v>1730</v>
      </c>
      <c r="X26" s="638" t="s">
        <v>602</v>
      </c>
      <c r="Y26" s="638">
        <v>80002772</v>
      </c>
      <c r="Z26" s="639" t="s">
        <v>1820</v>
      </c>
      <c r="AA26" s="639" t="s">
        <v>1895</v>
      </c>
      <c r="AB26" s="639" t="s">
        <v>1734</v>
      </c>
      <c r="AC26" s="639" t="s">
        <v>1782</v>
      </c>
      <c r="AD26" s="639" t="s">
        <v>1736</v>
      </c>
      <c r="AE26" s="639" t="s">
        <v>1737</v>
      </c>
      <c r="AF26" s="637">
        <v>44581</v>
      </c>
      <c r="AG26" s="637">
        <v>44581</v>
      </c>
      <c r="AH26" s="638" t="s">
        <v>1738</v>
      </c>
      <c r="AI26" s="638" t="s">
        <v>1814</v>
      </c>
      <c r="AJ26" s="638" t="s">
        <v>1740</v>
      </c>
      <c r="AK26" s="638" t="s">
        <v>1815</v>
      </c>
      <c r="AL26" s="638" t="s">
        <v>27</v>
      </c>
      <c r="AM26" s="639" t="s">
        <v>76</v>
      </c>
      <c r="AN26" s="639" t="s">
        <v>71</v>
      </c>
      <c r="AO26" s="639" t="s">
        <v>1896</v>
      </c>
      <c r="AP26" s="639" t="s">
        <v>1897</v>
      </c>
    </row>
    <row r="27" spans="1:42" s="528" customFormat="1" ht="30" customHeight="1">
      <c r="A27" s="129">
        <f t="shared" si="0"/>
        <v>26</v>
      </c>
      <c r="B27" s="129">
        <v>2022</v>
      </c>
      <c r="C27" s="129" t="s">
        <v>1512</v>
      </c>
      <c r="D27" s="129" t="s">
        <v>1513</v>
      </c>
      <c r="E27" s="636">
        <v>44653</v>
      </c>
      <c r="F27" s="636" t="s">
        <v>5</v>
      </c>
      <c r="G27" s="641">
        <v>44659</v>
      </c>
      <c r="H27" s="644" t="s">
        <v>1546</v>
      </c>
      <c r="I27" s="641" t="s">
        <v>1607</v>
      </c>
      <c r="J27" s="958" t="s">
        <v>1608</v>
      </c>
      <c r="K27" s="991" t="s">
        <v>1484</v>
      </c>
      <c r="L27" s="972" t="s">
        <v>149</v>
      </c>
      <c r="M27" s="974" t="s">
        <v>619</v>
      </c>
      <c r="N27" s="972" t="s">
        <v>67</v>
      </c>
      <c r="O27" s="973" t="s">
        <v>1473</v>
      </c>
      <c r="P27" s="972" t="s">
        <v>1728</v>
      </c>
      <c r="Q27" s="973" t="s">
        <v>1745</v>
      </c>
      <c r="R27" s="129" t="s">
        <v>617</v>
      </c>
      <c r="S27" s="628" t="s">
        <v>67</v>
      </c>
      <c r="T27" s="129" t="s">
        <v>58</v>
      </c>
      <c r="U27" s="129" t="s">
        <v>1517</v>
      </c>
      <c r="V27" s="129" t="s">
        <v>1517</v>
      </c>
      <c r="W27" s="129" t="s">
        <v>1730</v>
      </c>
      <c r="X27" s="638" t="s">
        <v>620</v>
      </c>
      <c r="Y27" s="1147">
        <v>80003035</v>
      </c>
      <c r="Z27" s="639" t="s">
        <v>1820</v>
      </c>
      <c r="AA27" s="639" t="s">
        <v>1898</v>
      </c>
      <c r="AB27" s="639" t="s">
        <v>1734</v>
      </c>
      <c r="AC27" s="639" t="s">
        <v>1782</v>
      </c>
      <c r="AD27" s="639" t="s">
        <v>1736</v>
      </c>
      <c r="AE27" s="639" t="s">
        <v>1737</v>
      </c>
      <c r="AF27" s="637">
        <v>44605</v>
      </c>
      <c r="AG27" s="637">
        <v>44605</v>
      </c>
      <c r="AH27" s="638" t="s">
        <v>1738</v>
      </c>
      <c r="AI27" s="638" t="s">
        <v>1739</v>
      </c>
      <c r="AJ27" s="638" t="s">
        <v>1740</v>
      </c>
      <c r="AK27" s="638" t="s">
        <v>1741</v>
      </c>
      <c r="AL27" s="638" t="s">
        <v>27</v>
      </c>
      <c r="AM27" s="639" t="s">
        <v>76</v>
      </c>
      <c r="AN27" s="639" t="s">
        <v>71</v>
      </c>
      <c r="AO27" s="639" t="s">
        <v>1899</v>
      </c>
      <c r="AP27" s="639" t="s">
        <v>625</v>
      </c>
    </row>
    <row r="28" spans="1:42" s="528" customFormat="1" ht="30" customHeight="1">
      <c r="A28" s="129">
        <f t="shared" si="0"/>
        <v>27</v>
      </c>
      <c r="B28" s="129">
        <v>2022</v>
      </c>
      <c r="C28" s="129" t="s">
        <v>1512</v>
      </c>
      <c r="D28" s="129" t="s">
        <v>1513</v>
      </c>
      <c r="E28" s="636">
        <v>44653</v>
      </c>
      <c r="F28" s="636" t="s">
        <v>5</v>
      </c>
      <c r="G28" s="641">
        <v>44660</v>
      </c>
      <c r="H28" s="644" t="s">
        <v>1604</v>
      </c>
      <c r="I28" s="641" t="s">
        <v>1609</v>
      </c>
      <c r="J28" s="651" t="s">
        <v>1610</v>
      </c>
      <c r="K28" s="974" t="s">
        <v>146</v>
      </c>
      <c r="L28" s="974" t="s">
        <v>1494</v>
      </c>
      <c r="M28" s="972" t="s">
        <v>1610</v>
      </c>
      <c r="N28" s="972" t="s">
        <v>67</v>
      </c>
      <c r="O28" s="973" t="s">
        <v>1611</v>
      </c>
      <c r="P28" s="972" t="s">
        <v>1728</v>
      </c>
      <c r="Q28" s="973" t="s">
        <v>1900</v>
      </c>
      <c r="R28" s="129" t="s">
        <v>628</v>
      </c>
      <c r="S28" s="628" t="s">
        <v>67</v>
      </c>
      <c r="T28" s="129" t="s">
        <v>58</v>
      </c>
      <c r="U28" s="129" t="s">
        <v>1612</v>
      </c>
      <c r="V28" s="129" t="s">
        <v>1544</v>
      </c>
      <c r="W28" s="129" t="s">
        <v>1730</v>
      </c>
      <c r="X28" s="633" t="s">
        <v>631</v>
      </c>
      <c r="Y28" s="648" t="s">
        <v>1901</v>
      </c>
      <c r="Z28" s="639" t="s">
        <v>1902</v>
      </c>
      <c r="AA28" s="639" t="s">
        <v>1903</v>
      </c>
      <c r="AB28" s="639" t="s">
        <v>1904</v>
      </c>
      <c r="AC28" s="639" t="s">
        <v>1893</v>
      </c>
      <c r="AD28" s="647" t="s">
        <v>1813</v>
      </c>
      <c r="AE28" s="639" t="s">
        <v>1737</v>
      </c>
      <c r="AF28" s="637">
        <v>44491</v>
      </c>
      <c r="AG28" s="637">
        <v>44642</v>
      </c>
      <c r="AH28" s="638" t="s">
        <v>1738</v>
      </c>
      <c r="AI28" s="638" t="s">
        <v>1254</v>
      </c>
      <c r="AJ28" s="638" t="s">
        <v>1859</v>
      </c>
      <c r="AK28" s="638" t="s">
        <v>1905</v>
      </c>
      <c r="AL28" s="638" t="s">
        <v>27</v>
      </c>
      <c r="AM28" s="639" t="s">
        <v>76</v>
      </c>
      <c r="AN28" s="639" t="s">
        <v>74</v>
      </c>
      <c r="AO28" s="639" t="s">
        <v>1906</v>
      </c>
      <c r="AP28" s="639" t="s">
        <v>1907</v>
      </c>
    </row>
    <row r="29" spans="1:42" s="528" customFormat="1" ht="30" customHeight="1">
      <c r="A29" s="129">
        <f t="shared" si="0"/>
        <v>28</v>
      </c>
      <c r="B29" s="129">
        <v>2022</v>
      </c>
      <c r="C29" s="129" t="s">
        <v>1512</v>
      </c>
      <c r="D29" s="129" t="s">
        <v>1513</v>
      </c>
      <c r="E29" s="636">
        <v>44653</v>
      </c>
      <c r="F29" s="636" t="s">
        <v>5</v>
      </c>
      <c r="G29" s="641">
        <v>44662</v>
      </c>
      <c r="H29" s="644" t="s">
        <v>1529</v>
      </c>
      <c r="I29" s="641" t="s">
        <v>1538</v>
      </c>
      <c r="J29" s="651" t="s">
        <v>1614</v>
      </c>
      <c r="K29" s="974" t="s">
        <v>1484</v>
      </c>
      <c r="L29" s="972" t="s">
        <v>1756</v>
      </c>
      <c r="M29" s="974" t="s">
        <v>1908</v>
      </c>
      <c r="N29" s="974" t="s">
        <v>66</v>
      </c>
      <c r="O29" s="975" t="s">
        <v>1615</v>
      </c>
      <c r="P29" s="974" t="s">
        <v>1697</v>
      </c>
      <c r="Q29" s="975" t="s">
        <v>1909</v>
      </c>
      <c r="R29" s="129" t="s">
        <v>646</v>
      </c>
      <c r="S29" s="640" t="s">
        <v>66</v>
      </c>
      <c r="T29" s="129" t="s">
        <v>58</v>
      </c>
      <c r="U29" s="129" t="s">
        <v>1616</v>
      </c>
      <c r="V29" s="129" t="s">
        <v>1544</v>
      </c>
      <c r="W29" s="129" t="s">
        <v>1730</v>
      </c>
      <c r="X29" s="638" t="s">
        <v>1910</v>
      </c>
      <c r="Y29" s="648">
        <v>8002399</v>
      </c>
      <c r="Z29" s="639" t="s">
        <v>1911</v>
      </c>
      <c r="AA29" s="639" t="s">
        <v>1835</v>
      </c>
      <c r="AB29" s="639" t="s">
        <v>1748</v>
      </c>
      <c r="AC29" s="639" t="s">
        <v>1912</v>
      </c>
      <c r="AD29" s="647" t="s">
        <v>1750</v>
      </c>
      <c r="AE29" s="639" t="s">
        <v>1737</v>
      </c>
      <c r="AF29" s="637">
        <v>44548</v>
      </c>
      <c r="AG29" s="637">
        <v>44634</v>
      </c>
      <c r="AH29" s="638" t="s">
        <v>1751</v>
      </c>
      <c r="AI29" s="638" t="s">
        <v>1913</v>
      </c>
      <c r="AJ29" s="638" t="s">
        <v>1886</v>
      </c>
      <c r="AK29" s="638" t="s">
        <v>1851</v>
      </c>
      <c r="AL29" s="638" t="s">
        <v>27</v>
      </c>
      <c r="AM29" s="639" t="s">
        <v>76</v>
      </c>
      <c r="AN29" s="639" t="s">
        <v>71</v>
      </c>
      <c r="AO29" s="639" t="s">
        <v>1914</v>
      </c>
      <c r="AP29" s="639" t="s">
        <v>1915</v>
      </c>
    </row>
    <row r="30" spans="1:42" s="528" customFormat="1" ht="30" customHeight="1">
      <c r="A30" s="129">
        <f t="shared" si="0"/>
        <v>29</v>
      </c>
      <c r="B30" s="129">
        <v>2022</v>
      </c>
      <c r="C30" s="129" t="s">
        <v>1512</v>
      </c>
      <c r="D30" s="129" t="s">
        <v>1513</v>
      </c>
      <c r="E30" s="636">
        <v>44653</v>
      </c>
      <c r="F30" s="636" t="s">
        <v>5</v>
      </c>
      <c r="G30" s="641">
        <v>44665</v>
      </c>
      <c r="H30" s="644" t="s">
        <v>1534</v>
      </c>
      <c r="I30" s="1102" t="s">
        <v>1618</v>
      </c>
      <c r="J30" s="638" t="s">
        <v>1619</v>
      </c>
      <c r="K30" s="972" t="s">
        <v>155</v>
      </c>
      <c r="L30" s="972" t="s">
        <v>155</v>
      </c>
      <c r="M30" s="972" t="s">
        <v>1619</v>
      </c>
      <c r="N30" s="972" t="s">
        <v>64</v>
      </c>
      <c r="O30" s="973" t="s">
        <v>1474</v>
      </c>
      <c r="P30" s="972" t="s">
        <v>1881</v>
      </c>
      <c r="Q30" s="973" t="s">
        <v>1882</v>
      </c>
      <c r="R30" s="129" t="s">
        <v>662</v>
      </c>
      <c r="S30" s="129" t="s">
        <v>64</v>
      </c>
      <c r="T30" s="129" t="s">
        <v>58</v>
      </c>
      <c r="U30" s="129" t="s">
        <v>1517</v>
      </c>
      <c r="V30" s="129" t="s">
        <v>1517</v>
      </c>
      <c r="W30" s="129" t="s">
        <v>1730</v>
      </c>
      <c r="X30" s="638" t="s">
        <v>1916</v>
      </c>
      <c r="Y30" s="648">
        <v>8002613</v>
      </c>
      <c r="Z30" s="639" t="s">
        <v>1917</v>
      </c>
      <c r="AA30" s="639" t="s">
        <v>1838</v>
      </c>
      <c r="AB30" s="639" t="s">
        <v>1748</v>
      </c>
      <c r="AC30" s="639" t="s">
        <v>1822</v>
      </c>
      <c r="AD30" s="639" t="s">
        <v>1736</v>
      </c>
      <c r="AE30" s="639" t="s">
        <v>1737</v>
      </c>
      <c r="AF30" s="637">
        <v>44546</v>
      </c>
      <c r="AG30" s="641">
        <v>44650</v>
      </c>
      <c r="AH30" s="648" t="s">
        <v>27</v>
      </c>
      <c r="AI30" s="638" t="s">
        <v>1918</v>
      </c>
      <c r="AJ30" s="638" t="s">
        <v>1740</v>
      </c>
      <c r="AK30" s="638" t="s">
        <v>1919</v>
      </c>
      <c r="AL30" s="638" t="s">
        <v>1751</v>
      </c>
      <c r="AM30" s="639" t="s">
        <v>76</v>
      </c>
      <c r="AN30" s="639" t="s">
        <v>73</v>
      </c>
      <c r="AO30" s="639" t="s">
        <v>1920</v>
      </c>
      <c r="AP30" s="639" t="s">
        <v>1921</v>
      </c>
    </row>
    <row r="31" spans="1:42" s="528" customFormat="1" ht="30" customHeight="1">
      <c r="A31" s="129">
        <f t="shared" si="0"/>
        <v>30</v>
      </c>
      <c r="B31" s="129">
        <v>2022</v>
      </c>
      <c r="C31" s="129" t="s">
        <v>1512</v>
      </c>
      <c r="D31" s="129" t="s">
        <v>1513</v>
      </c>
      <c r="E31" s="636">
        <v>44653</v>
      </c>
      <c r="F31" s="636" t="s">
        <v>5</v>
      </c>
      <c r="G31" s="641">
        <v>44665</v>
      </c>
      <c r="H31" s="644" t="s">
        <v>1534</v>
      </c>
      <c r="I31" s="641" t="s">
        <v>1620</v>
      </c>
      <c r="J31" s="651" t="s">
        <v>1621</v>
      </c>
      <c r="K31" s="974" t="s">
        <v>1484</v>
      </c>
      <c r="L31" s="972" t="s">
        <v>1756</v>
      </c>
      <c r="M31" s="972" t="s">
        <v>679</v>
      </c>
      <c r="N31" s="974" t="s">
        <v>64</v>
      </c>
      <c r="O31" s="975" t="s">
        <v>1477</v>
      </c>
      <c r="P31" s="974" t="s">
        <v>1744</v>
      </c>
      <c r="Q31" s="975" t="s">
        <v>1745</v>
      </c>
      <c r="R31" s="129" t="s">
        <v>678</v>
      </c>
      <c r="S31" s="129" t="s">
        <v>64</v>
      </c>
      <c r="T31" s="129" t="s">
        <v>57</v>
      </c>
      <c r="U31" s="129" t="s">
        <v>1517</v>
      </c>
      <c r="V31" s="129" t="s">
        <v>1517</v>
      </c>
      <c r="W31" s="129" t="s">
        <v>1730</v>
      </c>
      <c r="X31" s="638" t="s">
        <v>680</v>
      </c>
      <c r="Y31" s="648">
        <v>8000937</v>
      </c>
      <c r="Z31" s="639" t="s">
        <v>1820</v>
      </c>
      <c r="AA31" s="639" t="s">
        <v>1806</v>
      </c>
      <c r="AB31" s="639" t="s">
        <v>1748</v>
      </c>
      <c r="AC31" s="639" t="s">
        <v>1922</v>
      </c>
      <c r="AD31" s="639" t="s">
        <v>1772</v>
      </c>
      <c r="AE31" s="639" t="s">
        <v>1773</v>
      </c>
      <c r="AF31" s="637">
        <v>44646</v>
      </c>
      <c r="AG31" s="641">
        <v>44608</v>
      </c>
      <c r="AH31" s="638" t="s">
        <v>1147</v>
      </c>
      <c r="AI31" s="638" t="s">
        <v>1923</v>
      </c>
      <c r="AJ31" s="638" t="s">
        <v>1740</v>
      </c>
      <c r="AK31" s="638" t="s">
        <v>1785</v>
      </c>
      <c r="AL31" s="638" t="s">
        <v>1924</v>
      </c>
      <c r="AM31" s="639" t="s">
        <v>76</v>
      </c>
      <c r="AN31" s="639" t="s">
        <v>74</v>
      </c>
      <c r="AO31" s="639" t="s">
        <v>1925</v>
      </c>
      <c r="AP31" s="639" t="s">
        <v>1926</v>
      </c>
    </row>
    <row r="32" spans="1:42" s="528" customFormat="1" ht="30" customHeight="1">
      <c r="A32" s="129">
        <f t="shared" si="0"/>
        <v>31</v>
      </c>
      <c r="B32" s="129">
        <v>2022</v>
      </c>
      <c r="C32" s="129" t="s">
        <v>1512</v>
      </c>
      <c r="D32" s="129" t="s">
        <v>1513</v>
      </c>
      <c r="E32" s="636">
        <v>44653</v>
      </c>
      <c r="F32" s="636" t="s">
        <v>5</v>
      </c>
      <c r="G32" s="641">
        <v>44668</v>
      </c>
      <c r="H32" s="644" t="s">
        <v>1514</v>
      </c>
      <c r="I32" s="641" t="s">
        <v>1622</v>
      </c>
      <c r="J32" s="651" t="s">
        <v>1623</v>
      </c>
      <c r="K32" s="974" t="s">
        <v>1484</v>
      </c>
      <c r="L32" s="972" t="s">
        <v>149</v>
      </c>
      <c r="M32" s="974" t="s">
        <v>720</v>
      </c>
      <c r="N32" s="972" t="s">
        <v>64</v>
      </c>
      <c r="O32" s="973" t="s">
        <v>1624</v>
      </c>
      <c r="P32" s="972" t="s">
        <v>1744</v>
      </c>
      <c r="Q32" s="973" t="s">
        <v>1850</v>
      </c>
      <c r="R32" s="129" t="s">
        <v>718</v>
      </c>
      <c r="S32" s="129" t="s">
        <v>64</v>
      </c>
      <c r="T32" s="129" t="s">
        <v>58</v>
      </c>
      <c r="U32" s="129" t="s">
        <v>1517</v>
      </c>
      <c r="V32" s="129" t="s">
        <v>1517</v>
      </c>
      <c r="W32" s="129" t="s">
        <v>1730</v>
      </c>
      <c r="X32" s="638" t="s">
        <v>1927</v>
      </c>
      <c r="Y32" s="648">
        <v>8002220</v>
      </c>
      <c r="Z32" s="639" t="s">
        <v>1820</v>
      </c>
      <c r="AA32" s="639" t="s">
        <v>1851</v>
      </c>
      <c r="AB32" s="639" t="s">
        <v>1748</v>
      </c>
      <c r="AC32" s="639" t="s">
        <v>1867</v>
      </c>
      <c r="AD32" s="639" t="s">
        <v>1736</v>
      </c>
      <c r="AE32" s="639" t="s">
        <v>1737</v>
      </c>
      <c r="AF32" s="637">
        <v>44505</v>
      </c>
      <c r="AG32" s="641">
        <v>44616</v>
      </c>
      <c r="AH32" s="638" t="s">
        <v>1738</v>
      </c>
      <c r="AI32" s="638" t="s">
        <v>1928</v>
      </c>
      <c r="AJ32" s="638" t="s">
        <v>1740</v>
      </c>
      <c r="AK32" s="638" t="s">
        <v>1929</v>
      </c>
      <c r="AL32" s="638" t="s">
        <v>27</v>
      </c>
      <c r="AM32" s="639" t="s">
        <v>76</v>
      </c>
      <c r="AN32" s="639" t="s">
        <v>74</v>
      </c>
      <c r="AO32" s="639" t="s">
        <v>1930</v>
      </c>
      <c r="AP32" s="639" t="s">
        <v>1931</v>
      </c>
    </row>
    <row r="33" spans="1:42" s="528" customFormat="1" ht="30" customHeight="1">
      <c r="A33" s="129">
        <f t="shared" si="0"/>
        <v>32</v>
      </c>
      <c r="B33" s="129">
        <v>2022</v>
      </c>
      <c r="C33" s="129" t="s">
        <v>1512</v>
      </c>
      <c r="D33" s="129" t="s">
        <v>1513</v>
      </c>
      <c r="E33" s="636">
        <v>44653</v>
      </c>
      <c r="F33" s="636" t="s">
        <v>5</v>
      </c>
      <c r="G33" s="641">
        <v>44672</v>
      </c>
      <c r="H33" s="644" t="s">
        <v>1534</v>
      </c>
      <c r="I33" s="641" t="s">
        <v>1625</v>
      </c>
      <c r="J33" s="651" t="s">
        <v>1626</v>
      </c>
      <c r="K33" s="974" t="s">
        <v>1484</v>
      </c>
      <c r="L33" s="972" t="s">
        <v>1756</v>
      </c>
      <c r="M33" s="974" t="s">
        <v>733</v>
      </c>
      <c r="N33" s="974" t="s">
        <v>64</v>
      </c>
      <c r="O33" s="975" t="s">
        <v>1627</v>
      </c>
      <c r="P33" s="974" t="s">
        <v>1779</v>
      </c>
      <c r="Q33" s="975" t="s">
        <v>1789</v>
      </c>
      <c r="R33" s="129" t="s">
        <v>731</v>
      </c>
      <c r="S33" s="129" t="s">
        <v>64</v>
      </c>
      <c r="T33" s="129" t="s">
        <v>57</v>
      </c>
      <c r="U33" s="129" t="s">
        <v>1517</v>
      </c>
      <c r="V33" s="129" t="s">
        <v>1517</v>
      </c>
      <c r="W33" s="129" t="s">
        <v>1730</v>
      </c>
      <c r="X33" s="638" t="s">
        <v>1932</v>
      </c>
      <c r="Y33" s="648">
        <v>8002462</v>
      </c>
      <c r="Z33" s="639" t="s">
        <v>1820</v>
      </c>
      <c r="AA33" s="639" t="s">
        <v>1933</v>
      </c>
      <c r="AB33" s="639" t="s">
        <v>1748</v>
      </c>
      <c r="AC33" s="639" t="s">
        <v>1934</v>
      </c>
      <c r="AD33" s="647" t="s">
        <v>1750</v>
      </c>
      <c r="AE33" s="639" t="s">
        <v>1737</v>
      </c>
      <c r="AF33" s="637">
        <v>44544</v>
      </c>
      <c r="AG33" s="641">
        <v>44639</v>
      </c>
      <c r="AH33" s="648" t="s">
        <v>27</v>
      </c>
      <c r="AI33" s="638" t="s">
        <v>1923</v>
      </c>
      <c r="AJ33" s="638" t="s">
        <v>1740</v>
      </c>
      <c r="AK33" s="638" t="s">
        <v>1785</v>
      </c>
      <c r="AL33" s="638" t="s">
        <v>27</v>
      </c>
      <c r="AM33" s="639" t="s">
        <v>77</v>
      </c>
      <c r="AN33" s="639" t="s">
        <v>75</v>
      </c>
      <c r="AO33" s="639" t="s">
        <v>736</v>
      </c>
      <c r="AP33" s="639" t="s">
        <v>1935</v>
      </c>
    </row>
    <row r="34" spans="1:42" s="528" customFormat="1" ht="30" customHeight="1">
      <c r="A34" s="129">
        <f t="shared" si="0"/>
        <v>33</v>
      </c>
      <c r="B34" s="129">
        <v>2022</v>
      </c>
      <c r="C34" s="129" t="s">
        <v>1512</v>
      </c>
      <c r="D34" s="129" t="s">
        <v>1513</v>
      </c>
      <c r="E34" s="636">
        <v>44653</v>
      </c>
      <c r="F34" s="636" t="s">
        <v>5</v>
      </c>
      <c r="G34" s="641">
        <v>44676</v>
      </c>
      <c r="H34" s="129" t="s">
        <v>1529</v>
      </c>
      <c r="I34" s="641" t="s">
        <v>1628</v>
      </c>
      <c r="J34" s="651" t="s">
        <v>1629</v>
      </c>
      <c r="K34" s="974" t="s">
        <v>1484</v>
      </c>
      <c r="L34" s="972" t="s">
        <v>149</v>
      </c>
      <c r="M34" s="974" t="s">
        <v>1936</v>
      </c>
      <c r="N34" s="972" t="s">
        <v>64</v>
      </c>
      <c r="O34" s="973" t="s">
        <v>1630</v>
      </c>
      <c r="P34" s="972" t="s">
        <v>1818</v>
      </c>
      <c r="Q34" s="973" t="s">
        <v>1850</v>
      </c>
      <c r="R34" s="129" t="s">
        <v>745</v>
      </c>
      <c r="S34" s="129" t="s">
        <v>64</v>
      </c>
      <c r="T34" s="129" t="s">
        <v>57</v>
      </c>
      <c r="U34" s="129" t="s">
        <v>1517</v>
      </c>
      <c r="V34" s="129" t="s">
        <v>1517</v>
      </c>
      <c r="W34" s="129" t="s">
        <v>1730</v>
      </c>
      <c r="X34" s="638" t="s">
        <v>1937</v>
      </c>
      <c r="Y34" s="648">
        <v>8003034</v>
      </c>
      <c r="Z34" s="639" t="s">
        <v>1820</v>
      </c>
      <c r="AA34" s="639" t="s">
        <v>1938</v>
      </c>
      <c r="AB34" s="639" t="s">
        <v>1734</v>
      </c>
      <c r="AC34" s="639" t="s">
        <v>1939</v>
      </c>
      <c r="AD34" s="647" t="s">
        <v>1940</v>
      </c>
      <c r="AE34" s="639" t="s">
        <v>1846</v>
      </c>
      <c r="AF34" s="637">
        <v>44577</v>
      </c>
      <c r="AG34" s="641">
        <v>44639</v>
      </c>
      <c r="AH34" s="638" t="s">
        <v>1147</v>
      </c>
      <c r="AI34" s="638" t="s">
        <v>1941</v>
      </c>
      <c r="AJ34" s="638" t="s">
        <v>1740</v>
      </c>
      <c r="AK34" s="638" t="s">
        <v>1919</v>
      </c>
      <c r="AL34" s="638" t="s">
        <v>27</v>
      </c>
      <c r="AM34" s="639" t="s">
        <v>76</v>
      </c>
      <c r="AN34" s="639" t="s">
        <v>74</v>
      </c>
      <c r="AO34" s="639" t="s">
        <v>1854</v>
      </c>
      <c r="AP34" s="639" t="s">
        <v>1942</v>
      </c>
    </row>
    <row r="35" spans="1:42" s="528" customFormat="1" ht="30" customHeight="1">
      <c r="A35" s="129">
        <f t="shared" si="0"/>
        <v>34</v>
      </c>
      <c r="B35" s="129">
        <v>2022</v>
      </c>
      <c r="C35" s="129" t="s">
        <v>1512</v>
      </c>
      <c r="D35" s="129" t="s">
        <v>1513</v>
      </c>
      <c r="E35" s="636">
        <v>44692</v>
      </c>
      <c r="F35" s="129" t="s">
        <v>6</v>
      </c>
      <c r="G35" s="641">
        <v>44692</v>
      </c>
      <c r="H35" s="129" t="s">
        <v>1631</v>
      </c>
      <c r="I35" s="129" t="s">
        <v>1632</v>
      </c>
      <c r="J35" s="638" t="s">
        <v>772</v>
      </c>
      <c r="K35" s="972" t="s">
        <v>1484</v>
      </c>
      <c r="L35" s="972" t="s">
        <v>149</v>
      </c>
      <c r="M35" s="972" t="s">
        <v>1809</v>
      </c>
      <c r="N35" s="972" t="s">
        <v>67</v>
      </c>
      <c r="O35" s="973" t="s">
        <v>1633</v>
      </c>
      <c r="P35" s="972" t="s">
        <v>1779</v>
      </c>
      <c r="Q35" s="973" t="s">
        <v>1810</v>
      </c>
      <c r="R35" s="129" t="s">
        <v>770</v>
      </c>
      <c r="S35" s="628" t="s">
        <v>67</v>
      </c>
      <c r="T35" s="129" t="s">
        <v>57</v>
      </c>
      <c r="U35" s="129" t="s">
        <v>1517</v>
      </c>
      <c r="V35" s="129" t="s">
        <v>1517</v>
      </c>
      <c r="W35" s="129" t="s">
        <v>1730</v>
      </c>
      <c r="X35" s="638" t="s">
        <v>773</v>
      </c>
      <c r="Y35" s="638" t="s">
        <v>1943</v>
      </c>
      <c r="Z35" s="639" t="s">
        <v>1820</v>
      </c>
      <c r="AA35" s="639" t="s">
        <v>1933</v>
      </c>
      <c r="AB35" s="639" t="s">
        <v>1748</v>
      </c>
      <c r="AC35" s="639" t="s">
        <v>1792</v>
      </c>
      <c r="AD35" s="647" t="s">
        <v>1750</v>
      </c>
      <c r="AE35" s="639" t="s">
        <v>1737</v>
      </c>
      <c r="AF35" s="637">
        <v>44689</v>
      </c>
      <c r="AG35" s="641">
        <v>44625</v>
      </c>
      <c r="AH35" s="638" t="s">
        <v>1751</v>
      </c>
      <c r="AI35" s="638" t="s">
        <v>1941</v>
      </c>
      <c r="AJ35" s="638" t="s">
        <v>1740</v>
      </c>
      <c r="AK35" s="638" t="s">
        <v>1919</v>
      </c>
      <c r="AL35" s="638" t="s">
        <v>27</v>
      </c>
      <c r="AM35" s="639" t="s">
        <v>76</v>
      </c>
      <c r="AN35" s="639" t="s">
        <v>71</v>
      </c>
      <c r="AO35" s="639" t="s">
        <v>1896</v>
      </c>
      <c r="AP35" s="639" t="s">
        <v>1944</v>
      </c>
    </row>
    <row r="36" spans="1:42" s="528" customFormat="1" ht="30" customHeight="1">
      <c r="A36" s="129">
        <f t="shared" si="0"/>
        <v>35</v>
      </c>
      <c r="B36" s="129">
        <v>2022</v>
      </c>
      <c r="C36" s="129" t="s">
        <v>1512</v>
      </c>
      <c r="D36" s="129" t="s">
        <v>1513</v>
      </c>
      <c r="E36" s="636">
        <v>44692</v>
      </c>
      <c r="F36" s="129" t="s">
        <v>6</v>
      </c>
      <c r="G36" s="641">
        <v>44692</v>
      </c>
      <c r="H36" s="129" t="s">
        <v>1631</v>
      </c>
      <c r="I36" s="628" t="s">
        <v>1634</v>
      </c>
      <c r="J36" s="638" t="s">
        <v>772</v>
      </c>
      <c r="K36" s="972" t="s">
        <v>1484</v>
      </c>
      <c r="L36" s="972" t="s">
        <v>149</v>
      </c>
      <c r="M36" s="972" t="s">
        <v>1809</v>
      </c>
      <c r="N36" s="972" t="s">
        <v>67</v>
      </c>
      <c r="O36" s="973" t="s">
        <v>1635</v>
      </c>
      <c r="P36" s="972" t="s">
        <v>1779</v>
      </c>
      <c r="Q36" s="973" t="s">
        <v>1810</v>
      </c>
      <c r="R36" s="129" t="s">
        <v>797</v>
      </c>
      <c r="S36" s="628" t="s">
        <v>67</v>
      </c>
      <c r="T36" s="129" t="s">
        <v>57</v>
      </c>
      <c r="U36" s="129" t="s">
        <v>1517</v>
      </c>
      <c r="V36" s="129" t="s">
        <v>1517</v>
      </c>
      <c r="W36" s="129" t="s">
        <v>1730</v>
      </c>
      <c r="X36" s="638" t="s">
        <v>798</v>
      </c>
      <c r="Y36" s="638" t="s">
        <v>1945</v>
      </c>
      <c r="Z36" s="639" t="s">
        <v>1820</v>
      </c>
      <c r="AA36" s="639" t="s">
        <v>1946</v>
      </c>
      <c r="AB36" s="639" t="s">
        <v>1748</v>
      </c>
      <c r="AC36" s="639" t="s">
        <v>1947</v>
      </c>
      <c r="AD36" s="647" t="s">
        <v>1750</v>
      </c>
      <c r="AE36" s="639" t="s">
        <v>1737</v>
      </c>
      <c r="AF36" s="637">
        <v>44689</v>
      </c>
      <c r="AG36" s="641">
        <v>44627</v>
      </c>
      <c r="AH36" s="638" t="s">
        <v>1738</v>
      </c>
      <c r="AI36" s="638" t="s">
        <v>1941</v>
      </c>
      <c r="AJ36" s="638" t="s">
        <v>1740</v>
      </c>
      <c r="AK36" s="638" t="s">
        <v>1919</v>
      </c>
      <c r="AL36" s="638" t="s">
        <v>27</v>
      </c>
      <c r="AM36" s="639" t="s">
        <v>76</v>
      </c>
      <c r="AN36" s="639" t="s">
        <v>71</v>
      </c>
      <c r="AO36" s="639" t="s">
        <v>1896</v>
      </c>
      <c r="AP36" s="639" t="s">
        <v>1944</v>
      </c>
    </row>
    <row r="37" spans="1:42" s="528" customFormat="1" ht="30" customHeight="1">
      <c r="A37" s="129">
        <f t="shared" si="0"/>
        <v>36</v>
      </c>
      <c r="B37" s="129">
        <v>2022</v>
      </c>
      <c r="C37" s="129" t="s">
        <v>1512</v>
      </c>
      <c r="D37" s="129" t="s">
        <v>1513</v>
      </c>
      <c r="E37" s="636">
        <v>44692</v>
      </c>
      <c r="F37" s="129" t="s">
        <v>6</v>
      </c>
      <c r="G37" s="641">
        <v>44696</v>
      </c>
      <c r="H37" s="129" t="s">
        <v>1514</v>
      </c>
      <c r="I37" s="657" t="s">
        <v>1636</v>
      </c>
      <c r="J37" s="638" t="s">
        <v>808</v>
      </c>
      <c r="K37" s="972" t="s">
        <v>146</v>
      </c>
      <c r="L37" s="972" t="s">
        <v>1495</v>
      </c>
      <c r="M37" s="972" t="s">
        <v>808</v>
      </c>
      <c r="N37" s="972" t="s">
        <v>64</v>
      </c>
      <c r="O37" s="973" t="s">
        <v>1637</v>
      </c>
      <c r="P37" s="972" t="s">
        <v>1818</v>
      </c>
      <c r="Q37" s="973" t="s">
        <v>1948</v>
      </c>
      <c r="R37" s="129" t="s">
        <v>807</v>
      </c>
      <c r="S37" s="129" t="s">
        <v>64</v>
      </c>
      <c r="T37" s="129" t="s">
        <v>57</v>
      </c>
      <c r="U37" s="129" t="s">
        <v>1544</v>
      </c>
      <c r="V37" s="129" t="s">
        <v>1544</v>
      </c>
      <c r="W37" s="129" t="s">
        <v>1758</v>
      </c>
      <c r="X37" s="638" t="s">
        <v>809</v>
      </c>
      <c r="Y37" s="648">
        <v>80002651</v>
      </c>
      <c r="Z37" s="639" t="s">
        <v>1820</v>
      </c>
      <c r="AA37" s="639" t="s">
        <v>1949</v>
      </c>
      <c r="AB37" s="639" t="s">
        <v>1748</v>
      </c>
      <c r="AC37" s="639" t="s">
        <v>1792</v>
      </c>
      <c r="AD37" s="647" t="s">
        <v>1750</v>
      </c>
      <c r="AE37" s="639" t="s">
        <v>1737</v>
      </c>
      <c r="AF37" s="637">
        <v>44578</v>
      </c>
      <c r="AG37" s="641">
        <v>44664</v>
      </c>
      <c r="AH37" s="648" t="s">
        <v>27</v>
      </c>
      <c r="AI37" s="639" t="s">
        <v>1950</v>
      </c>
      <c r="AJ37" s="649" t="s">
        <v>1740</v>
      </c>
      <c r="AK37" s="649" t="s">
        <v>1951</v>
      </c>
      <c r="AL37" s="638" t="s">
        <v>1751</v>
      </c>
      <c r="AM37" s="639" t="s">
        <v>78</v>
      </c>
      <c r="AN37" s="639" t="s">
        <v>74</v>
      </c>
      <c r="AO37" s="639" t="s">
        <v>1952</v>
      </c>
      <c r="AP37" s="639" t="s">
        <v>1953</v>
      </c>
    </row>
    <row r="38" spans="1:42" s="528" customFormat="1" ht="30" customHeight="1">
      <c r="A38" s="129">
        <f t="shared" si="0"/>
        <v>37</v>
      </c>
      <c r="B38" s="129">
        <v>2022</v>
      </c>
      <c r="C38" s="129" t="s">
        <v>1512</v>
      </c>
      <c r="D38" s="129" t="s">
        <v>1513</v>
      </c>
      <c r="E38" s="636">
        <v>44692</v>
      </c>
      <c r="F38" s="129" t="s">
        <v>6</v>
      </c>
      <c r="G38" s="641">
        <v>44702</v>
      </c>
      <c r="H38" s="129" t="s">
        <v>1520</v>
      </c>
      <c r="I38" s="657" t="s">
        <v>1638</v>
      </c>
      <c r="J38" s="638" t="s">
        <v>1639</v>
      </c>
      <c r="K38" s="972" t="s">
        <v>1484</v>
      </c>
      <c r="L38" s="972" t="s">
        <v>1954</v>
      </c>
      <c r="M38" s="972" t="s">
        <v>1639</v>
      </c>
      <c r="N38" s="972" t="s">
        <v>64</v>
      </c>
      <c r="O38" s="973" t="s">
        <v>1640</v>
      </c>
      <c r="P38" s="972" t="s">
        <v>1744</v>
      </c>
      <c r="Q38" s="973" t="s">
        <v>1850</v>
      </c>
      <c r="R38" s="129" t="s">
        <v>826</v>
      </c>
      <c r="S38" s="129" t="s">
        <v>64</v>
      </c>
      <c r="T38" s="129" t="s">
        <v>57</v>
      </c>
      <c r="U38" s="129" t="s">
        <v>1544</v>
      </c>
      <c r="V38" s="129" t="s">
        <v>1544</v>
      </c>
      <c r="W38" s="129" t="s">
        <v>1730</v>
      </c>
      <c r="X38" s="638" t="s">
        <v>829</v>
      </c>
      <c r="Y38" s="638">
        <v>80002716</v>
      </c>
      <c r="Z38" s="639" t="s">
        <v>1820</v>
      </c>
      <c r="AA38" s="639" t="s">
        <v>1955</v>
      </c>
      <c r="AB38" s="639" t="s">
        <v>1748</v>
      </c>
      <c r="AC38" s="639" t="s">
        <v>1956</v>
      </c>
      <c r="AD38" s="639" t="s">
        <v>1736</v>
      </c>
      <c r="AE38" s="639" t="s">
        <v>1737</v>
      </c>
      <c r="AF38" s="637">
        <v>44578</v>
      </c>
      <c r="AG38" s="641">
        <v>44671</v>
      </c>
      <c r="AH38" s="638" t="s">
        <v>1738</v>
      </c>
      <c r="AI38" s="639" t="s">
        <v>1950</v>
      </c>
      <c r="AJ38" s="649" t="s">
        <v>1740</v>
      </c>
      <c r="AK38" s="649" t="s">
        <v>1951</v>
      </c>
      <c r="AL38" s="638" t="s">
        <v>1738</v>
      </c>
      <c r="AM38" s="639" t="s">
        <v>76</v>
      </c>
      <c r="AN38" s="639" t="s">
        <v>74</v>
      </c>
      <c r="AO38" s="639" t="s">
        <v>1854</v>
      </c>
      <c r="AP38" s="639" t="s">
        <v>1957</v>
      </c>
    </row>
    <row r="39" spans="1:42" s="528" customFormat="1" ht="30" customHeight="1">
      <c r="A39" s="129">
        <f t="shared" si="0"/>
        <v>38</v>
      </c>
      <c r="B39" s="129">
        <v>2022</v>
      </c>
      <c r="C39" s="129" t="s">
        <v>1512</v>
      </c>
      <c r="D39" s="129" t="s">
        <v>1513</v>
      </c>
      <c r="E39" s="636">
        <v>44692</v>
      </c>
      <c r="F39" s="129" t="s">
        <v>6</v>
      </c>
      <c r="G39" s="641">
        <v>44702</v>
      </c>
      <c r="H39" s="129" t="s">
        <v>1520</v>
      </c>
      <c r="I39" s="657" t="s">
        <v>1641</v>
      </c>
      <c r="J39" s="638" t="s">
        <v>1642</v>
      </c>
      <c r="K39" s="972" t="s">
        <v>1484</v>
      </c>
      <c r="L39" s="972" t="s">
        <v>1756</v>
      </c>
      <c r="M39" s="972" t="s">
        <v>1958</v>
      </c>
      <c r="N39" s="972" t="s">
        <v>64</v>
      </c>
      <c r="O39" s="973" t="s">
        <v>1643</v>
      </c>
      <c r="P39" s="972" t="s">
        <v>1728</v>
      </c>
      <c r="Q39" s="973" t="s">
        <v>1745</v>
      </c>
      <c r="R39" s="129" t="s">
        <v>852</v>
      </c>
      <c r="S39" s="628" t="s">
        <v>67</v>
      </c>
      <c r="T39" s="129" t="s">
        <v>58</v>
      </c>
      <c r="U39" s="129" t="s">
        <v>1517</v>
      </c>
      <c r="V39" s="129" t="s">
        <v>1517</v>
      </c>
      <c r="W39" s="129" t="s">
        <v>1758</v>
      </c>
      <c r="X39" s="638" t="s">
        <v>855</v>
      </c>
      <c r="Y39" s="638" t="s">
        <v>1959</v>
      </c>
      <c r="Z39" s="639" t="s">
        <v>1820</v>
      </c>
      <c r="AA39" s="639" t="s">
        <v>1851</v>
      </c>
      <c r="AB39" s="639" t="s">
        <v>1748</v>
      </c>
      <c r="AC39" s="639" t="s">
        <v>1735</v>
      </c>
      <c r="AD39" s="639" t="s">
        <v>1736</v>
      </c>
      <c r="AE39" s="639" t="s">
        <v>1737</v>
      </c>
      <c r="AF39" s="637">
        <v>44636</v>
      </c>
      <c r="AG39" s="637">
        <v>44636</v>
      </c>
      <c r="AH39" s="638" t="s">
        <v>1738</v>
      </c>
      <c r="AI39" s="639" t="s">
        <v>1793</v>
      </c>
      <c r="AJ39" s="639" t="s">
        <v>1740</v>
      </c>
      <c r="AK39" s="649" t="s">
        <v>1835</v>
      </c>
      <c r="AL39" s="638" t="s">
        <v>27</v>
      </c>
      <c r="AM39" s="639" t="s">
        <v>76</v>
      </c>
      <c r="AN39" s="639" t="s">
        <v>71</v>
      </c>
      <c r="AO39" s="639" t="s">
        <v>1861</v>
      </c>
      <c r="AP39" s="639" t="s">
        <v>1862</v>
      </c>
    </row>
    <row r="40" spans="1:42" s="528" customFormat="1" ht="30" customHeight="1">
      <c r="A40" s="129">
        <f t="shared" si="0"/>
        <v>39</v>
      </c>
      <c r="B40" s="129">
        <v>2022</v>
      </c>
      <c r="C40" s="129" t="s">
        <v>1512</v>
      </c>
      <c r="D40" s="129" t="s">
        <v>1513</v>
      </c>
      <c r="E40" s="636">
        <v>44692</v>
      </c>
      <c r="F40" s="129" t="s">
        <v>6</v>
      </c>
      <c r="G40" s="641">
        <v>44704</v>
      </c>
      <c r="H40" s="129" t="s">
        <v>1529</v>
      </c>
      <c r="I40" s="657" t="s">
        <v>1644</v>
      </c>
      <c r="J40" s="638" t="s">
        <v>867</v>
      </c>
      <c r="K40" s="972" t="s">
        <v>146</v>
      </c>
      <c r="L40" s="972" t="s">
        <v>1493</v>
      </c>
      <c r="M40" s="972" t="s">
        <v>867</v>
      </c>
      <c r="N40" s="972" t="s">
        <v>66</v>
      </c>
      <c r="O40" s="973" t="s">
        <v>1645</v>
      </c>
      <c r="P40" s="972" t="s">
        <v>1818</v>
      </c>
      <c r="Q40" s="973" t="s">
        <v>1948</v>
      </c>
      <c r="R40" s="129" t="s">
        <v>865</v>
      </c>
      <c r="S40" s="640" t="s">
        <v>66</v>
      </c>
      <c r="T40" s="129" t="s">
        <v>57</v>
      </c>
      <c r="U40" s="129" t="s">
        <v>1544</v>
      </c>
      <c r="V40" s="129" t="s">
        <v>1544</v>
      </c>
      <c r="W40" s="129" t="s">
        <v>1730</v>
      </c>
      <c r="X40" s="638" t="s">
        <v>868</v>
      </c>
      <c r="Y40" s="638" t="s">
        <v>1960</v>
      </c>
      <c r="Z40" s="639" t="s">
        <v>1820</v>
      </c>
      <c r="AA40" s="639" t="s">
        <v>1961</v>
      </c>
      <c r="AB40" s="639" t="s">
        <v>1770</v>
      </c>
      <c r="AC40" s="639" t="s">
        <v>1884</v>
      </c>
      <c r="AD40" s="647" t="s">
        <v>1750</v>
      </c>
      <c r="AE40" s="639" t="s">
        <v>1737</v>
      </c>
      <c r="AF40" s="637">
        <v>44669</v>
      </c>
      <c r="AG40" s="641">
        <v>44653</v>
      </c>
      <c r="AH40" s="648" t="s">
        <v>27</v>
      </c>
      <c r="AI40" s="639" t="s">
        <v>1962</v>
      </c>
      <c r="AJ40" s="639" t="s">
        <v>1740</v>
      </c>
      <c r="AK40" s="649" t="s">
        <v>1835</v>
      </c>
      <c r="AL40" s="638" t="s">
        <v>1738</v>
      </c>
      <c r="AM40" s="639" t="s">
        <v>78</v>
      </c>
      <c r="AN40" s="639" t="s">
        <v>74</v>
      </c>
      <c r="AO40" s="639" t="s">
        <v>1963</v>
      </c>
      <c r="AP40" s="639" t="s">
        <v>1964</v>
      </c>
    </row>
    <row r="41" spans="1:42" s="528" customFormat="1" ht="30" customHeight="1">
      <c r="A41" s="129">
        <f t="shared" si="0"/>
        <v>40</v>
      </c>
      <c r="B41" s="129">
        <v>2022</v>
      </c>
      <c r="C41" s="129" t="s">
        <v>1512</v>
      </c>
      <c r="D41" s="129" t="s">
        <v>1513</v>
      </c>
      <c r="E41" s="636">
        <v>44692</v>
      </c>
      <c r="F41" s="129" t="s">
        <v>6</v>
      </c>
      <c r="G41" s="641">
        <v>44706</v>
      </c>
      <c r="H41" s="129" t="s">
        <v>1581</v>
      </c>
      <c r="I41" s="657" t="s">
        <v>1515</v>
      </c>
      <c r="J41" s="638" t="s">
        <v>890</v>
      </c>
      <c r="K41" s="972" t="s">
        <v>146</v>
      </c>
      <c r="L41" s="972" t="s">
        <v>1493</v>
      </c>
      <c r="M41" s="972" t="s">
        <v>890</v>
      </c>
      <c r="N41" s="972" t="s">
        <v>67</v>
      </c>
      <c r="O41" s="973" t="s">
        <v>1646</v>
      </c>
      <c r="P41" s="972" t="s">
        <v>1728</v>
      </c>
      <c r="Q41" s="973" t="s">
        <v>1745</v>
      </c>
      <c r="R41" s="129" t="s">
        <v>888</v>
      </c>
      <c r="S41" s="628" t="s">
        <v>67</v>
      </c>
      <c r="T41" s="129" t="s">
        <v>58</v>
      </c>
      <c r="U41" s="129" t="s">
        <v>1544</v>
      </c>
      <c r="V41" s="129" t="s">
        <v>1544</v>
      </c>
      <c r="W41" s="129" t="s">
        <v>1730</v>
      </c>
      <c r="X41" s="638" t="s">
        <v>891</v>
      </c>
      <c r="Y41" s="638">
        <v>80002023</v>
      </c>
      <c r="Z41" s="639" t="s">
        <v>1965</v>
      </c>
      <c r="AA41" s="639" t="s">
        <v>1966</v>
      </c>
      <c r="AB41" s="639" t="s">
        <v>1734</v>
      </c>
      <c r="AC41" s="639" t="s">
        <v>1956</v>
      </c>
      <c r="AD41" s="639" t="s">
        <v>1736</v>
      </c>
      <c r="AE41" s="639" t="s">
        <v>1737</v>
      </c>
      <c r="AF41" s="637">
        <v>44602</v>
      </c>
      <c r="AG41" s="637">
        <v>44602</v>
      </c>
      <c r="AH41" s="638" t="s">
        <v>1738</v>
      </c>
      <c r="AI41" s="639" t="s">
        <v>1962</v>
      </c>
      <c r="AJ41" s="639" t="s">
        <v>1740</v>
      </c>
      <c r="AK41" s="649" t="s">
        <v>1835</v>
      </c>
      <c r="AL41" s="638" t="s">
        <v>27</v>
      </c>
      <c r="AM41" s="639" t="s">
        <v>76</v>
      </c>
      <c r="AN41" s="639" t="s">
        <v>74</v>
      </c>
      <c r="AO41" s="639" t="s">
        <v>1967</v>
      </c>
      <c r="AP41" s="653" t="s">
        <v>1968</v>
      </c>
    </row>
    <row r="42" spans="1:42" s="528" customFormat="1" ht="30" customHeight="1">
      <c r="A42" s="129">
        <f t="shared" si="0"/>
        <v>41</v>
      </c>
      <c r="B42" s="129">
        <v>2022</v>
      </c>
      <c r="C42" s="129" t="s">
        <v>1512</v>
      </c>
      <c r="D42" s="129" t="s">
        <v>1513</v>
      </c>
      <c r="E42" s="636">
        <v>44692</v>
      </c>
      <c r="F42" s="129" t="s">
        <v>6</v>
      </c>
      <c r="G42" s="641">
        <v>44707</v>
      </c>
      <c r="H42" s="129" t="s">
        <v>1534</v>
      </c>
      <c r="I42" s="657" t="s">
        <v>1647</v>
      </c>
      <c r="J42" s="638" t="s">
        <v>1648</v>
      </c>
      <c r="K42" s="972" t="s">
        <v>1484</v>
      </c>
      <c r="L42" s="972" t="s">
        <v>149</v>
      </c>
      <c r="M42" s="972" t="s">
        <v>1969</v>
      </c>
      <c r="N42" s="972" t="s">
        <v>67</v>
      </c>
      <c r="O42" s="973" t="s">
        <v>1649</v>
      </c>
      <c r="P42" s="972" t="s">
        <v>1728</v>
      </c>
      <c r="Q42" s="973" t="s">
        <v>1842</v>
      </c>
      <c r="R42" s="129" t="s">
        <v>901</v>
      </c>
      <c r="S42" s="628" t="s">
        <v>67</v>
      </c>
      <c r="T42" s="129" t="s">
        <v>58</v>
      </c>
      <c r="U42" s="129" t="s">
        <v>1517</v>
      </c>
      <c r="V42" s="129" t="s">
        <v>1517</v>
      </c>
      <c r="W42" s="129" t="s">
        <v>1758</v>
      </c>
      <c r="X42" s="638" t="s">
        <v>903</v>
      </c>
      <c r="Y42" s="638">
        <v>80002568</v>
      </c>
      <c r="Z42" s="639" t="s">
        <v>1820</v>
      </c>
      <c r="AA42" s="639" t="s">
        <v>1933</v>
      </c>
      <c r="AB42" s="639" t="s">
        <v>1748</v>
      </c>
      <c r="AC42" s="639" t="s">
        <v>1884</v>
      </c>
      <c r="AD42" s="647" t="s">
        <v>1750</v>
      </c>
      <c r="AE42" s="639" t="s">
        <v>1737</v>
      </c>
      <c r="AF42" s="637">
        <v>44689</v>
      </c>
      <c r="AG42" s="641">
        <v>44628</v>
      </c>
      <c r="AH42" s="638" t="s">
        <v>1738</v>
      </c>
      <c r="AI42" s="639" t="s">
        <v>1784</v>
      </c>
      <c r="AJ42" s="639" t="s">
        <v>1740</v>
      </c>
      <c r="AK42" s="639" t="s">
        <v>1785</v>
      </c>
      <c r="AL42" s="638" t="s">
        <v>27</v>
      </c>
      <c r="AM42" s="639" t="s">
        <v>76</v>
      </c>
      <c r="AN42" s="639" t="s">
        <v>74</v>
      </c>
      <c r="AO42" s="639" t="s">
        <v>1970</v>
      </c>
      <c r="AP42" s="639" t="s">
        <v>1971</v>
      </c>
    </row>
    <row r="43" spans="1:42" s="528" customFormat="1" ht="30" customHeight="1">
      <c r="A43" s="129">
        <f t="shared" si="0"/>
        <v>42</v>
      </c>
      <c r="B43" s="129">
        <v>2022</v>
      </c>
      <c r="C43" s="129" t="s">
        <v>1512</v>
      </c>
      <c r="D43" s="129" t="s">
        <v>1513</v>
      </c>
      <c r="E43" s="636">
        <v>44692</v>
      </c>
      <c r="F43" s="129" t="s">
        <v>6</v>
      </c>
      <c r="G43" s="641">
        <v>44709</v>
      </c>
      <c r="H43" s="129" t="s">
        <v>1520</v>
      </c>
      <c r="I43" s="657" t="s">
        <v>1650</v>
      </c>
      <c r="J43" s="638" t="s">
        <v>1651</v>
      </c>
      <c r="K43" s="972" t="s">
        <v>157</v>
      </c>
      <c r="L43" s="972" t="s">
        <v>157</v>
      </c>
      <c r="M43" s="972" t="s">
        <v>1651</v>
      </c>
      <c r="N43" s="972" t="s">
        <v>64</v>
      </c>
      <c r="O43" s="973" t="s">
        <v>1652</v>
      </c>
      <c r="P43" s="972" t="s">
        <v>1744</v>
      </c>
      <c r="Q43" s="973" t="s">
        <v>1745</v>
      </c>
      <c r="R43" s="129" t="s">
        <v>914</v>
      </c>
      <c r="S43" s="129" t="s">
        <v>64</v>
      </c>
      <c r="T43" s="129" t="s">
        <v>57</v>
      </c>
      <c r="U43" s="129" t="s">
        <v>1653</v>
      </c>
      <c r="V43" s="129" t="s">
        <v>1653</v>
      </c>
      <c r="W43" s="129" t="s">
        <v>1730</v>
      </c>
      <c r="X43" s="638" t="s">
        <v>917</v>
      </c>
      <c r="Y43" s="638">
        <v>80002752</v>
      </c>
      <c r="Z43" s="639" t="s">
        <v>1972</v>
      </c>
      <c r="AA43" s="639" t="s">
        <v>1806</v>
      </c>
      <c r="AB43" s="639" t="s">
        <v>1748</v>
      </c>
      <c r="AC43" s="639" t="s">
        <v>1800</v>
      </c>
      <c r="AD43" s="639" t="s">
        <v>1772</v>
      </c>
      <c r="AE43" s="639" t="s">
        <v>1773</v>
      </c>
      <c r="AF43" s="637">
        <v>44597</v>
      </c>
      <c r="AG43" s="641">
        <v>44581</v>
      </c>
      <c r="AH43" s="638" t="s">
        <v>1147</v>
      </c>
      <c r="AI43" s="639" t="s">
        <v>1973</v>
      </c>
      <c r="AJ43" s="638" t="s">
        <v>1886</v>
      </c>
      <c r="AK43" s="649" t="s">
        <v>1781</v>
      </c>
      <c r="AL43" s="638" t="s">
        <v>1738</v>
      </c>
      <c r="AM43" s="639" t="s">
        <v>76</v>
      </c>
      <c r="AN43" s="639" t="s">
        <v>74</v>
      </c>
      <c r="AO43" s="639" t="s">
        <v>1974</v>
      </c>
      <c r="AP43" s="639" t="s">
        <v>1975</v>
      </c>
    </row>
    <row r="44" spans="1:42" s="528" customFormat="1" ht="30" customHeight="1">
      <c r="A44" s="129">
        <f t="shared" si="0"/>
        <v>43</v>
      </c>
      <c r="B44" s="129">
        <v>2022</v>
      </c>
      <c r="C44" s="129" t="s">
        <v>1512</v>
      </c>
      <c r="D44" s="129" t="s">
        <v>1513</v>
      </c>
      <c r="E44" s="636">
        <v>44692</v>
      </c>
      <c r="F44" s="129" t="s">
        <v>6</v>
      </c>
      <c r="G44" s="641">
        <v>44709</v>
      </c>
      <c r="H44" s="129" t="s">
        <v>1520</v>
      </c>
      <c r="I44" s="657" t="s">
        <v>1655</v>
      </c>
      <c r="J44" s="638" t="s">
        <v>540</v>
      </c>
      <c r="K44" s="972" t="s">
        <v>1484</v>
      </c>
      <c r="L44" s="972" t="s">
        <v>149</v>
      </c>
      <c r="M44" s="972" t="s">
        <v>540</v>
      </c>
      <c r="N44" s="972" t="s">
        <v>67</v>
      </c>
      <c r="O44" s="973" t="s">
        <v>1656</v>
      </c>
      <c r="P44" s="972" t="s">
        <v>1728</v>
      </c>
      <c r="Q44" s="973" t="s">
        <v>1745</v>
      </c>
      <c r="R44" s="129" t="s">
        <v>950</v>
      </c>
      <c r="S44" s="628" t="s">
        <v>67</v>
      </c>
      <c r="T44" s="129" t="s">
        <v>57</v>
      </c>
      <c r="U44" s="129" t="s">
        <v>1653</v>
      </c>
      <c r="V44" s="129" t="s">
        <v>1517</v>
      </c>
      <c r="W44" s="129" t="s">
        <v>1758</v>
      </c>
      <c r="X44" s="638" t="s">
        <v>951</v>
      </c>
      <c r="Y44" s="638">
        <v>80002598</v>
      </c>
      <c r="Z44" s="639" t="s">
        <v>1911</v>
      </c>
      <c r="AA44" s="639" t="s">
        <v>1933</v>
      </c>
      <c r="AB44" s="639" t="s">
        <v>1748</v>
      </c>
      <c r="AC44" s="639" t="s">
        <v>1782</v>
      </c>
      <c r="AD44" s="639" t="s">
        <v>1736</v>
      </c>
      <c r="AE44" s="639" t="s">
        <v>1737</v>
      </c>
      <c r="AF44" s="637">
        <v>44576</v>
      </c>
      <c r="AG44" s="637">
        <v>44576</v>
      </c>
      <c r="AH44" s="638" t="s">
        <v>1147</v>
      </c>
      <c r="AI44" s="639" t="s">
        <v>1976</v>
      </c>
      <c r="AJ44" s="638" t="s">
        <v>1740</v>
      </c>
      <c r="AK44" s="649" t="s">
        <v>1977</v>
      </c>
      <c r="AL44" s="638" t="s">
        <v>1738</v>
      </c>
      <c r="AM44" s="639" t="s">
        <v>76</v>
      </c>
      <c r="AN44" s="639" t="s">
        <v>74</v>
      </c>
      <c r="AO44" s="639" t="s">
        <v>1974</v>
      </c>
      <c r="AP44" s="639" t="s">
        <v>1978</v>
      </c>
    </row>
    <row r="45" spans="1:42" s="528" customFormat="1" ht="30" customHeight="1">
      <c r="A45" s="129">
        <f t="shared" si="0"/>
        <v>44</v>
      </c>
      <c r="B45" s="129">
        <v>2022</v>
      </c>
      <c r="C45" s="129" t="s">
        <v>1512</v>
      </c>
      <c r="D45" s="129" t="s">
        <v>1513</v>
      </c>
      <c r="E45" s="636">
        <v>44723</v>
      </c>
      <c r="F45" s="129" t="s">
        <v>116</v>
      </c>
      <c r="G45" s="641">
        <v>44714</v>
      </c>
      <c r="H45" s="129" t="s">
        <v>1534</v>
      </c>
      <c r="I45" s="657" t="s">
        <v>1658</v>
      </c>
      <c r="J45" s="638" t="s">
        <v>967</v>
      </c>
      <c r="K45" s="972" t="s">
        <v>1484</v>
      </c>
      <c r="L45" s="972" t="s">
        <v>1490</v>
      </c>
      <c r="M45" s="972" t="s">
        <v>967</v>
      </c>
      <c r="N45" s="972" t="s">
        <v>64</v>
      </c>
      <c r="O45" s="973" t="s">
        <v>1659</v>
      </c>
      <c r="P45" s="972" t="s">
        <v>1744</v>
      </c>
      <c r="Q45" s="973" t="s">
        <v>1948</v>
      </c>
      <c r="R45" s="129" t="s">
        <v>965</v>
      </c>
      <c r="S45" s="129" t="s">
        <v>64</v>
      </c>
      <c r="T45" s="129" t="s">
        <v>58</v>
      </c>
      <c r="U45" s="129" t="s">
        <v>1517</v>
      </c>
      <c r="V45" s="129" t="s">
        <v>1544</v>
      </c>
      <c r="W45" s="129" t="s">
        <v>1758</v>
      </c>
      <c r="X45" s="638" t="s">
        <v>968</v>
      </c>
      <c r="Y45" s="638">
        <v>80001819</v>
      </c>
      <c r="Z45" s="639" t="s">
        <v>1979</v>
      </c>
      <c r="AA45" s="639" t="s">
        <v>1851</v>
      </c>
      <c r="AB45" s="639" t="s">
        <v>1748</v>
      </c>
      <c r="AC45" s="639" t="s">
        <v>1980</v>
      </c>
      <c r="AD45" s="639" t="s">
        <v>1772</v>
      </c>
      <c r="AE45" s="639" t="s">
        <v>1773</v>
      </c>
      <c r="AF45" s="641">
        <v>44706</v>
      </c>
      <c r="AG45" s="641">
        <v>44706</v>
      </c>
      <c r="AH45" s="638" t="s">
        <v>1751</v>
      </c>
      <c r="AI45" s="639" t="s">
        <v>1981</v>
      </c>
      <c r="AJ45" s="638" t="s">
        <v>1740</v>
      </c>
      <c r="AK45" s="649" t="s">
        <v>1876</v>
      </c>
      <c r="AL45" s="638" t="s">
        <v>1751</v>
      </c>
      <c r="AM45" s="639" t="s">
        <v>78</v>
      </c>
      <c r="AN45" s="639" t="s">
        <v>74</v>
      </c>
      <c r="AO45" s="639" t="s">
        <v>1982</v>
      </c>
      <c r="AP45" s="639" t="s">
        <v>1983</v>
      </c>
    </row>
    <row r="46" spans="1:42" s="528" customFormat="1" ht="30" customHeight="1">
      <c r="A46" s="129">
        <f t="shared" si="0"/>
        <v>45</v>
      </c>
      <c r="B46" s="129">
        <v>2022</v>
      </c>
      <c r="C46" s="129" t="s">
        <v>1512</v>
      </c>
      <c r="D46" s="129" t="s">
        <v>1513</v>
      </c>
      <c r="E46" s="636">
        <v>44723</v>
      </c>
      <c r="F46" s="129" t="s">
        <v>116</v>
      </c>
      <c r="G46" s="641">
        <v>44721</v>
      </c>
      <c r="H46" s="129" t="s">
        <v>1534</v>
      </c>
      <c r="I46" s="657" t="s">
        <v>1607</v>
      </c>
      <c r="J46" s="638" t="s">
        <v>1661</v>
      </c>
      <c r="K46" s="972" t="s">
        <v>146</v>
      </c>
      <c r="L46" s="972" t="s">
        <v>1493</v>
      </c>
      <c r="M46" s="972" t="s">
        <v>1661</v>
      </c>
      <c r="N46" s="972" t="s">
        <v>67</v>
      </c>
      <c r="O46" s="973" t="s">
        <v>1662</v>
      </c>
      <c r="P46" s="972" t="s">
        <v>1728</v>
      </c>
      <c r="Q46" s="973" t="s">
        <v>1948</v>
      </c>
      <c r="R46" s="129" t="s">
        <v>986</v>
      </c>
      <c r="S46" s="628" t="s">
        <v>67</v>
      </c>
      <c r="T46" s="129" t="s">
        <v>58</v>
      </c>
      <c r="U46" s="129" t="s">
        <v>1544</v>
      </c>
      <c r="V46" s="129" t="s">
        <v>1544</v>
      </c>
      <c r="W46" s="129" t="s">
        <v>1730</v>
      </c>
      <c r="X46" s="638" t="s">
        <v>989</v>
      </c>
      <c r="Y46" s="638">
        <v>80001117</v>
      </c>
      <c r="Z46" s="639" t="s">
        <v>1965</v>
      </c>
      <c r="AA46" s="639" t="s">
        <v>1984</v>
      </c>
      <c r="AB46" s="639" t="s">
        <v>1734</v>
      </c>
      <c r="AC46" s="639" t="s">
        <v>1985</v>
      </c>
      <c r="AD46" s="647" t="s">
        <v>1813</v>
      </c>
      <c r="AE46" s="639" t="s">
        <v>1737</v>
      </c>
      <c r="AF46" s="641">
        <v>44710</v>
      </c>
      <c r="AG46" s="641">
        <v>44710</v>
      </c>
      <c r="AH46" s="648" t="s">
        <v>27</v>
      </c>
      <c r="AI46" s="639" t="s">
        <v>833</v>
      </c>
      <c r="AJ46" s="638" t="s">
        <v>1740</v>
      </c>
      <c r="AK46" s="649" t="s">
        <v>1986</v>
      </c>
      <c r="AL46" s="638" t="s">
        <v>1738</v>
      </c>
      <c r="AM46" s="639" t="s">
        <v>78</v>
      </c>
      <c r="AN46" s="639" t="s">
        <v>74</v>
      </c>
      <c r="AO46" s="639" t="s">
        <v>1987</v>
      </c>
      <c r="AP46" s="639" t="s">
        <v>1988</v>
      </c>
    </row>
    <row r="47" spans="1:42" s="528" customFormat="1" ht="30" customHeight="1">
      <c r="A47" s="129">
        <f t="shared" si="0"/>
        <v>46</v>
      </c>
      <c r="B47" s="129">
        <v>2022</v>
      </c>
      <c r="C47" s="129" t="s">
        <v>1512</v>
      </c>
      <c r="D47" s="129" t="s">
        <v>1513</v>
      </c>
      <c r="E47" s="636">
        <v>44723</v>
      </c>
      <c r="F47" s="129" t="s">
        <v>116</v>
      </c>
      <c r="G47" s="641">
        <v>44721</v>
      </c>
      <c r="H47" s="129" t="s">
        <v>1534</v>
      </c>
      <c r="I47" s="657" t="s">
        <v>1663</v>
      </c>
      <c r="J47" s="638" t="s">
        <v>389</v>
      </c>
      <c r="K47" s="972" t="s">
        <v>1484</v>
      </c>
      <c r="L47" s="972" t="s">
        <v>1756</v>
      </c>
      <c r="M47" s="972" t="s">
        <v>998</v>
      </c>
      <c r="N47" s="972" t="s">
        <v>64</v>
      </c>
      <c r="O47" s="973" t="s">
        <v>1664</v>
      </c>
      <c r="P47" s="972" t="s">
        <v>1744</v>
      </c>
      <c r="Q47" s="973" t="s">
        <v>1831</v>
      </c>
      <c r="R47" s="129" t="s">
        <v>997</v>
      </c>
      <c r="S47" s="129" t="s">
        <v>64</v>
      </c>
      <c r="T47" s="129" t="s">
        <v>57</v>
      </c>
      <c r="U47" s="129" t="s">
        <v>1517</v>
      </c>
      <c r="V47" s="129" t="s">
        <v>1517</v>
      </c>
      <c r="W47" s="129" t="s">
        <v>1758</v>
      </c>
      <c r="X47" s="638" t="s">
        <v>999</v>
      </c>
      <c r="Y47" s="638">
        <v>80001826</v>
      </c>
      <c r="Z47" s="639" t="s">
        <v>1820</v>
      </c>
      <c r="AA47" s="639" t="s">
        <v>1806</v>
      </c>
      <c r="AB47" s="639" t="s">
        <v>1748</v>
      </c>
      <c r="AC47" s="639" t="s">
        <v>1792</v>
      </c>
      <c r="AD47" s="647" t="s">
        <v>1750</v>
      </c>
      <c r="AE47" s="639" t="s">
        <v>1737</v>
      </c>
      <c r="AF47" s="637">
        <v>44704</v>
      </c>
      <c r="AG47" s="641">
        <v>44604</v>
      </c>
      <c r="AH47" s="638" t="s">
        <v>1147</v>
      </c>
      <c r="AI47" s="638" t="s">
        <v>1928</v>
      </c>
      <c r="AJ47" s="638" t="s">
        <v>1740</v>
      </c>
      <c r="AK47" s="638" t="s">
        <v>1929</v>
      </c>
      <c r="AL47" s="638" t="s">
        <v>27</v>
      </c>
      <c r="AM47" s="639" t="s">
        <v>76</v>
      </c>
      <c r="AN47" s="639" t="s">
        <v>74</v>
      </c>
      <c r="AO47" s="639" t="s">
        <v>1836</v>
      </c>
      <c r="AP47" s="639" t="s">
        <v>1837</v>
      </c>
    </row>
    <row r="48" spans="1:42" s="528" customFormat="1" ht="30" customHeight="1">
      <c r="A48" s="129">
        <f t="shared" si="0"/>
        <v>47</v>
      </c>
      <c r="B48" s="129">
        <v>2022</v>
      </c>
      <c r="C48" s="129" t="s">
        <v>1512</v>
      </c>
      <c r="D48" s="129" t="s">
        <v>1513</v>
      </c>
      <c r="E48" s="636">
        <v>44723</v>
      </c>
      <c r="F48" s="129" t="s">
        <v>116</v>
      </c>
      <c r="G48" s="641">
        <v>44723</v>
      </c>
      <c r="H48" s="129" t="s">
        <v>1520</v>
      </c>
      <c r="I48" s="657" t="s">
        <v>1665</v>
      </c>
      <c r="J48" s="638" t="s">
        <v>1666</v>
      </c>
      <c r="K48" s="972" t="s">
        <v>1484</v>
      </c>
      <c r="L48" s="972" t="s">
        <v>148</v>
      </c>
      <c r="M48" s="972" t="s">
        <v>1989</v>
      </c>
      <c r="N48" s="972" t="s">
        <v>67</v>
      </c>
      <c r="O48" s="973" t="s">
        <v>1667</v>
      </c>
      <c r="P48" s="972" t="s">
        <v>1744</v>
      </c>
      <c r="Q48" s="973" t="s">
        <v>1789</v>
      </c>
      <c r="R48" s="129" t="s">
        <v>1022</v>
      </c>
      <c r="S48" s="628" t="s">
        <v>67</v>
      </c>
      <c r="T48" s="129" t="s">
        <v>58</v>
      </c>
      <c r="U48" s="129" t="s">
        <v>1517</v>
      </c>
      <c r="V48" s="129" t="s">
        <v>1517</v>
      </c>
      <c r="W48" s="129" t="s">
        <v>1730</v>
      </c>
      <c r="X48" s="638" t="s">
        <v>1024</v>
      </c>
      <c r="Y48" s="638">
        <v>80002889</v>
      </c>
      <c r="Z48" s="639" t="s">
        <v>1820</v>
      </c>
      <c r="AA48" s="639" t="s">
        <v>1835</v>
      </c>
      <c r="AB48" s="639" t="s">
        <v>1748</v>
      </c>
      <c r="AC48" s="639" t="s">
        <v>1985</v>
      </c>
      <c r="AD48" s="647" t="s">
        <v>1813</v>
      </c>
      <c r="AE48" s="639" t="s">
        <v>1737</v>
      </c>
      <c r="AF48" s="652">
        <v>44719</v>
      </c>
      <c r="AG48" s="641">
        <v>44646</v>
      </c>
      <c r="AH48" s="638" t="s">
        <v>1738</v>
      </c>
      <c r="AI48" s="638" t="s">
        <v>1814</v>
      </c>
      <c r="AJ48" s="638" t="s">
        <v>1740</v>
      </c>
      <c r="AK48" s="638" t="s">
        <v>1815</v>
      </c>
      <c r="AL48" s="638" t="s">
        <v>27</v>
      </c>
      <c r="AM48" s="639" t="s">
        <v>77</v>
      </c>
      <c r="AN48" s="639" t="s">
        <v>75</v>
      </c>
      <c r="AO48" s="639" t="s">
        <v>1990</v>
      </c>
      <c r="AP48" s="639" t="s">
        <v>1991</v>
      </c>
    </row>
    <row r="49" spans="1:44" s="528" customFormat="1" ht="30" customHeight="1">
      <c r="A49" s="129">
        <f t="shared" si="0"/>
        <v>48</v>
      </c>
      <c r="B49" s="129">
        <v>2022</v>
      </c>
      <c r="C49" s="129" t="s">
        <v>1512</v>
      </c>
      <c r="D49" s="129" t="s">
        <v>1513</v>
      </c>
      <c r="E49" s="636">
        <v>44723</v>
      </c>
      <c r="F49" s="129" t="s">
        <v>116</v>
      </c>
      <c r="G49" s="641">
        <v>44724</v>
      </c>
      <c r="H49" s="129" t="s">
        <v>1514</v>
      </c>
      <c r="I49" s="657" t="s">
        <v>1668</v>
      </c>
      <c r="J49" s="638" t="s">
        <v>1040</v>
      </c>
      <c r="K49" s="972" t="s">
        <v>1484</v>
      </c>
      <c r="L49" s="972" t="s">
        <v>149</v>
      </c>
      <c r="M49" s="972" t="s">
        <v>1992</v>
      </c>
      <c r="N49" s="972" t="s">
        <v>64</v>
      </c>
      <c r="O49" s="973" t="s">
        <v>1669</v>
      </c>
      <c r="P49" s="972" t="s">
        <v>1744</v>
      </c>
      <c r="Q49" s="973" t="s">
        <v>1745</v>
      </c>
      <c r="R49" s="129" t="s">
        <v>1039</v>
      </c>
      <c r="S49" s="129" t="s">
        <v>64</v>
      </c>
      <c r="T49" s="129" t="s">
        <v>57</v>
      </c>
      <c r="U49" s="129" t="s">
        <v>1517</v>
      </c>
      <c r="V49" s="129" t="s">
        <v>1517</v>
      </c>
      <c r="W49" s="129" t="s">
        <v>1730</v>
      </c>
      <c r="X49" s="638" t="s">
        <v>1041</v>
      </c>
      <c r="Y49" s="638">
        <v>80002889</v>
      </c>
      <c r="Z49" s="639" t="s">
        <v>1820</v>
      </c>
      <c r="AA49" s="639" t="s">
        <v>1993</v>
      </c>
      <c r="AB49" s="639" t="s">
        <v>1734</v>
      </c>
      <c r="AC49" s="639" t="s">
        <v>1893</v>
      </c>
      <c r="AD49" s="647" t="s">
        <v>1813</v>
      </c>
      <c r="AE49" s="639" t="s">
        <v>1737</v>
      </c>
      <c r="AF49" s="652">
        <v>44569</v>
      </c>
      <c r="AG49" s="652">
        <v>44569</v>
      </c>
      <c r="AH49" s="638" t="s">
        <v>1147</v>
      </c>
      <c r="AI49" s="638" t="s">
        <v>1834</v>
      </c>
      <c r="AJ49" s="638" t="s">
        <v>1740</v>
      </c>
      <c r="AK49" s="638" t="s">
        <v>1835</v>
      </c>
      <c r="AL49" s="638" t="s">
        <v>27</v>
      </c>
      <c r="AM49" s="639" t="s">
        <v>76</v>
      </c>
      <c r="AN49" s="639" t="s">
        <v>74</v>
      </c>
      <c r="AO49" s="639" t="s">
        <v>1994</v>
      </c>
      <c r="AP49" s="639" t="s">
        <v>1995</v>
      </c>
    </row>
    <row r="50" spans="1:44" s="528" customFormat="1" ht="30" customHeight="1">
      <c r="A50" s="129">
        <f t="shared" si="0"/>
        <v>49</v>
      </c>
      <c r="B50" s="129">
        <v>2022</v>
      </c>
      <c r="C50" s="129" t="s">
        <v>1512</v>
      </c>
      <c r="D50" s="129" t="s">
        <v>1513</v>
      </c>
      <c r="E50" s="636">
        <v>44723</v>
      </c>
      <c r="F50" s="129" t="s">
        <v>116</v>
      </c>
      <c r="G50" s="641">
        <v>44724</v>
      </c>
      <c r="H50" s="129" t="s">
        <v>1514</v>
      </c>
      <c r="I50" s="657" t="s">
        <v>1670</v>
      </c>
      <c r="J50" s="638" t="s">
        <v>1062</v>
      </c>
      <c r="K50" s="972" t="s">
        <v>1484</v>
      </c>
      <c r="L50" s="972" t="s">
        <v>1996</v>
      </c>
      <c r="M50" s="972" t="s">
        <v>1062</v>
      </c>
      <c r="N50" s="972" t="s">
        <v>64</v>
      </c>
      <c r="O50" s="973" t="s">
        <v>1671</v>
      </c>
      <c r="P50" s="972" t="s">
        <v>1744</v>
      </c>
      <c r="Q50" s="973" t="s">
        <v>1745</v>
      </c>
      <c r="R50" s="129" t="s">
        <v>1061</v>
      </c>
      <c r="S50" s="129" t="s">
        <v>64</v>
      </c>
      <c r="T50" s="129" t="s">
        <v>58</v>
      </c>
      <c r="U50" s="129" t="s">
        <v>1517</v>
      </c>
      <c r="V50" s="129" t="s">
        <v>1517</v>
      </c>
      <c r="W50" s="129" t="s">
        <v>1758</v>
      </c>
      <c r="X50" s="638" t="s">
        <v>1063</v>
      </c>
      <c r="Y50" s="638">
        <v>80003614</v>
      </c>
      <c r="Z50" s="639" t="s">
        <v>1820</v>
      </c>
      <c r="AA50" s="639" t="s">
        <v>1997</v>
      </c>
      <c r="AB50" s="639" t="s">
        <v>1734</v>
      </c>
      <c r="AC50" s="639" t="s">
        <v>1771</v>
      </c>
      <c r="AD50" s="639" t="s">
        <v>1772</v>
      </c>
      <c r="AE50" s="639" t="s">
        <v>1773</v>
      </c>
      <c r="AF50" s="652">
        <v>44661</v>
      </c>
      <c r="AG50" s="652">
        <v>44661</v>
      </c>
      <c r="AH50" s="638" t="s">
        <v>1738</v>
      </c>
      <c r="AI50" s="638" t="s">
        <v>1981</v>
      </c>
      <c r="AJ50" s="638" t="s">
        <v>1740</v>
      </c>
      <c r="AK50" s="649" t="s">
        <v>1876</v>
      </c>
      <c r="AL50" s="638" t="s">
        <v>27</v>
      </c>
      <c r="AM50" s="639" t="s">
        <v>76</v>
      </c>
      <c r="AN50" s="639" t="s">
        <v>74</v>
      </c>
      <c r="AO50" s="639" t="s">
        <v>1998</v>
      </c>
      <c r="AP50" s="639" t="s">
        <v>1999</v>
      </c>
    </row>
    <row r="51" spans="1:44" s="528" customFormat="1" ht="30" customHeight="1">
      <c r="A51" s="129">
        <f t="shared" si="0"/>
        <v>50</v>
      </c>
      <c r="B51" s="129">
        <v>2022</v>
      </c>
      <c r="C51" s="129" t="s">
        <v>1512</v>
      </c>
      <c r="D51" s="129" t="s">
        <v>1513</v>
      </c>
      <c r="E51" s="636">
        <v>44723</v>
      </c>
      <c r="F51" s="129" t="s">
        <v>116</v>
      </c>
      <c r="G51" s="641">
        <v>44736</v>
      </c>
      <c r="H51" s="129" t="s">
        <v>1546</v>
      </c>
      <c r="I51" s="657" t="s">
        <v>1672</v>
      </c>
      <c r="J51" s="638" t="s">
        <v>284</v>
      </c>
      <c r="K51" s="972" t="s">
        <v>1484</v>
      </c>
      <c r="L51" s="972" t="s">
        <v>149</v>
      </c>
      <c r="M51" s="972" t="s">
        <v>1778</v>
      </c>
      <c r="N51" s="976" t="s">
        <v>66</v>
      </c>
      <c r="O51" s="977" t="s">
        <v>1673</v>
      </c>
      <c r="P51" s="976" t="s">
        <v>1697</v>
      </c>
      <c r="Q51" s="977" t="s">
        <v>2000</v>
      </c>
      <c r="R51" s="129" t="s">
        <v>1073</v>
      </c>
      <c r="S51" s="640" t="s">
        <v>66</v>
      </c>
      <c r="T51" s="129" t="s">
        <v>58</v>
      </c>
      <c r="U51" s="129" t="s">
        <v>1653</v>
      </c>
      <c r="V51" s="129" t="s">
        <v>1517</v>
      </c>
      <c r="W51" s="129" t="s">
        <v>1730</v>
      </c>
      <c r="X51" s="638" t="s">
        <v>1075</v>
      </c>
      <c r="Y51" s="638" t="s">
        <v>2001</v>
      </c>
      <c r="Z51" s="639" t="s">
        <v>2002</v>
      </c>
      <c r="AA51" s="639" t="s">
        <v>2003</v>
      </c>
      <c r="AB51" s="639" t="s">
        <v>1748</v>
      </c>
      <c r="AC51" s="639" t="s">
        <v>1857</v>
      </c>
      <c r="AD51" s="647" t="s">
        <v>1813</v>
      </c>
      <c r="AE51" s="639" t="s">
        <v>1737</v>
      </c>
      <c r="AF51" s="652">
        <v>44713</v>
      </c>
      <c r="AG51" s="652">
        <v>44713</v>
      </c>
      <c r="AH51" s="638" t="s">
        <v>1738</v>
      </c>
      <c r="AI51" s="638" t="s">
        <v>2004</v>
      </c>
      <c r="AJ51" s="638" t="s">
        <v>1740</v>
      </c>
      <c r="AK51" s="649" t="s">
        <v>1951</v>
      </c>
      <c r="AL51" s="638" t="s">
        <v>1738</v>
      </c>
      <c r="AM51" s="639" t="s">
        <v>78</v>
      </c>
      <c r="AN51" s="639" t="s">
        <v>74</v>
      </c>
      <c r="AO51" s="639" t="s">
        <v>2005</v>
      </c>
      <c r="AP51" s="639" t="s">
        <v>2006</v>
      </c>
    </row>
    <row r="52" spans="1:44" s="528" customFormat="1" ht="30" customHeight="1">
      <c r="A52" s="129">
        <f t="shared" si="0"/>
        <v>51</v>
      </c>
      <c r="B52" s="129">
        <v>2022</v>
      </c>
      <c r="C52" s="129" t="s">
        <v>1512</v>
      </c>
      <c r="D52" s="129" t="s">
        <v>1513</v>
      </c>
      <c r="E52" s="636">
        <v>44723</v>
      </c>
      <c r="F52" s="129" t="s">
        <v>116</v>
      </c>
      <c r="G52" s="641">
        <v>44738</v>
      </c>
      <c r="H52" s="129" t="s">
        <v>1514</v>
      </c>
      <c r="I52" s="657" t="s">
        <v>1675</v>
      </c>
      <c r="J52" s="638" t="s">
        <v>1097</v>
      </c>
      <c r="K52" s="972" t="s">
        <v>146</v>
      </c>
      <c r="L52" s="972" t="s">
        <v>1495</v>
      </c>
      <c r="M52" s="972" t="s">
        <v>1097</v>
      </c>
      <c r="N52" s="972" t="s">
        <v>64</v>
      </c>
      <c r="O52" s="973" t="s">
        <v>1676</v>
      </c>
      <c r="P52" s="972" t="s">
        <v>1744</v>
      </c>
      <c r="Q52" s="973" t="s">
        <v>1831</v>
      </c>
      <c r="R52" s="129" t="s">
        <v>1096</v>
      </c>
      <c r="S52" s="129" t="s">
        <v>64</v>
      </c>
      <c r="T52" s="129" t="s">
        <v>57</v>
      </c>
      <c r="U52" s="129" t="s">
        <v>1544</v>
      </c>
      <c r="V52" s="129" t="s">
        <v>1544</v>
      </c>
      <c r="W52" s="129" t="s">
        <v>1758</v>
      </c>
      <c r="X52" s="638" t="s">
        <v>1098</v>
      </c>
      <c r="Y52" s="638">
        <v>80001108</v>
      </c>
      <c r="Z52" s="639" t="s">
        <v>1965</v>
      </c>
      <c r="AA52" s="639" t="s">
        <v>2007</v>
      </c>
      <c r="AB52" s="639" t="s">
        <v>2008</v>
      </c>
      <c r="AC52" s="639" t="s">
        <v>1761</v>
      </c>
      <c r="AD52" s="647" t="s">
        <v>1750</v>
      </c>
      <c r="AE52" s="639" t="s">
        <v>1737</v>
      </c>
      <c r="AF52" s="652">
        <v>44356</v>
      </c>
      <c r="AG52" s="652">
        <v>44724</v>
      </c>
      <c r="AH52" s="638" t="s">
        <v>1147</v>
      </c>
      <c r="AI52" s="638" t="s">
        <v>2009</v>
      </c>
      <c r="AJ52" s="638" t="s">
        <v>1886</v>
      </c>
      <c r="AK52" s="649" t="s">
        <v>1847</v>
      </c>
      <c r="AL52" s="638" t="s">
        <v>27</v>
      </c>
      <c r="AM52" s="639" t="s">
        <v>76</v>
      </c>
      <c r="AN52" s="639" t="s">
        <v>74</v>
      </c>
      <c r="AO52" s="639" t="s">
        <v>1836</v>
      </c>
      <c r="AP52" s="639" t="s">
        <v>1837</v>
      </c>
    </row>
    <row r="53" spans="1:44" s="528" customFormat="1" ht="30" customHeight="1">
      <c r="A53" s="129">
        <f t="shared" si="0"/>
        <v>52</v>
      </c>
      <c r="B53" s="129">
        <v>2022</v>
      </c>
      <c r="C53" s="129" t="s">
        <v>1512</v>
      </c>
      <c r="D53" s="129" t="s">
        <v>1513</v>
      </c>
      <c r="E53" s="636">
        <v>44753</v>
      </c>
      <c r="F53" s="129" t="s">
        <v>8</v>
      </c>
      <c r="G53" s="641">
        <v>44749</v>
      </c>
      <c r="H53" s="129" t="s">
        <v>1534</v>
      </c>
      <c r="I53" s="657" t="s">
        <v>1677</v>
      </c>
      <c r="J53" s="638" t="s">
        <v>1115</v>
      </c>
      <c r="K53" s="972" t="s">
        <v>155</v>
      </c>
      <c r="L53" s="972" t="s">
        <v>155</v>
      </c>
      <c r="M53" s="972" t="s">
        <v>1115</v>
      </c>
      <c r="N53" s="972" t="s">
        <v>34</v>
      </c>
      <c r="O53" s="973" t="s">
        <v>1678</v>
      </c>
      <c r="P53" s="972" t="s">
        <v>1841</v>
      </c>
      <c r="Q53" s="973" t="s">
        <v>2010</v>
      </c>
      <c r="R53" s="129" t="s">
        <v>1114</v>
      </c>
      <c r="S53" s="640" t="s">
        <v>34</v>
      </c>
      <c r="T53" s="129" t="s">
        <v>58</v>
      </c>
      <c r="U53" s="129" t="s">
        <v>1616</v>
      </c>
      <c r="V53" s="129" t="s">
        <v>1616</v>
      </c>
      <c r="W53" s="129" t="s">
        <v>1758</v>
      </c>
      <c r="X53" s="638" t="s">
        <v>1116</v>
      </c>
      <c r="Y53" s="638">
        <v>80002254</v>
      </c>
      <c r="Z53" s="639" t="s">
        <v>2011</v>
      </c>
      <c r="AA53" s="639" t="s">
        <v>1747</v>
      </c>
      <c r="AB53" s="639" t="s">
        <v>1748</v>
      </c>
      <c r="AC53" s="639" t="s">
        <v>1800</v>
      </c>
      <c r="AD53" s="639" t="s">
        <v>1772</v>
      </c>
      <c r="AE53" s="639" t="s">
        <v>1773</v>
      </c>
      <c r="AF53" s="641">
        <v>44648</v>
      </c>
      <c r="AG53" s="641">
        <v>44648</v>
      </c>
      <c r="AH53" s="648" t="s">
        <v>27</v>
      </c>
      <c r="AI53" s="638" t="s">
        <v>2012</v>
      </c>
      <c r="AJ53" s="638" t="s">
        <v>1886</v>
      </c>
      <c r="AK53" s="649" t="s">
        <v>1951</v>
      </c>
      <c r="AL53" s="638" t="s">
        <v>1738</v>
      </c>
      <c r="AM53" s="639" t="s">
        <v>76</v>
      </c>
      <c r="AN53" s="639" t="s">
        <v>74</v>
      </c>
      <c r="AO53" s="639" t="s">
        <v>2013</v>
      </c>
      <c r="AP53" s="639" t="s">
        <v>2014</v>
      </c>
    </row>
    <row r="54" spans="1:44" s="528" customFormat="1" ht="30" customHeight="1">
      <c r="A54" s="129">
        <f t="shared" si="0"/>
        <v>53</v>
      </c>
      <c r="B54" s="129">
        <v>2022</v>
      </c>
      <c r="C54" s="129" t="s">
        <v>1512</v>
      </c>
      <c r="D54" s="129" t="s">
        <v>1513</v>
      </c>
      <c r="E54" s="636">
        <v>44753</v>
      </c>
      <c r="F54" s="129" t="s">
        <v>8</v>
      </c>
      <c r="G54" s="641">
        <v>44749</v>
      </c>
      <c r="H54" s="129" t="s">
        <v>1534</v>
      </c>
      <c r="I54" s="657" t="s">
        <v>1681</v>
      </c>
      <c r="J54" s="638" t="s">
        <v>1682</v>
      </c>
      <c r="K54" s="972" t="s">
        <v>1484</v>
      </c>
      <c r="L54" s="972" t="s">
        <v>149</v>
      </c>
      <c r="M54" s="972" t="s">
        <v>2015</v>
      </c>
      <c r="N54" s="972" t="s">
        <v>64</v>
      </c>
      <c r="O54" s="973" t="s">
        <v>1683</v>
      </c>
      <c r="P54" s="972" t="s">
        <v>2016</v>
      </c>
      <c r="Q54" s="973" t="s">
        <v>1745</v>
      </c>
      <c r="R54" s="129" t="s">
        <v>1141</v>
      </c>
      <c r="S54" s="129" t="s">
        <v>64</v>
      </c>
      <c r="T54" s="129" t="s">
        <v>57</v>
      </c>
      <c r="U54" s="129" t="s">
        <v>1517</v>
      </c>
      <c r="V54" s="129" t="s">
        <v>1517</v>
      </c>
      <c r="W54" s="129" t="s">
        <v>1758</v>
      </c>
      <c r="X54" s="638" t="s">
        <v>1143</v>
      </c>
      <c r="Y54" s="638">
        <v>80003024</v>
      </c>
      <c r="Z54" s="639" t="s">
        <v>1820</v>
      </c>
      <c r="AA54" s="639" t="s">
        <v>2017</v>
      </c>
      <c r="AB54" s="639" t="s">
        <v>1734</v>
      </c>
      <c r="AC54" s="639" t="s">
        <v>1735</v>
      </c>
      <c r="AD54" s="639" t="s">
        <v>1736</v>
      </c>
      <c r="AE54" s="639" t="s">
        <v>1737</v>
      </c>
      <c r="AF54" s="652">
        <v>44575</v>
      </c>
      <c r="AG54" s="652">
        <v>44579</v>
      </c>
      <c r="AH54" s="638" t="s">
        <v>1738</v>
      </c>
      <c r="AI54" s="638" t="s">
        <v>1928</v>
      </c>
      <c r="AJ54" s="638" t="s">
        <v>1740</v>
      </c>
      <c r="AK54" s="638" t="s">
        <v>1929</v>
      </c>
      <c r="AL54" s="638" t="s">
        <v>27</v>
      </c>
      <c r="AM54" s="639" t="s">
        <v>76</v>
      </c>
      <c r="AN54" s="639" t="s">
        <v>74</v>
      </c>
      <c r="AO54" s="653" t="s">
        <v>1150</v>
      </c>
      <c r="AP54" s="639" t="s">
        <v>2018</v>
      </c>
    </row>
    <row r="55" spans="1:44" s="528" customFormat="1" ht="30" customHeight="1">
      <c r="A55" s="129">
        <f t="shared" si="0"/>
        <v>54</v>
      </c>
      <c r="B55" s="129">
        <v>2022</v>
      </c>
      <c r="C55" s="129" t="s">
        <v>1512</v>
      </c>
      <c r="D55" s="129" t="s">
        <v>1513</v>
      </c>
      <c r="E55" s="636">
        <v>44753</v>
      </c>
      <c r="F55" s="129" t="s">
        <v>8</v>
      </c>
      <c r="G55" s="641">
        <v>44755</v>
      </c>
      <c r="H55" s="129" t="s">
        <v>1581</v>
      </c>
      <c r="I55" s="657" t="s">
        <v>1684</v>
      </c>
      <c r="J55" s="654" t="s">
        <v>1685</v>
      </c>
      <c r="K55" s="972" t="s">
        <v>1484</v>
      </c>
      <c r="L55" s="972" t="s">
        <v>149</v>
      </c>
      <c r="M55" s="972" t="s">
        <v>2019</v>
      </c>
      <c r="N55" s="972" t="s">
        <v>64</v>
      </c>
      <c r="O55" s="973" t="s">
        <v>2020</v>
      </c>
      <c r="P55" s="972" t="s">
        <v>1818</v>
      </c>
      <c r="Q55" s="973" t="s">
        <v>2021</v>
      </c>
      <c r="R55" s="129" t="s">
        <v>1157</v>
      </c>
      <c r="S55" s="129" t="s">
        <v>64</v>
      </c>
      <c r="T55" s="129" t="s">
        <v>57</v>
      </c>
      <c r="U55" s="129" t="s">
        <v>1517</v>
      </c>
      <c r="V55" s="129" t="s">
        <v>1517</v>
      </c>
      <c r="W55" s="129" t="s">
        <v>1758</v>
      </c>
      <c r="X55" s="655" t="s">
        <v>1159</v>
      </c>
      <c r="Y55" s="654">
        <v>80000502</v>
      </c>
      <c r="Z55" s="639" t="s">
        <v>1820</v>
      </c>
      <c r="AA55" s="656" t="s">
        <v>1791</v>
      </c>
      <c r="AB55" s="639" t="s">
        <v>1734</v>
      </c>
      <c r="AC55" s="649" t="s">
        <v>1884</v>
      </c>
      <c r="AD55" s="647" t="s">
        <v>1750</v>
      </c>
      <c r="AE55" s="639" t="s">
        <v>1737</v>
      </c>
      <c r="AF55" s="652">
        <v>44555</v>
      </c>
      <c r="AG55" s="652">
        <v>44555</v>
      </c>
      <c r="AH55" s="647" t="s">
        <v>1147</v>
      </c>
      <c r="AI55" s="638" t="s">
        <v>1834</v>
      </c>
      <c r="AJ55" s="638" t="s">
        <v>1740</v>
      </c>
      <c r="AK55" s="638" t="s">
        <v>1835</v>
      </c>
      <c r="AL55" s="638" t="s">
        <v>27</v>
      </c>
      <c r="AM55" s="639" t="s">
        <v>76</v>
      </c>
      <c r="AN55" s="639" t="s">
        <v>74</v>
      </c>
      <c r="AO55" s="653" t="s">
        <v>2022</v>
      </c>
      <c r="AP55" s="639" t="s">
        <v>2023</v>
      </c>
    </row>
    <row r="56" spans="1:44" s="528" customFormat="1" ht="30" customHeight="1">
      <c r="A56" s="129">
        <f t="shared" si="0"/>
        <v>55</v>
      </c>
      <c r="B56" s="129">
        <v>2022</v>
      </c>
      <c r="C56" s="129" t="s">
        <v>1512</v>
      </c>
      <c r="D56" s="129" t="s">
        <v>1513</v>
      </c>
      <c r="E56" s="636">
        <v>44753</v>
      </c>
      <c r="F56" s="129" t="s">
        <v>8</v>
      </c>
      <c r="G56" s="641">
        <v>44758</v>
      </c>
      <c r="H56" s="129" t="s">
        <v>1520</v>
      </c>
      <c r="I56" s="657" t="s">
        <v>1687</v>
      </c>
      <c r="J56" s="654" t="s">
        <v>1174</v>
      </c>
      <c r="K56" s="972" t="s">
        <v>1484</v>
      </c>
      <c r="L56" s="972" t="s">
        <v>1756</v>
      </c>
      <c r="M56" s="972" t="s">
        <v>2024</v>
      </c>
      <c r="N56" s="972" t="s">
        <v>34</v>
      </c>
      <c r="O56" s="973" t="s">
        <v>1688</v>
      </c>
      <c r="P56" s="972" t="s">
        <v>1818</v>
      </c>
      <c r="Q56" s="973" t="s">
        <v>1850</v>
      </c>
      <c r="R56" s="129" t="s">
        <v>1173</v>
      </c>
      <c r="S56" s="640" t="s">
        <v>34</v>
      </c>
      <c r="T56" s="129" t="s">
        <v>57</v>
      </c>
      <c r="U56" s="129" t="s">
        <v>1517</v>
      </c>
      <c r="V56" s="129" t="s">
        <v>1517</v>
      </c>
      <c r="W56" s="129" t="s">
        <v>1758</v>
      </c>
      <c r="X56" s="655" t="s">
        <v>1175</v>
      </c>
      <c r="Y56" s="654">
        <v>80002361</v>
      </c>
      <c r="Z56" s="639" t="s">
        <v>1820</v>
      </c>
      <c r="AA56" s="650" t="s">
        <v>1856</v>
      </c>
      <c r="AB56" s="639" t="s">
        <v>1734</v>
      </c>
      <c r="AC56" s="639" t="s">
        <v>1822</v>
      </c>
      <c r="AD56" s="639" t="s">
        <v>1736</v>
      </c>
      <c r="AE56" s="639" t="s">
        <v>1737</v>
      </c>
      <c r="AF56" s="652">
        <v>44509</v>
      </c>
      <c r="AG56" s="637">
        <v>44692</v>
      </c>
      <c r="AH56" s="647" t="s">
        <v>1147</v>
      </c>
      <c r="AI56" s="638" t="s">
        <v>1834</v>
      </c>
      <c r="AJ56" s="638" t="s">
        <v>1740</v>
      </c>
      <c r="AK56" s="638" t="s">
        <v>1835</v>
      </c>
      <c r="AL56" s="638" t="s">
        <v>27</v>
      </c>
      <c r="AM56" s="639" t="s">
        <v>76</v>
      </c>
      <c r="AN56" s="639" t="s">
        <v>74</v>
      </c>
      <c r="AO56" s="653" t="s">
        <v>2025</v>
      </c>
      <c r="AP56" s="653" t="s">
        <v>1184</v>
      </c>
    </row>
    <row r="57" spans="1:44" s="528" customFormat="1" ht="30" customHeight="1">
      <c r="A57" s="129">
        <f t="shared" si="0"/>
        <v>56</v>
      </c>
      <c r="B57" s="129">
        <v>2022</v>
      </c>
      <c r="C57" s="129" t="s">
        <v>1512</v>
      </c>
      <c r="D57" s="129" t="s">
        <v>1513</v>
      </c>
      <c r="E57" s="636">
        <v>44753</v>
      </c>
      <c r="F57" s="129" t="s">
        <v>8</v>
      </c>
      <c r="G57" s="641">
        <v>44763</v>
      </c>
      <c r="H57" s="129" t="s">
        <v>1534</v>
      </c>
      <c r="I57" s="657" t="s">
        <v>1607</v>
      </c>
      <c r="J57" s="654" t="s">
        <v>1207</v>
      </c>
      <c r="K57" s="972" t="s">
        <v>1484</v>
      </c>
      <c r="L57" s="972" t="s">
        <v>1490</v>
      </c>
      <c r="M57" s="972" t="s">
        <v>1207</v>
      </c>
      <c r="N57" s="972" t="s">
        <v>64</v>
      </c>
      <c r="O57" s="973" t="s">
        <v>2026</v>
      </c>
      <c r="P57" s="972" t="s">
        <v>1818</v>
      </c>
      <c r="Q57" s="973" t="s">
        <v>1745</v>
      </c>
      <c r="R57" s="129" t="s">
        <v>1206</v>
      </c>
      <c r="S57" s="129" t="s">
        <v>64</v>
      </c>
      <c r="T57" s="129" t="s">
        <v>57</v>
      </c>
      <c r="U57" s="129" t="s">
        <v>1517</v>
      </c>
      <c r="V57" s="129" t="s">
        <v>1517</v>
      </c>
      <c r="W57" s="129" t="s">
        <v>1730</v>
      </c>
      <c r="X57" s="655" t="s">
        <v>886</v>
      </c>
      <c r="Y57" s="654">
        <v>91221043</v>
      </c>
      <c r="Z57" s="639" t="s">
        <v>1820</v>
      </c>
      <c r="AA57" s="656" t="s">
        <v>2027</v>
      </c>
      <c r="AB57" s="639" t="s">
        <v>1734</v>
      </c>
      <c r="AC57" s="649" t="s">
        <v>1771</v>
      </c>
      <c r="AD57" s="639" t="s">
        <v>1772</v>
      </c>
      <c r="AE57" s="639" t="s">
        <v>1773</v>
      </c>
      <c r="AF57" s="637">
        <v>44621</v>
      </c>
      <c r="AG57" s="637">
        <v>44621</v>
      </c>
      <c r="AH57" s="638" t="s">
        <v>1738</v>
      </c>
      <c r="AI57" s="638" t="s">
        <v>2028</v>
      </c>
      <c r="AJ57" s="638" t="s">
        <v>1740</v>
      </c>
      <c r="AK57" s="638" t="s">
        <v>1806</v>
      </c>
      <c r="AL57" s="638" t="s">
        <v>27</v>
      </c>
      <c r="AM57" s="639" t="s">
        <v>76</v>
      </c>
      <c r="AN57" s="639" t="s">
        <v>71</v>
      </c>
      <c r="AO57" s="653" t="s">
        <v>2029</v>
      </c>
      <c r="AP57" s="653" t="s">
        <v>2030</v>
      </c>
    </row>
    <row r="58" spans="1:44" s="528" customFormat="1" ht="30" customHeight="1">
      <c r="A58" s="129">
        <f t="shared" si="0"/>
        <v>57</v>
      </c>
      <c r="B58" s="129">
        <v>2022</v>
      </c>
      <c r="C58" s="129" t="s">
        <v>1512</v>
      </c>
      <c r="D58" s="129" t="s">
        <v>1513</v>
      </c>
      <c r="E58" s="636">
        <v>44753</v>
      </c>
      <c r="F58" s="129" t="s">
        <v>8</v>
      </c>
      <c r="G58" s="652">
        <v>44764</v>
      </c>
      <c r="H58" s="129" t="s">
        <v>1546</v>
      </c>
      <c r="I58" s="657" t="s">
        <v>1690</v>
      </c>
      <c r="J58" s="654" t="s">
        <v>1691</v>
      </c>
      <c r="K58" s="972" t="s">
        <v>1484</v>
      </c>
      <c r="L58" s="972" t="s">
        <v>149</v>
      </c>
      <c r="M58" s="972" t="s">
        <v>540</v>
      </c>
      <c r="N58" s="972" t="s">
        <v>67</v>
      </c>
      <c r="O58" s="973" t="s">
        <v>1692</v>
      </c>
      <c r="P58" s="972" t="s">
        <v>1728</v>
      </c>
      <c r="Q58" s="973" t="s">
        <v>1850</v>
      </c>
      <c r="R58" s="129" t="s">
        <v>1219</v>
      </c>
      <c r="S58" s="628" t="s">
        <v>67</v>
      </c>
      <c r="T58" s="129" t="s">
        <v>58</v>
      </c>
      <c r="U58" s="129" t="s">
        <v>1517</v>
      </c>
      <c r="V58" s="129" t="s">
        <v>1517</v>
      </c>
      <c r="W58" s="129" t="s">
        <v>1730</v>
      </c>
      <c r="X58" s="638" t="s">
        <v>1221</v>
      </c>
      <c r="Y58" s="654">
        <v>80002614</v>
      </c>
      <c r="Z58" s="639" t="s">
        <v>1820</v>
      </c>
      <c r="AA58" s="639" t="s">
        <v>1781</v>
      </c>
      <c r="AB58" s="639" t="s">
        <v>1748</v>
      </c>
      <c r="AC58" s="649" t="s">
        <v>1761</v>
      </c>
      <c r="AD58" s="647" t="s">
        <v>1750</v>
      </c>
      <c r="AE58" s="639" t="s">
        <v>1737</v>
      </c>
      <c r="AF58" s="652">
        <v>44576</v>
      </c>
      <c r="AG58" s="652">
        <v>44576</v>
      </c>
      <c r="AH58" s="638" t="s">
        <v>1738</v>
      </c>
      <c r="AI58" s="638" t="s">
        <v>2031</v>
      </c>
      <c r="AJ58" s="638" t="s">
        <v>1886</v>
      </c>
      <c r="AK58" s="648" t="s">
        <v>1835</v>
      </c>
      <c r="AL58" s="638" t="s">
        <v>27</v>
      </c>
      <c r="AM58" s="639" t="s">
        <v>76</v>
      </c>
      <c r="AN58" s="639" t="s">
        <v>74</v>
      </c>
      <c r="AO58" s="639" t="s">
        <v>1223</v>
      </c>
      <c r="AP58" s="639" t="s">
        <v>1226</v>
      </c>
    </row>
    <row r="59" spans="1:44" ht="30" customHeight="1">
      <c r="A59" s="129">
        <f t="shared" si="0"/>
        <v>58</v>
      </c>
      <c r="B59" s="129">
        <v>2022</v>
      </c>
      <c r="C59" s="129" t="s">
        <v>1512</v>
      </c>
      <c r="D59" s="129" t="s">
        <v>1513</v>
      </c>
      <c r="E59" s="636">
        <v>44753</v>
      </c>
      <c r="F59" s="129" t="s">
        <v>8</v>
      </c>
      <c r="G59" s="641">
        <v>44770</v>
      </c>
      <c r="H59" s="129" t="s">
        <v>1534</v>
      </c>
      <c r="I59" s="657" t="s">
        <v>1693</v>
      </c>
      <c r="J59" s="638" t="s">
        <v>1235</v>
      </c>
      <c r="K59" s="972" t="s">
        <v>1484</v>
      </c>
      <c r="L59" s="972" t="s">
        <v>149</v>
      </c>
      <c r="M59" s="972" t="s">
        <v>2032</v>
      </c>
      <c r="N59" s="976" t="s">
        <v>66</v>
      </c>
      <c r="O59" s="977" t="s">
        <v>1694</v>
      </c>
      <c r="P59" s="976" t="s">
        <v>1697</v>
      </c>
      <c r="Q59" s="977" t="s">
        <v>1757</v>
      </c>
      <c r="R59" s="129" t="s">
        <v>1234</v>
      </c>
      <c r="S59" s="640" t="s">
        <v>66</v>
      </c>
      <c r="T59" s="129" t="s">
        <v>58</v>
      </c>
      <c r="U59" s="129" t="s">
        <v>1695</v>
      </c>
      <c r="V59" s="129" t="s">
        <v>1517</v>
      </c>
      <c r="W59" s="129" t="s">
        <v>1730</v>
      </c>
      <c r="X59" s="655" t="s">
        <v>1236</v>
      </c>
      <c r="Y59" s="654">
        <v>80004593</v>
      </c>
      <c r="Z59" s="649" t="s">
        <v>2033</v>
      </c>
      <c r="AA59" s="639" t="s">
        <v>1977</v>
      </c>
      <c r="AB59" s="639" t="s">
        <v>1748</v>
      </c>
      <c r="AC59" s="649" t="s">
        <v>1807</v>
      </c>
      <c r="AD59" s="639" t="s">
        <v>1736</v>
      </c>
      <c r="AE59" s="639" t="s">
        <v>1737</v>
      </c>
      <c r="AF59" s="652">
        <v>44735</v>
      </c>
      <c r="AG59" s="652">
        <v>44735</v>
      </c>
      <c r="AH59" s="648" t="s">
        <v>27</v>
      </c>
      <c r="AI59" s="654" t="s">
        <v>2034</v>
      </c>
      <c r="AJ59" s="638" t="s">
        <v>1886</v>
      </c>
      <c r="AK59" s="638" t="s">
        <v>1835</v>
      </c>
      <c r="AL59" s="648" t="s">
        <v>27</v>
      </c>
      <c r="AM59" s="639" t="s">
        <v>78</v>
      </c>
      <c r="AN59" s="639" t="s">
        <v>74</v>
      </c>
      <c r="AO59" s="639" t="s">
        <v>1238</v>
      </c>
      <c r="AP59" s="653" t="s">
        <v>2035</v>
      </c>
      <c r="AR59" s="528"/>
    </row>
    <row r="60" spans="1:44" ht="30" customHeight="1">
      <c r="A60" s="129">
        <f t="shared" si="0"/>
        <v>59</v>
      </c>
      <c r="B60" s="129">
        <v>2022</v>
      </c>
      <c r="C60" s="129" t="s">
        <v>1512</v>
      </c>
      <c r="D60" s="129" t="s">
        <v>1541</v>
      </c>
      <c r="E60" s="636">
        <v>44784</v>
      </c>
      <c r="F60" s="129" t="s">
        <v>121</v>
      </c>
      <c r="G60" s="641">
        <v>44777</v>
      </c>
      <c r="H60" s="129" t="s">
        <v>1534</v>
      </c>
      <c r="I60" s="657" t="s">
        <v>2036</v>
      </c>
      <c r="J60" s="638" t="s">
        <v>1249</v>
      </c>
      <c r="K60" s="972" t="s">
        <v>146</v>
      </c>
      <c r="L60" s="972" t="s">
        <v>1487</v>
      </c>
      <c r="M60" s="972" t="s">
        <v>1249</v>
      </c>
      <c r="N60" s="972" t="s">
        <v>67</v>
      </c>
      <c r="O60" s="973" t="s">
        <v>2037</v>
      </c>
      <c r="P60" s="972" t="s">
        <v>1744</v>
      </c>
      <c r="Q60" s="973" t="s">
        <v>1745</v>
      </c>
      <c r="R60" s="129" t="s">
        <v>1248</v>
      </c>
      <c r="S60" s="628" t="s">
        <v>67</v>
      </c>
      <c r="T60" s="129" t="s">
        <v>58</v>
      </c>
      <c r="U60" s="129" t="s">
        <v>1517</v>
      </c>
      <c r="V60" s="129" t="s">
        <v>1517</v>
      </c>
      <c r="W60" s="129" t="s">
        <v>1730</v>
      </c>
      <c r="X60" s="655" t="s">
        <v>1250</v>
      </c>
      <c r="Y60" s="654">
        <v>222431</v>
      </c>
      <c r="Z60" s="649" t="s">
        <v>1732</v>
      </c>
      <c r="AA60" s="639" t="s">
        <v>2038</v>
      </c>
      <c r="AB60" s="639" t="s">
        <v>1770</v>
      </c>
      <c r="AC60" s="649" t="s">
        <v>1761</v>
      </c>
      <c r="AD60" s="647" t="s">
        <v>1750</v>
      </c>
      <c r="AE60" s="639" t="s">
        <v>1737</v>
      </c>
      <c r="AF60" s="652">
        <v>44737</v>
      </c>
      <c r="AG60" s="652">
        <v>44737</v>
      </c>
      <c r="AH60" s="638" t="s">
        <v>1738</v>
      </c>
      <c r="AI60" s="638" t="s">
        <v>2039</v>
      </c>
      <c r="AJ60" s="638" t="s">
        <v>1886</v>
      </c>
      <c r="AK60" s="649" t="s">
        <v>1951</v>
      </c>
      <c r="AL60" s="648" t="s">
        <v>27</v>
      </c>
      <c r="AM60" s="639" t="s">
        <v>76</v>
      </c>
      <c r="AN60" s="639" t="s">
        <v>74</v>
      </c>
      <c r="AO60" s="639" t="s">
        <v>2040</v>
      </c>
      <c r="AP60" s="639" t="s">
        <v>2041</v>
      </c>
      <c r="AR60" s="528"/>
    </row>
    <row r="61" spans="1:44" ht="30" customHeight="1">
      <c r="A61" s="129">
        <f t="shared" si="0"/>
        <v>60</v>
      </c>
      <c r="B61" s="129">
        <v>2022</v>
      </c>
      <c r="C61" s="129" t="s">
        <v>1512</v>
      </c>
      <c r="D61" s="129" t="s">
        <v>1513</v>
      </c>
      <c r="E61" s="636">
        <v>44784</v>
      </c>
      <c r="F61" s="129" t="s">
        <v>121</v>
      </c>
      <c r="G61" s="641">
        <v>44780</v>
      </c>
      <c r="H61" s="129" t="s">
        <v>1514</v>
      </c>
      <c r="I61" s="657" t="s">
        <v>1579</v>
      </c>
      <c r="J61" s="638" t="s">
        <v>2042</v>
      </c>
      <c r="K61" s="972" t="s">
        <v>1484</v>
      </c>
      <c r="L61" s="972" t="s">
        <v>1490</v>
      </c>
      <c r="M61" s="972" t="s">
        <v>2042</v>
      </c>
      <c r="N61" s="972" t="s">
        <v>67</v>
      </c>
      <c r="O61" s="973" t="s">
        <v>2043</v>
      </c>
      <c r="P61" s="972" t="s">
        <v>2044</v>
      </c>
      <c r="Q61" s="977" t="s">
        <v>1757</v>
      </c>
      <c r="R61" s="129" t="s">
        <v>1266</v>
      </c>
      <c r="S61" s="628" t="s">
        <v>67</v>
      </c>
      <c r="T61" s="129" t="s">
        <v>58</v>
      </c>
      <c r="U61" s="129" t="s">
        <v>1517</v>
      </c>
      <c r="V61" s="129" t="s">
        <v>1517</v>
      </c>
      <c r="W61" s="129" t="s">
        <v>1730</v>
      </c>
      <c r="X61" s="655" t="s">
        <v>2045</v>
      </c>
      <c r="Y61" s="654">
        <v>80002480</v>
      </c>
      <c r="Z61" s="649" t="s">
        <v>1732</v>
      </c>
      <c r="AA61" s="639" t="s">
        <v>2046</v>
      </c>
      <c r="AB61" s="639" t="s">
        <v>1748</v>
      </c>
      <c r="AC61" s="649" t="s">
        <v>1749</v>
      </c>
      <c r="AD61" s="647" t="s">
        <v>1750</v>
      </c>
      <c r="AE61" s="639" t="s">
        <v>1737</v>
      </c>
      <c r="AF61" s="652">
        <v>44637</v>
      </c>
      <c r="AG61" s="652">
        <v>44637</v>
      </c>
      <c r="AH61" s="648" t="s">
        <v>1751</v>
      </c>
      <c r="AI61" s="639" t="s">
        <v>1784</v>
      </c>
      <c r="AJ61" s="639" t="s">
        <v>1740</v>
      </c>
      <c r="AK61" s="639" t="s">
        <v>1785</v>
      </c>
      <c r="AL61" s="648" t="s">
        <v>27</v>
      </c>
      <c r="AM61" s="639" t="s">
        <v>76</v>
      </c>
      <c r="AN61" s="639" t="s">
        <v>73</v>
      </c>
      <c r="AO61" s="981" t="s">
        <v>1274</v>
      </c>
      <c r="AP61" s="639" t="s">
        <v>2047</v>
      </c>
      <c r="AR61" s="528"/>
    </row>
    <row r="62" spans="1:44" ht="30" customHeight="1">
      <c r="A62" s="129">
        <f t="shared" si="0"/>
        <v>61</v>
      </c>
      <c r="B62" s="129">
        <v>2022</v>
      </c>
      <c r="C62" s="129" t="s">
        <v>1512</v>
      </c>
      <c r="D62" s="129" t="s">
        <v>1513</v>
      </c>
      <c r="E62" s="636">
        <v>44784</v>
      </c>
      <c r="F62" s="129" t="s">
        <v>121</v>
      </c>
      <c r="G62" s="641">
        <v>44787</v>
      </c>
      <c r="H62" s="129" t="s">
        <v>1514</v>
      </c>
      <c r="I62" s="129" t="s">
        <v>2048</v>
      </c>
      <c r="J62" s="638" t="s">
        <v>1280</v>
      </c>
      <c r="K62" s="972" t="s">
        <v>1484</v>
      </c>
      <c r="L62" s="972" t="s">
        <v>149</v>
      </c>
      <c r="M62" s="972" t="s">
        <v>405</v>
      </c>
      <c r="N62" s="972" t="s">
        <v>67</v>
      </c>
      <c r="O62" s="973" t="s">
        <v>2049</v>
      </c>
      <c r="P62" s="972" t="s">
        <v>1728</v>
      </c>
      <c r="Q62" s="973" t="s">
        <v>1729</v>
      </c>
      <c r="R62" s="129" t="s">
        <v>1279</v>
      </c>
      <c r="S62" s="628" t="s">
        <v>67</v>
      </c>
      <c r="T62" s="129" t="s">
        <v>58</v>
      </c>
      <c r="U62" s="129" t="s">
        <v>1695</v>
      </c>
      <c r="V62" s="129" t="s">
        <v>1517</v>
      </c>
      <c r="W62" s="129" t="s">
        <v>1730</v>
      </c>
      <c r="X62" s="638" t="s">
        <v>1281</v>
      </c>
      <c r="Y62" s="638">
        <v>80003199</v>
      </c>
      <c r="Z62" s="639" t="s">
        <v>2002</v>
      </c>
      <c r="AA62" s="639" t="s">
        <v>2050</v>
      </c>
      <c r="AB62" s="658" t="s">
        <v>1734</v>
      </c>
      <c r="AC62" s="658" t="s">
        <v>1867</v>
      </c>
      <c r="AD62" s="639" t="s">
        <v>1736</v>
      </c>
      <c r="AE62" s="639" t="s">
        <v>1737</v>
      </c>
      <c r="AF62" s="652">
        <v>44771</v>
      </c>
      <c r="AG62" s="652">
        <v>44771</v>
      </c>
      <c r="AH62" s="648" t="s">
        <v>27</v>
      </c>
      <c r="AI62" s="639" t="s">
        <v>2051</v>
      </c>
      <c r="AJ62" s="639" t="s">
        <v>1740</v>
      </c>
      <c r="AK62" s="639" t="s">
        <v>2052</v>
      </c>
      <c r="AL62" s="648" t="s">
        <v>27</v>
      </c>
      <c r="AM62" s="639" t="s">
        <v>77</v>
      </c>
      <c r="AN62" s="639" t="s">
        <v>75</v>
      </c>
      <c r="AO62" s="981" t="s">
        <v>2053</v>
      </c>
      <c r="AP62" s="981" t="s">
        <v>2054</v>
      </c>
      <c r="AR62" s="528"/>
    </row>
    <row r="63" spans="1:44" ht="30" customHeight="1">
      <c r="A63" s="129">
        <f t="shared" si="0"/>
        <v>62</v>
      </c>
      <c r="B63" s="129">
        <v>2022</v>
      </c>
      <c r="C63" s="129" t="s">
        <v>1512</v>
      </c>
      <c r="D63" s="129" t="s">
        <v>1513</v>
      </c>
      <c r="E63" s="636">
        <v>44784</v>
      </c>
      <c r="F63" s="129" t="s">
        <v>121</v>
      </c>
      <c r="G63" s="641">
        <v>44788</v>
      </c>
      <c r="H63" s="129" t="s">
        <v>1529</v>
      </c>
      <c r="I63" s="129" t="s">
        <v>2055</v>
      </c>
      <c r="J63" s="638" t="s">
        <v>619</v>
      </c>
      <c r="K63" s="972" t="s">
        <v>1484</v>
      </c>
      <c r="L63" s="972" t="s">
        <v>149</v>
      </c>
      <c r="M63" s="974" t="s">
        <v>619</v>
      </c>
      <c r="N63" s="972" t="s">
        <v>67</v>
      </c>
      <c r="O63" s="973" t="s">
        <v>2056</v>
      </c>
      <c r="P63" s="972" t="s">
        <v>1728</v>
      </c>
      <c r="Q63" s="973" t="s">
        <v>1745</v>
      </c>
      <c r="R63" s="129" t="s">
        <v>1287</v>
      </c>
      <c r="S63" s="628" t="s">
        <v>67</v>
      </c>
      <c r="T63" s="129" t="s">
        <v>58</v>
      </c>
      <c r="U63" s="129" t="s">
        <v>1517</v>
      </c>
      <c r="V63" s="129" t="s">
        <v>1517</v>
      </c>
      <c r="W63" s="129" t="s">
        <v>1730</v>
      </c>
      <c r="X63" s="638" t="s">
        <v>1288</v>
      </c>
      <c r="Y63" s="638">
        <v>800021819</v>
      </c>
      <c r="Z63" s="639" t="s">
        <v>2002</v>
      </c>
      <c r="AA63" s="639" t="s">
        <v>2057</v>
      </c>
      <c r="AB63" s="658" t="s">
        <v>1734</v>
      </c>
      <c r="AC63" s="658" t="s">
        <v>2058</v>
      </c>
      <c r="AD63" s="639" t="s">
        <v>1772</v>
      </c>
      <c r="AE63" s="639" t="s">
        <v>1773</v>
      </c>
      <c r="AF63" s="652">
        <v>44728</v>
      </c>
      <c r="AG63" s="652">
        <v>44728</v>
      </c>
      <c r="AH63" s="638" t="s">
        <v>1738</v>
      </c>
      <c r="AI63" s="638" t="s">
        <v>1928</v>
      </c>
      <c r="AJ63" s="638" t="s">
        <v>1740</v>
      </c>
      <c r="AK63" s="638" t="s">
        <v>1929</v>
      </c>
      <c r="AL63" s="638" t="s">
        <v>1738</v>
      </c>
      <c r="AM63" s="639" t="s">
        <v>76</v>
      </c>
      <c r="AN63" s="639" t="s">
        <v>71</v>
      </c>
      <c r="AO63" s="981" t="s">
        <v>2059</v>
      </c>
      <c r="AP63" s="981" t="s">
        <v>2060</v>
      </c>
      <c r="AR63" s="528"/>
    </row>
    <row r="64" spans="1:44" ht="30" customHeight="1">
      <c r="A64" s="129">
        <f t="shared" si="0"/>
        <v>63</v>
      </c>
      <c r="B64" s="129">
        <v>2022</v>
      </c>
      <c r="C64" s="129" t="s">
        <v>1512</v>
      </c>
      <c r="D64" s="129" t="s">
        <v>2061</v>
      </c>
      <c r="E64" s="636">
        <v>44784</v>
      </c>
      <c r="F64" s="129" t="s">
        <v>121</v>
      </c>
      <c r="G64" s="641">
        <v>44794</v>
      </c>
      <c r="H64" s="129" t="s">
        <v>1514</v>
      </c>
      <c r="I64" s="129" t="s">
        <v>1524</v>
      </c>
      <c r="J64" s="638" t="s">
        <v>1298</v>
      </c>
      <c r="K64" s="972" t="s">
        <v>1484</v>
      </c>
      <c r="L64" s="972" t="s">
        <v>1489</v>
      </c>
      <c r="M64" s="972" t="s">
        <v>1298</v>
      </c>
      <c r="N64" s="972" t="s">
        <v>66</v>
      </c>
      <c r="O64" s="973" t="s">
        <v>2062</v>
      </c>
      <c r="P64" s="972" t="s">
        <v>1697</v>
      </c>
      <c r="Q64" s="973" t="s">
        <v>2063</v>
      </c>
      <c r="R64" s="129" t="s">
        <v>1297</v>
      </c>
      <c r="S64" s="628" t="s">
        <v>66</v>
      </c>
      <c r="T64" s="129" t="s">
        <v>58</v>
      </c>
      <c r="U64" s="129" t="s">
        <v>1517</v>
      </c>
      <c r="V64" s="129" t="s">
        <v>1517</v>
      </c>
      <c r="W64" s="129" t="s">
        <v>1730</v>
      </c>
      <c r="X64" s="638" t="s">
        <v>1299</v>
      </c>
      <c r="Y64" s="638" t="s">
        <v>2064</v>
      </c>
      <c r="Z64" s="639" t="s">
        <v>2065</v>
      </c>
      <c r="AA64" s="639" t="s">
        <v>2038</v>
      </c>
      <c r="AB64" s="639" t="s">
        <v>1770</v>
      </c>
      <c r="AC64" s="658" t="s">
        <v>2066</v>
      </c>
      <c r="AD64" s="647" t="s">
        <v>1813</v>
      </c>
      <c r="AE64" s="639" t="s">
        <v>1737</v>
      </c>
      <c r="AF64" s="652">
        <v>44789</v>
      </c>
      <c r="AG64" s="652">
        <v>44789</v>
      </c>
      <c r="AH64" s="638" t="s">
        <v>1738</v>
      </c>
      <c r="AI64" s="639" t="s">
        <v>1299</v>
      </c>
      <c r="AJ64" s="638" t="s">
        <v>1886</v>
      </c>
      <c r="AK64" s="638" t="s">
        <v>2067</v>
      </c>
      <c r="AL64" s="638" t="s">
        <v>1738</v>
      </c>
      <c r="AM64" s="639" t="s">
        <v>76</v>
      </c>
      <c r="AN64" s="639" t="s">
        <v>73</v>
      </c>
      <c r="AO64" s="981" t="s">
        <v>1306</v>
      </c>
      <c r="AP64" s="981" t="s">
        <v>1308</v>
      </c>
      <c r="AR64" s="528"/>
    </row>
    <row r="65" spans="1:44" ht="30" customHeight="1">
      <c r="A65" s="129">
        <f t="shared" si="0"/>
        <v>64</v>
      </c>
      <c r="B65" s="129">
        <v>2022</v>
      </c>
      <c r="C65" s="129" t="s">
        <v>1512</v>
      </c>
      <c r="D65" s="129" t="s">
        <v>1513</v>
      </c>
      <c r="E65" s="636">
        <v>44784</v>
      </c>
      <c r="F65" s="129" t="s">
        <v>121</v>
      </c>
      <c r="G65" s="641">
        <v>44796</v>
      </c>
      <c r="H65" s="129" t="s">
        <v>1564</v>
      </c>
      <c r="I65" s="129" t="s">
        <v>1620</v>
      </c>
      <c r="J65" s="638" t="s">
        <v>1311</v>
      </c>
      <c r="K65" s="972" t="s">
        <v>155</v>
      </c>
      <c r="L65" s="972" t="s">
        <v>155</v>
      </c>
      <c r="M65" s="972" t="s">
        <v>1311</v>
      </c>
      <c r="N65" s="972" t="s">
        <v>67</v>
      </c>
      <c r="O65" s="973" t="s">
        <v>2068</v>
      </c>
      <c r="P65" s="972" t="s">
        <v>1728</v>
      </c>
      <c r="Q65" s="973" t="s">
        <v>1745</v>
      </c>
      <c r="R65" s="129" t="s">
        <v>1310</v>
      </c>
      <c r="S65" s="628" t="s">
        <v>67</v>
      </c>
      <c r="T65" s="129" t="s">
        <v>58</v>
      </c>
      <c r="U65" s="129" t="s">
        <v>1616</v>
      </c>
      <c r="V65" s="129" t="s">
        <v>1616</v>
      </c>
      <c r="W65" s="129" t="s">
        <v>1730</v>
      </c>
      <c r="X65" s="638" t="s">
        <v>1312</v>
      </c>
      <c r="Y65" s="638" t="s">
        <v>2069</v>
      </c>
      <c r="Z65" s="639" t="s">
        <v>2070</v>
      </c>
      <c r="AA65" s="639" t="s">
        <v>1781</v>
      </c>
      <c r="AB65" s="639" t="s">
        <v>1748</v>
      </c>
      <c r="AC65" s="639" t="s">
        <v>1827</v>
      </c>
      <c r="AD65" s="639" t="s">
        <v>1736</v>
      </c>
      <c r="AE65" s="639" t="s">
        <v>1737</v>
      </c>
      <c r="AF65" s="652">
        <v>44635</v>
      </c>
      <c r="AG65" s="652">
        <v>44635</v>
      </c>
      <c r="AH65" s="648" t="s">
        <v>27</v>
      </c>
      <c r="AI65" s="639" t="s">
        <v>2071</v>
      </c>
      <c r="AJ65" s="638" t="s">
        <v>1886</v>
      </c>
      <c r="AK65" s="638" t="s">
        <v>2072</v>
      </c>
      <c r="AL65" s="648" t="s">
        <v>27</v>
      </c>
      <c r="AM65" s="639" t="s">
        <v>76</v>
      </c>
      <c r="AN65" s="639" t="s">
        <v>73</v>
      </c>
      <c r="AO65" s="981" t="s">
        <v>2073</v>
      </c>
      <c r="AP65" s="981" t="s">
        <v>2074</v>
      </c>
      <c r="AR65" s="528"/>
    </row>
    <row r="66" spans="1:44" ht="30" customHeight="1">
      <c r="A66" s="129">
        <f t="shared" si="0"/>
        <v>65</v>
      </c>
      <c r="B66" s="129">
        <v>2022</v>
      </c>
      <c r="C66" s="129" t="s">
        <v>1512</v>
      </c>
      <c r="D66" s="129" t="s">
        <v>1513</v>
      </c>
      <c r="E66" s="636">
        <v>44784</v>
      </c>
      <c r="F66" s="129" t="s">
        <v>121</v>
      </c>
      <c r="G66" s="641">
        <v>44797</v>
      </c>
      <c r="H66" s="129" t="s">
        <v>1581</v>
      </c>
      <c r="I66" s="129" t="s">
        <v>2075</v>
      </c>
      <c r="J66" s="638" t="s">
        <v>1324</v>
      </c>
      <c r="K66" s="972" t="s">
        <v>1484</v>
      </c>
      <c r="L66" s="972" t="s">
        <v>1756</v>
      </c>
      <c r="M66" s="972" t="s">
        <v>1324</v>
      </c>
      <c r="N66" s="972" t="s">
        <v>64</v>
      </c>
      <c r="O66" s="973" t="s">
        <v>2076</v>
      </c>
      <c r="P66" s="972" t="s">
        <v>1744</v>
      </c>
      <c r="Q66" s="973" t="s">
        <v>1745</v>
      </c>
      <c r="R66" s="129" t="s">
        <v>1323</v>
      </c>
      <c r="S66" s="628" t="s">
        <v>64</v>
      </c>
      <c r="T66" s="129" t="s">
        <v>57</v>
      </c>
      <c r="U66" s="129" t="s">
        <v>1517</v>
      </c>
      <c r="V66" s="129" t="s">
        <v>1517</v>
      </c>
      <c r="W66" s="129" t="s">
        <v>1730</v>
      </c>
      <c r="X66" s="638" t="s">
        <v>1325</v>
      </c>
      <c r="Y66" s="638">
        <v>80003008</v>
      </c>
      <c r="Z66" s="649" t="s">
        <v>1732</v>
      </c>
      <c r="AA66" s="639" t="s">
        <v>2077</v>
      </c>
      <c r="AB66" s="639" t="s">
        <v>1799</v>
      </c>
      <c r="AC66" s="658" t="s">
        <v>2078</v>
      </c>
      <c r="AD66" s="639" t="s">
        <v>1736</v>
      </c>
      <c r="AE66" s="639" t="s">
        <v>1737</v>
      </c>
      <c r="AF66" s="652">
        <v>44757</v>
      </c>
      <c r="AG66" s="652">
        <v>44757</v>
      </c>
      <c r="AH66" s="638" t="s">
        <v>1738</v>
      </c>
      <c r="AI66" s="639" t="s">
        <v>2079</v>
      </c>
      <c r="AJ66" s="638" t="s">
        <v>1740</v>
      </c>
      <c r="AK66" s="638" t="s">
        <v>1869</v>
      </c>
      <c r="AL66" s="648" t="s">
        <v>27</v>
      </c>
      <c r="AM66" s="639" t="s">
        <v>76</v>
      </c>
      <c r="AN66" s="639" t="s">
        <v>74</v>
      </c>
      <c r="AO66" s="981" t="s">
        <v>2080</v>
      </c>
      <c r="AP66" s="981" t="s">
        <v>2081</v>
      </c>
      <c r="AR66" s="528"/>
    </row>
    <row r="67" spans="1:44" ht="30" customHeight="1">
      <c r="A67" s="129">
        <f t="shared" si="0"/>
        <v>66</v>
      </c>
      <c r="B67" s="129">
        <v>2022</v>
      </c>
      <c r="C67" s="129" t="s">
        <v>1512</v>
      </c>
      <c r="D67" s="129" t="s">
        <v>1513</v>
      </c>
      <c r="E67" s="636">
        <v>44784</v>
      </c>
      <c r="F67" s="129" t="s">
        <v>121</v>
      </c>
      <c r="G67" s="641">
        <v>44799</v>
      </c>
      <c r="H67" s="129" t="s">
        <v>1546</v>
      </c>
      <c r="I67" s="129" t="s">
        <v>1687</v>
      </c>
      <c r="J67" s="638" t="s">
        <v>1328</v>
      </c>
      <c r="K67" s="972" t="s">
        <v>1484</v>
      </c>
      <c r="L67" s="972" t="s">
        <v>1756</v>
      </c>
      <c r="M67" s="972" t="s">
        <v>1328</v>
      </c>
      <c r="N67" s="972" t="s">
        <v>64</v>
      </c>
      <c r="O67" s="973" t="s">
        <v>2082</v>
      </c>
      <c r="P67" s="972" t="s">
        <v>1744</v>
      </c>
      <c r="Q67" s="973" t="s">
        <v>1745</v>
      </c>
      <c r="R67" s="129" t="s">
        <v>1327</v>
      </c>
      <c r="S67" s="628" t="s">
        <v>67</v>
      </c>
      <c r="T67" s="129" t="s">
        <v>58</v>
      </c>
      <c r="U67" s="129" t="s">
        <v>1517</v>
      </c>
      <c r="V67" s="129" t="s">
        <v>1517</v>
      </c>
      <c r="W67" s="129" t="s">
        <v>1758</v>
      </c>
      <c r="X67" s="638" t="s">
        <v>1329</v>
      </c>
      <c r="Y67" s="638">
        <v>80002352</v>
      </c>
      <c r="Z67" s="649" t="s">
        <v>1732</v>
      </c>
      <c r="AA67" s="639" t="s">
        <v>2046</v>
      </c>
      <c r="AB67" s="639" t="s">
        <v>1748</v>
      </c>
      <c r="AC67" s="658" t="s">
        <v>2083</v>
      </c>
      <c r="AD67" s="639" t="s">
        <v>1736</v>
      </c>
      <c r="AE67" s="639" t="s">
        <v>1737</v>
      </c>
      <c r="AF67" s="652">
        <v>44767</v>
      </c>
      <c r="AG67" s="652">
        <v>44767</v>
      </c>
      <c r="AH67" s="638" t="s">
        <v>1738</v>
      </c>
      <c r="AI67" s="638" t="s">
        <v>2031</v>
      </c>
      <c r="AJ67" s="638" t="s">
        <v>1886</v>
      </c>
      <c r="AK67" s="648" t="s">
        <v>1835</v>
      </c>
      <c r="AL67" s="648" t="s">
        <v>27</v>
      </c>
      <c r="AM67" s="639" t="s">
        <v>76</v>
      </c>
      <c r="AN67" s="639" t="s">
        <v>71</v>
      </c>
      <c r="AO67" s="999" t="s">
        <v>2084</v>
      </c>
      <c r="AP67" s="981" t="s">
        <v>2085</v>
      </c>
      <c r="AR67" s="528"/>
    </row>
    <row r="68" spans="1:44" ht="30" customHeight="1">
      <c r="A68" s="129">
        <f t="shared" ref="A68:A75" si="1">A67+1</f>
        <v>67</v>
      </c>
      <c r="B68" s="129">
        <v>2022</v>
      </c>
      <c r="C68" s="129" t="s">
        <v>1512</v>
      </c>
      <c r="D68" s="129" t="s">
        <v>1513</v>
      </c>
      <c r="E68" s="636">
        <v>44784</v>
      </c>
      <c r="F68" s="129" t="s">
        <v>121</v>
      </c>
      <c r="G68" s="641">
        <v>44800</v>
      </c>
      <c r="H68" s="129" t="s">
        <v>1520</v>
      </c>
      <c r="I68" s="129" t="s">
        <v>1668</v>
      </c>
      <c r="J68" s="638" t="s">
        <v>1332</v>
      </c>
      <c r="K68" s="972" t="s">
        <v>1484</v>
      </c>
      <c r="L68" s="972" t="s">
        <v>1756</v>
      </c>
      <c r="M68" s="972" t="s">
        <v>2024</v>
      </c>
      <c r="N68" s="972" t="s">
        <v>64</v>
      </c>
      <c r="O68" s="973" t="s">
        <v>2086</v>
      </c>
      <c r="P68" s="972" t="s">
        <v>1818</v>
      </c>
      <c r="Q68" s="973" t="s">
        <v>1850</v>
      </c>
      <c r="R68" s="129" t="s">
        <v>1331</v>
      </c>
      <c r="S68" s="628" t="s">
        <v>64</v>
      </c>
      <c r="T68" s="129" t="s">
        <v>57</v>
      </c>
      <c r="U68" s="129" t="s">
        <v>1517</v>
      </c>
      <c r="V68" s="129" t="s">
        <v>1517</v>
      </c>
      <c r="W68" s="129" t="s">
        <v>1730</v>
      </c>
      <c r="X68" s="638" t="s">
        <v>1333</v>
      </c>
      <c r="Y68" s="638">
        <v>80002649</v>
      </c>
      <c r="Z68" s="649" t="s">
        <v>1732</v>
      </c>
      <c r="AA68" s="639" t="s">
        <v>1951</v>
      </c>
      <c r="AB68" s="639" t="s">
        <v>1748</v>
      </c>
      <c r="AC68" s="658" t="s">
        <v>1980</v>
      </c>
      <c r="AD68" s="639" t="s">
        <v>1772</v>
      </c>
      <c r="AE68" s="639" t="s">
        <v>1773</v>
      </c>
      <c r="AF68" s="652">
        <v>44752</v>
      </c>
      <c r="AG68" s="652">
        <v>44752</v>
      </c>
      <c r="AH68" s="638" t="s">
        <v>1738</v>
      </c>
      <c r="AI68" s="638" t="s">
        <v>2079</v>
      </c>
      <c r="AJ68" s="638" t="s">
        <v>1740</v>
      </c>
      <c r="AK68" s="638" t="s">
        <v>1869</v>
      </c>
      <c r="AL68" s="648" t="s">
        <v>27</v>
      </c>
      <c r="AM68" s="639" t="s">
        <v>76</v>
      </c>
      <c r="AN68" s="639" t="s">
        <v>74</v>
      </c>
      <c r="AO68" s="653" t="s">
        <v>1223</v>
      </c>
      <c r="AP68" s="981" t="s">
        <v>2087</v>
      </c>
      <c r="AR68" s="528"/>
    </row>
    <row r="69" spans="1:44" ht="30" customHeight="1">
      <c r="A69" s="129">
        <f t="shared" si="1"/>
        <v>68</v>
      </c>
      <c r="B69" s="129">
        <v>2022</v>
      </c>
      <c r="C69" s="129" t="s">
        <v>1512</v>
      </c>
      <c r="D69" s="129" t="s">
        <v>2088</v>
      </c>
      <c r="E69" s="636">
        <v>44805</v>
      </c>
      <c r="F69" s="129" t="s">
        <v>10</v>
      </c>
      <c r="G69" s="641">
        <v>44826</v>
      </c>
      <c r="H69" s="129" t="s">
        <v>1534</v>
      </c>
      <c r="I69" s="129" t="s">
        <v>2089</v>
      </c>
      <c r="J69" s="638" t="s">
        <v>2090</v>
      </c>
      <c r="K69" s="972" t="s">
        <v>146</v>
      </c>
      <c r="L69" s="972" t="s">
        <v>1495</v>
      </c>
      <c r="M69" s="972" t="s">
        <v>1347</v>
      </c>
      <c r="N69" s="972" t="s">
        <v>64</v>
      </c>
      <c r="O69" s="973" t="s">
        <v>2091</v>
      </c>
      <c r="P69" s="972" t="s">
        <v>1744</v>
      </c>
      <c r="Q69" s="973" t="s">
        <v>2092</v>
      </c>
      <c r="R69" s="129" t="s">
        <v>2093</v>
      </c>
      <c r="S69" s="129" t="s">
        <v>64</v>
      </c>
      <c r="T69" s="129" t="s">
        <v>58</v>
      </c>
      <c r="U69" s="129" t="s">
        <v>1544</v>
      </c>
      <c r="V69" s="129" t="s">
        <v>1544</v>
      </c>
      <c r="W69" s="129" t="s">
        <v>1730</v>
      </c>
      <c r="X69" s="638" t="s">
        <v>2094</v>
      </c>
      <c r="Y69" s="638">
        <v>80005328</v>
      </c>
      <c r="Z69" s="639" t="s">
        <v>1843</v>
      </c>
      <c r="AA69" s="639" t="s">
        <v>1961</v>
      </c>
      <c r="AB69" s="639" t="s">
        <v>1770</v>
      </c>
      <c r="AC69" s="639" t="s">
        <v>2095</v>
      </c>
      <c r="AD69" s="647" t="s">
        <v>1750</v>
      </c>
      <c r="AE69" s="639" t="s">
        <v>1737</v>
      </c>
      <c r="AF69" s="1087">
        <v>44781</v>
      </c>
      <c r="AG69" s="1087">
        <v>44781</v>
      </c>
      <c r="AH69" s="638" t="s">
        <v>1738</v>
      </c>
      <c r="AI69" s="639" t="s">
        <v>436</v>
      </c>
      <c r="AJ69" s="638" t="s">
        <v>1740</v>
      </c>
      <c r="AK69" s="638" t="s">
        <v>1821</v>
      </c>
      <c r="AL69" s="648" t="s">
        <v>27</v>
      </c>
      <c r="AM69" s="639" t="s">
        <v>76</v>
      </c>
      <c r="AN69" s="639" t="s">
        <v>74</v>
      </c>
      <c r="AO69" s="639" t="s">
        <v>2096</v>
      </c>
      <c r="AP69" s="639" t="s">
        <v>2097</v>
      </c>
    </row>
    <row r="70" spans="1:44" s="528" customFormat="1" ht="30" customHeight="1">
      <c r="A70" s="129">
        <f t="shared" si="1"/>
        <v>69</v>
      </c>
      <c r="B70" s="129">
        <v>2022</v>
      </c>
      <c r="C70" s="129" t="s">
        <v>1512</v>
      </c>
      <c r="D70" s="129" t="s">
        <v>2088</v>
      </c>
      <c r="E70" s="636">
        <v>44805</v>
      </c>
      <c r="F70" s="129" t="s">
        <v>10</v>
      </c>
      <c r="G70" s="641">
        <v>44831</v>
      </c>
      <c r="H70" s="129" t="s">
        <v>1529</v>
      </c>
      <c r="I70" s="129" t="s">
        <v>1684</v>
      </c>
      <c r="J70" s="638" t="s">
        <v>2098</v>
      </c>
      <c r="K70" s="972" t="s">
        <v>1484</v>
      </c>
      <c r="L70" s="972" t="s">
        <v>149</v>
      </c>
      <c r="M70" s="972" t="s">
        <v>1366</v>
      </c>
      <c r="N70" s="972" t="s">
        <v>64</v>
      </c>
      <c r="O70" s="973" t="s">
        <v>2099</v>
      </c>
      <c r="P70" s="972" t="s">
        <v>1744</v>
      </c>
      <c r="Q70" s="973" t="s">
        <v>1831</v>
      </c>
      <c r="R70" s="129" t="s">
        <v>2100</v>
      </c>
      <c r="S70" s="129" t="s">
        <v>64</v>
      </c>
      <c r="T70" s="129" t="s">
        <v>57</v>
      </c>
      <c r="U70" s="129" t="s">
        <v>1517</v>
      </c>
      <c r="V70" s="129" t="s">
        <v>1517</v>
      </c>
      <c r="W70" s="129" t="s">
        <v>1758</v>
      </c>
      <c r="X70" s="654" t="s">
        <v>2101</v>
      </c>
      <c r="Y70" s="654">
        <v>8000693</v>
      </c>
      <c r="Z70" s="649" t="s">
        <v>1820</v>
      </c>
      <c r="AA70" s="649" t="s">
        <v>2102</v>
      </c>
      <c r="AB70" s="649" t="s">
        <v>1799</v>
      </c>
      <c r="AC70" s="649" t="s">
        <v>1792</v>
      </c>
      <c r="AD70" s="649" t="s">
        <v>1750</v>
      </c>
      <c r="AE70" s="649" t="s">
        <v>1737</v>
      </c>
      <c r="AF70" s="652">
        <v>44498</v>
      </c>
      <c r="AG70" s="652">
        <v>44863</v>
      </c>
      <c r="AH70" s="638" t="s">
        <v>1738</v>
      </c>
      <c r="AI70" s="649" t="s">
        <v>1858</v>
      </c>
      <c r="AJ70" s="638" t="s">
        <v>1740</v>
      </c>
      <c r="AK70" s="649" t="s">
        <v>2103</v>
      </c>
      <c r="AL70" s="648" t="s">
        <v>27</v>
      </c>
      <c r="AM70" s="639" t="s">
        <v>76</v>
      </c>
      <c r="AN70" s="639" t="s">
        <v>74</v>
      </c>
      <c r="AO70" s="639" t="s">
        <v>1836</v>
      </c>
      <c r="AP70" s="639" t="s">
        <v>1837</v>
      </c>
    </row>
    <row r="71" spans="1:44" ht="30" customHeight="1">
      <c r="A71" s="129">
        <f t="shared" si="1"/>
        <v>70</v>
      </c>
      <c r="B71" s="129">
        <v>2022</v>
      </c>
      <c r="C71" s="129" t="s">
        <v>1512</v>
      </c>
      <c r="D71" s="129" t="s">
        <v>2088</v>
      </c>
      <c r="E71" s="636">
        <v>44805</v>
      </c>
      <c r="F71" s="129" t="s">
        <v>10</v>
      </c>
      <c r="G71" s="641">
        <v>44829</v>
      </c>
      <c r="H71" s="129" t="s">
        <v>1514</v>
      </c>
      <c r="I71" s="129" t="s">
        <v>2104</v>
      </c>
      <c r="J71" s="638" t="s">
        <v>302</v>
      </c>
      <c r="K71" s="972" t="s">
        <v>1484</v>
      </c>
      <c r="L71" s="972" t="s">
        <v>1756</v>
      </c>
      <c r="M71" s="972" t="s">
        <v>679</v>
      </c>
      <c r="N71" s="972" t="s">
        <v>67</v>
      </c>
      <c r="O71" s="1223" t="s">
        <v>2105</v>
      </c>
      <c r="P71" s="972" t="s">
        <v>1850</v>
      </c>
      <c r="Q71" s="973" t="s">
        <v>1850</v>
      </c>
      <c r="R71" s="129" t="s">
        <v>2106</v>
      </c>
      <c r="S71" s="628" t="s">
        <v>67</v>
      </c>
      <c r="T71" s="129" t="s">
        <v>58</v>
      </c>
      <c r="U71" s="129" t="s">
        <v>1517</v>
      </c>
      <c r="V71" s="129" t="s">
        <v>1517</v>
      </c>
      <c r="W71" s="129" t="s">
        <v>1730</v>
      </c>
      <c r="X71" s="654" t="s">
        <v>1379</v>
      </c>
      <c r="Y71" s="1105">
        <v>80003780</v>
      </c>
      <c r="Z71" s="649" t="s">
        <v>1820</v>
      </c>
      <c r="AA71" s="649" t="s">
        <v>1876</v>
      </c>
      <c r="AB71" s="649" t="s">
        <v>1748</v>
      </c>
      <c r="AC71" s="649" t="s">
        <v>1771</v>
      </c>
      <c r="AD71" s="649" t="s">
        <v>1772</v>
      </c>
      <c r="AE71" s="649" t="s">
        <v>1773</v>
      </c>
      <c r="AF71" s="652">
        <v>44699</v>
      </c>
      <c r="AG71" s="652">
        <v>44699</v>
      </c>
      <c r="AH71" s="638" t="s">
        <v>1738</v>
      </c>
      <c r="AI71" s="649" t="s">
        <v>1858</v>
      </c>
      <c r="AJ71" s="638" t="s">
        <v>1740</v>
      </c>
      <c r="AK71" s="649" t="s">
        <v>2103</v>
      </c>
      <c r="AL71" s="648" t="s">
        <v>27</v>
      </c>
      <c r="AM71" s="639" t="s">
        <v>76</v>
      </c>
      <c r="AN71" s="639" t="s">
        <v>74</v>
      </c>
      <c r="AO71" s="999" t="s">
        <v>2107</v>
      </c>
      <c r="AP71" s="981" t="s">
        <v>1394</v>
      </c>
    </row>
    <row r="72" spans="1:44" ht="30" customHeight="1">
      <c r="A72" s="129">
        <f t="shared" si="1"/>
        <v>71</v>
      </c>
      <c r="B72" s="129">
        <v>2022</v>
      </c>
      <c r="C72" s="129" t="s">
        <v>1512</v>
      </c>
      <c r="D72" s="129" t="s">
        <v>2088</v>
      </c>
      <c r="E72" s="636">
        <v>44835</v>
      </c>
      <c r="F72" s="129" t="s">
        <v>122</v>
      </c>
      <c r="G72" s="1087">
        <v>44842</v>
      </c>
      <c r="H72" s="129" t="s">
        <v>2108</v>
      </c>
      <c r="I72" s="129" t="s">
        <v>2109</v>
      </c>
      <c r="J72" s="638" t="s">
        <v>733</v>
      </c>
      <c r="K72" s="972" t="s">
        <v>1484</v>
      </c>
      <c r="L72" s="972" t="s">
        <v>1756</v>
      </c>
      <c r="M72" s="972" t="s">
        <v>679</v>
      </c>
      <c r="N72" s="972" t="s">
        <v>64</v>
      </c>
      <c r="O72" s="973" t="s">
        <v>2110</v>
      </c>
      <c r="P72" s="972" t="s">
        <v>1744</v>
      </c>
      <c r="Q72" s="1224" t="s">
        <v>1831</v>
      </c>
      <c r="R72" s="129" t="s">
        <v>1396</v>
      </c>
      <c r="S72" s="129" t="s">
        <v>64</v>
      </c>
      <c r="T72" s="129" t="s">
        <v>57</v>
      </c>
      <c r="U72" s="129" t="s">
        <v>1517</v>
      </c>
      <c r="V72" s="129" t="s">
        <v>1517</v>
      </c>
      <c r="W72" s="129" t="s">
        <v>1730</v>
      </c>
      <c r="X72" s="638" t="s">
        <v>620</v>
      </c>
      <c r="Y72" s="1147">
        <v>80003035</v>
      </c>
      <c r="Z72" s="639" t="s">
        <v>1820</v>
      </c>
      <c r="AA72" s="639" t="s">
        <v>2111</v>
      </c>
      <c r="AB72" s="639" t="s">
        <v>1734</v>
      </c>
      <c r="AC72" s="639" t="s">
        <v>1782</v>
      </c>
      <c r="AD72" s="639" t="s">
        <v>1736</v>
      </c>
      <c r="AE72" s="639" t="s">
        <v>1737</v>
      </c>
      <c r="AF72" s="1228"/>
      <c r="AG72" s="1228"/>
      <c r="AH72" s="1229"/>
      <c r="AI72" s="638" t="s">
        <v>2031</v>
      </c>
      <c r="AJ72" s="638" t="s">
        <v>1886</v>
      </c>
      <c r="AK72" s="648" t="s">
        <v>1835</v>
      </c>
      <c r="AL72" s="1229"/>
      <c r="AM72" s="1229"/>
      <c r="AN72" s="1229"/>
      <c r="AO72" s="1229"/>
      <c r="AP72" s="1229"/>
    </row>
    <row r="73" spans="1:44" ht="30" customHeight="1">
      <c r="A73" s="129">
        <f t="shared" si="1"/>
        <v>72</v>
      </c>
      <c r="B73" s="129">
        <v>2022</v>
      </c>
      <c r="C73" s="129" t="s">
        <v>1512</v>
      </c>
      <c r="D73" s="129" t="s">
        <v>2088</v>
      </c>
      <c r="E73" s="636">
        <v>44835</v>
      </c>
      <c r="F73" s="129" t="s">
        <v>122</v>
      </c>
      <c r="G73" s="1087">
        <v>44845</v>
      </c>
      <c r="H73" s="129" t="s">
        <v>1564</v>
      </c>
      <c r="I73" s="129" t="s">
        <v>2112</v>
      </c>
      <c r="J73" s="638" t="s">
        <v>2113</v>
      </c>
      <c r="K73" s="972" t="s">
        <v>155</v>
      </c>
      <c r="L73" s="972" t="s">
        <v>155</v>
      </c>
      <c r="M73" s="972" t="s">
        <v>2113</v>
      </c>
      <c r="N73" s="972" t="s">
        <v>64</v>
      </c>
      <c r="O73" s="973" t="s">
        <v>2114</v>
      </c>
      <c r="P73" s="972" t="s">
        <v>1744</v>
      </c>
      <c r="Q73" s="1224"/>
      <c r="R73" s="129" t="s">
        <v>1399</v>
      </c>
      <c r="S73" s="129" t="s">
        <v>64</v>
      </c>
      <c r="T73" s="129" t="s">
        <v>58</v>
      </c>
      <c r="U73" s="129" t="s">
        <v>1616</v>
      </c>
      <c r="V73" s="129" t="s">
        <v>1616</v>
      </c>
      <c r="W73" s="129" t="s">
        <v>1758</v>
      </c>
      <c r="X73" s="638" t="s">
        <v>1401</v>
      </c>
      <c r="Y73" s="1147">
        <v>80000429</v>
      </c>
      <c r="Z73" s="639" t="s">
        <v>2011</v>
      </c>
      <c r="AA73" s="639" t="s">
        <v>2111</v>
      </c>
      <c r="AB73" s="639" t="s">
        <v>1734</v>
      </c>
      <c r="AC73" s="1222"/>
      <c r="AD73" s="1222"/>
      <c r="AE73" s="1222"/>
      <c r="AF73" s="1228"/>
      <c r="AG73" s="1228"/>
      <c r="AH73" s="1229"/>
      <c r="AI73" s="638" t="s">
        <v>2115</v>
      </c>
      <c r="AJ73" s="638" t="s">
        <v>1886</v>
      </c>
      <c r="AK73" s="1229"/>
      <c r="AL73" s="1229"/>
      <c r="AM73" s="1229"/>
      <c r="AN73" s="1229"/>
      <c r="AO73" s="1229"/>
      <c r="AP73" s="1229"/>
    </row>
    <row r="74" spans="1:44" ht="30" customHeight="1">
      <c r="A74" s="129">
        <f t="shared" si="1"/>
        <v>73</v>
      </c>
      <c r="B74" s="129">
        <v>2022</v>
      </c>
      <c r="C74" s="129" t="s">
        <v>1512</v>
      </c>
      <c r="D74" s="129" t="s">
        <v>2088</v>
      </c>
      <c r="E74" s="636">
        <v>44835</v>
      </c>
      <c r="F74" s="129" t="s">
        <v>122</v>
      </c>
      <c r="G74" s="1087">
        <v>44845</v>
      </c>
      <c r="H74" s="129" t="s">
        <v>1564</v>
      </c>
      <c r="I74" s="129" t="s">
        <v>1632</v>
      </c>
      <c r="J74" s="638" t="s">
        <v>2116</v>
      </c>
      <c r="K74" s="972" t="s">
        <v>1484</v>
      </c>
      <c r="L74" s="972" t="s">
        <v>149</v>
      </c>
      <c r="M74" s="972" t="s">
        <v>2116</v>
      </c>
      <c r="N74" s="972" t="s">
        <v>66</v>
      </c>
      <c r="O74" s="973" t="s">
        <v>2117</v>
      </c>
      <c r="P74" s="972" t="s">
        <v>1697</v>
      </c>
      <c r="Q74" s="1224"/>
      <c r="R74" s="129" t="s">
        <v>1416</v>
      </c>
      <c r="S74" s="129" t="s">
        <v>66</v>
      </c>
      <c r="T74" s="129" t="s">
        <v>58</v>
      </c>
      <c r="U74" s="129" t="s">
        <v>1517</v>
      </c>
      <c r="V74" s="129" t="s">
        <v>1517</v>
      </c>
      <c r="W74" s="129" t="s">
        <v>1730</v>
      </c>
      <c r="X74" s="638" t="s">
        <v>1418</v>
      </c>
      <c r="Y74" s="1147">
        <v>80004987</v>
      </c>
      <c r="Z74" s="639" t="s">
        <v>2118</v>
      </c>
      <c r="AA74" s="639" t="s">
        <v>1961</v>
      </c>
      <c r="AB74" s="639" t="s">
        <v>1770</v>
      </c>
      <c r="AC74" s="1222"/>
      <c r="AD74" s="1222"/>
      <c r="AE74" s="1222"/>
      <c r="AF74" s="1228"/>
      <c r="AG74" s="1228"/>
      <c r="AH74" s="1229"/>
      <c r="AI74" s="638" t="s">
        <v>1752</v>
      </c>
      <c r="AJ74" s="638" t="s">
        <v>1740</v>
      </c>
      <c r="AK74" s="638" t="s">
        <v>1753</v>
      </c>
      <c r="AL74" s="1229"/>
      <c r="AM74" s="1229"/>
      <c r="AN74" s="1229"/>
      <c r="AO74" s="1229"/>
      <c r="AP74" s="1229"/>
    </row>
    <row r="75" spans="1:44" ht="30" customHeight="1">
      <c r="A75" s="129">
        <f t="shared" si="1"/>
        <v>74</v>
      </c>
      <c r="B75" s="129">
        <v>2022</v>
      </c>
      <c r="C75" s="129" t="s">
        <v>1512</v>
      </c>
      <c r="D75" s="129" t="s">
        <v>2088</v>
      </c>
      <c r="E75" s="636">
        <v>44835</v>
      </c>
      <c r="F75" s="129" t="s">
        <v>122</v>
      </c>
      <c r="G75" s="1087">
        <v>44849</v>
      </c>
      <c r="H75" s="129" t="s">
        <v>1520</v>
      </c>
      <c r="I75" s="129" t="s">
        <v>2119</v>
      </c>
      <c r="J75" s="638" t="s">
        <v>619</v>
      </c>
      <c r="K75" s="972" t="s">
        <v>1484</v>
      </c>
      <c r="L75" s="972" t="s">
        <v>149</v>
      </c>
      <c r="M75" s="972" t="s">
        <v>619</v>
      </c>
      <c r="N75" s="972" t="s">
        <v>67</v>
      </c>
      <c r="O75" s="973" t="s">
        <v>2120</v>
      </c>
      <c r="P75" s="972" t="s">
        <v>1728</v>
      </c>
      <c r="Q75" s="1224"/>
      <c r="R75" s="129" t="s">
        <v>1420</v>
      </c>
      <c r="S75" s="129" t="s">
        <v>67</v>
      </c>
      <c r="T75" s="129" t="s">
        <v>58</v>
      </c>
      <c r="U75" s="129" t="s">
        <v>1517</v>
      </c>
      <c r="V75" s="129" t="s">
        <v>1517</v>
      </c>
      <c r="W75" s="129" t="s">
        <v>1758</v>
      </c>
      <c r="X75" s="638" t="s">
        <v>1421</v>
      </c>
      <c r="Y75" s="1147">
        <v>80002566</v>
      </c>
      <c r="Z75" s="649" t="s">
        <v>1820</v>
      </c>
      <c r="AA75" s="639" t="s">
        <v>1856</v>
      </c>
      <c r="AB75" s="639" t="s">
        <v>1748</v>
      </c>
      <c r="AC75" s="1222"/>
      <c r="AD75" s="1222"/>
      <c r="AE75" s="1222"/>
      <c r="AF75" s="1228"/>
      <c r="AG75" s="1228"/>
      <c r="AH75" s="1229"/>
      <c r="AI75" s="638" t="s">
        <v>2031</v>
      </c>
      <c r="AJ75" s="638" t="s">
        <v>1886</v>
      </c>
      <c r="AK75" s="648" t="s">
        <v>1835</v>
      </c>
      <c r="AL75" s="1229"/>
      <c r="AM75" s="1229"/>
      <c r="AN75" s="1229"/>
      <c r="AO75" s="1229"/>
      <c r="AP75" s="1229"/>
    </row>
  </sheetData>
  <sheetProtection algorithmName="SHA-512" hashValue="m8g2//H/HHYN6yD3KyR8vlH5F2bTzLND3sbslCd1gmosq79qTWFf2/QWc6L9k7p1LATSuqhWj0fHdV0CrUngCw==" saltValue="TIv7se3knou+YmZj/oysvA==" spinCount="100000" sheet="1" objects="1" scenarios="1"/>
  <autoFilter ref="A1:AR75" xr:uid="{00000000-0001-0000-0800-000000000000}"/>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9" tint="0.79998168889431442"/>
  </sheetPr>
  <dimension ref="A1:ET602"/>
  <sheetViews>
    <sheetView showGridLines="0" view="pageBreakPreview" zoomScale="85" zoomScaleNormal="85" zoomScaleSheetLayoutView="85" workbookViewId="0">
      <pane ySplit="8" topLeftCell="A9" activePane="bottomLeft" state="frozen"/>
      <selection pane="bottomLeft" activeCell="M42" sqref="M42"/>
    </sheetView>
  </sheetViews>
  <sheetFormatPr defaultColWidth="8.7109375" defaultRowHeight="12.6"/>
  <cols>
    <col min="1" max="1" width="4.42578125" style="148" customWidth="1"/>
    <col min="2" max="2" width="9.5703125" style="151" customWidth="1"/>
    <col min="3" max="3" width="10" style="152" customWidth="1"/>
    <col min="4" max="4" width="22.5703125" style="149" customWidth="1"/>
    <col min="5" max="5" width="12" style="153" customWidth="1"/>
    <col min="6" max="6" width="21.85546875" style="149" customWidth="1"/>
    <col min="7" max="7" width="18.140625" style="148" customWidth="1"/>
    <col min="8" max="8" width="11.140625" style="148" bestFit="1" customWidth="1"/>
    <col min="9" max="9" width="6.28515625" style="216" customWidth="1"/>
    <col min="10" max="10" width="6.85546875" style="148" customWidth="1"/>
    <col min="11" max="12" width="6.28515625" style="148" customWidth="1"/>
    <col min="13" max="13" width="8.5703125" style="148" customWidth="1"/>
    <col min="14" max="14" width="6.85546875" style="216" customWidth="1"/>
    <col min="15" max="15" width="6" style="148" customWidth="1"/>
    <col min="16" max="16" width="8.42578125" style="148" customWidth="1"/>
    <col min="17" max="17" width="8.7109375" style="148" customWidth="1"/>
    <col min="18" max="18" width="7.42578125" style="148" customWidth="1"/>
    <col min="19" max="19" width="7.5703125" style="148" customWidth="1"/>
    <col min="20" max="20" width="6.7109375" style="148" customWidth="1"/>
    <col min="21" max="21" width="22.28515625" style="149" customWidth="1"/>
    <col min="22" max="22" width="8.5703125" style="148" customWidth="1"/>
    <col min="23" max="23" width="10.7109375" style="148" customWidth="1"/>
    <col min="24" max="25" width="4.7109375" style="148" customWidth="1"/>
    <col min="26" max="26" width="5.42578125" style="148" customWidth="1"/>
    <col min="27" max="27" width="6.28515625" style="148" customWidth="1"/>
    <col min="28" max="28" width="5.5703125" style="148" customWidth="1"/>
    <col min="29" max="29" width="6" style="148" customWidth="1"/>
    <col min="30" max="30" width="5.7109375" style="148" customWidth="1"/>
    <col min="31" max="31" width="8.7109375" style="150" customWidth="1"/>
    <col min="32" max="32" width="28.42578125" style="150" customWidth="1"/>
    <col min="33" max="33" width="8.7109375" style="150"/>
    <col min="34" max="34" width="23.85546875" style="150" customWidth="1"/>
    <col min="35" max="121" width="8.7109375" style="150"/>
    <col min="122" max="16384" width="8.7109375" style="149"/>
  </cols>
  <sheetData>
    <row r="1" spans="1:34" s="150" customFormat="1" ht="18" customHeight="1">
      <c r="A1" s="143"/>
      <c r="B1" s="144"/>
      <c r="C1" s="145"/>
      <c r="D1" s="146"/>
      <c r="E1" s="147"/>
      <c r="F1" s="146"/>
      <c r="G1" s="143"/>
      <c r="H1" s="143"/>
      <c r="I1" s="143"/>
      <c r="J1" s="143"/>
      <c r="K1" s="148"/>
      <c r="L1" s="148"/>
      <c r="M1" s="148"/>
      <c r="N1" s="148"/>
      <c r="O1" s="148"/>
      <c r="P1" s="148"/>
      <c r="Q1" s="148"/>
      <c r="R1" s="148"/>
      <c r="S1" s="148"/>
      <c r="T1" s="148"/>
      <c r="U1" s="149"/>
      <c r="V1" s="148"/>
      <c r="W1" s="148"/>
      <c r="X1" s="148"/>
      <c r="Y1" s="148"/>
      <c r="Z1" s="148"/>
      <c r="AA1" s="148"/>
      <c r="AB1" s="148"/>
      <c r="AC1" s="148"/>
      <c r="AD1" s="148"/>
    </row>
    <row r="2" spans="1:34" s="150" customFormat="1" ht="18" customHeight="1">
      <c r="A2" s="143"/>
      <c r="B2" s="144"/>
      <c r="C2" s="145"/>
      <c r="D2" s="146"/>
      <c r="E2" s="147"/>
      <c r="F2" s="146"/>
      <c r="G2" s="143"/>
      <c r="H2" s="143"/>
      <c r="I2" s="143"/>
      <c r="J2" s="143"/>
      <c r="K2" s="148"/>
      <c r="L2" s="148"/>
      <c r="M2" s="148"/>
      <c r="N2" s="148"/>
      <c r="O2" s="148"/>
      <c r="P2" s="148"/>
      <c r="Q2" s="148"/>
      <c r="R2" s="148"/>
      <c r="S2" s="148"/>
      <c r="T2" s="148"/>
      <c r="U2" s="149"/>
      <c r="V2" s="148"/>
      <c r="W2" s="148"/>
      <c r="X2" s="148"/>
      <c r="Y2" s="148"/>
      <c r="Z2" s="148"/>
      <c r="AA2" s="148"/>
      <c r="AB2" s="148"/>
      <c r="AC2" s="148"/>
      <c r="AD2" s="148"/>
    </row>
    <row r="3" spans="1:34" s="150" customFormat="1" ht="18" customHeight="1">
      <c r="A3" s="143"/>
      <c r="B3" s="144"/>
      <c r="C3" s="145"/>
      <c r="D3" s="146"/>
      <c r="E3" s="147"/>
      <c r="F3" s="146"/>
      <c r="G3" s="143"/>
      <c r="H3" s="143"/>
      <c r="I3" s="143"/>
      <c r="J3" s="143"/>
      <c r="K3" s="148"/>
      <c r="L3" s="148"/>
      <c r="M3" s="148"/>
      <c r="N3" s="148"/>
      <c r="O3" s="148"/>
      <c r="P3" s="148"/>
      <c r="Q3" s="148"/>
      <c r="R3" s="148"/>
      <c r="S3" s="148"/>
      <c r="T3" s="148"/>
      <c r="U3" s="149"/>
      <c r="V3" s="148"/>
      <c r="W3" s="148"/>
      <c r="X3" s="148"/>
      <c r="Y3" s="148"/>
      <c r="Z3" s="148"/>
      <c r="AA3" s="148"/>
      <c r="AB3" s="148"/>
      <c r="AC3" s="148"/>
      <c r="AD3" s="148"/>
    </row>
    <row r="4" spans="1:34" s="150" customFormat="1" ht="15.6">
      <c r="A4" s="1589" t="s">
        <v>2121</v>
      </c>
      <c r="B4" s="1589"/>
      <c r="C4" s="1589"/>
      <c r="D4" s="1589"/>
      <c r="E4" s="1589"/>
      <c r="F4" s="1589"/>
      <c r="G4" s="1589"/>
      <c r="H4" s="1589"/>
      <c r="I4" s="1589"/>
      <c r="J4" s="1589"/>
      <c r="K4" s="1589"/>
      <c r="L4" s="1589"/>
      <c r="M4" s="1589"/>
      <c r="N4" s="1589"/>
      <c r="O4" s="1589"/>
      <c r="P4" s="1589"/>
      <c r="Q4" s="1589"/>
      <c r="R4" s="1589"/>
      <c r="S4" s="1589"/>
      <c r="T4" s="1589"/>
      <c r="U4" s="1589"/>
      <c r="V4" s="1589"/>
      <c r="W4" s="1589"/>
      <c r="X4" s="1589"/>
      <c r="Y4" s="1589"/>
      <c r="Z4" s="1589"/>
      <c r="AA4" s="1589"/>
      <c r="AB4" s="1589"/>
      <c r="AC4" s="1589"/>
      <c r="AD4" s="1589"/>
    </row>
    <row r="5" spans="1:34" s="150" customFormat="1" ht="20.100000000000001">
      <c r="A5" s="1590" t="s">
        <v>2122</v>
      </c>
      <c r="B5" s="1590"/>
      <c r="C5" s="1590"/>
      <c r="D5" s="1590"/>
      <c r="E5" s="1590"/>
      <c r="F5" s="1590"/>
      <c r="G5" s="1590"/>
      <c r="H5" s="1590"/>
      <c r="I5" s="1590"/>
      <c r="J5" s="1590"/>
      <c r="K5" s="1590"/>
      <c r="L5" s="1590"/>
      <c r="M5" s="1590"/>
      <c r="N5" s="1590"/>
      <c r="O5" s="1590"/>
      <c r="P5" s="1590"/>
      <c r="Q5" s="1590"/>
      <c r="R5" s="1590"/>
      <c r="S5" s="1590"/>
      <c r="T5" s="1590"/>
      <c r="U5" s="1590"/>
      <c r="V5" s="1590"/>
      <c r="W5" s="1590"/>
      <c r="X5" s="1590"/>
      <c r="Y5" s="1590"/>
      <c r="Z5" s="1590"/>
      <c r="AA5" s="1590"/>
      <c r="AB5" s="1590"/>
      <c r="AC5" s="1590"/>
      <c r="AD5" s="1590"/>
    </row>
    <row r="6" spans="1:34" s="150" customFormat="1" ht="20.100000000000001">
      <c r="A6" s="1591" t="s">
        <v>2123</v>
      </c>
      <c r="B6" s="1591"/>
      <c r="C6" s="1591"/>
      <c r="D6" s="1591"/>
      <c r="E6" s="1591"/>
      <c r="F6" s="1591"/>
      <c r="G6" s="1591"/>
      <c r="H6" s="1591"/>
      <c r="I6" s="1591"/>
      <c r="J6" s="1591"/>
      <c r="K6" s="1591"/>
      <c r="L6" s="1591"/>
      <c r="M6" s="1591"/>
      <c r="N6" s="1591"/>
      <c r="O6" s="1591"/>
      <c r="P6" s="1591"/>
      <c r="Q6" s="1591"/>
      <c r="R6" s="1591"/>
      <c r="S6" s="1591"/>
      <c r="T6" s="1591"/>
      <c r="U6" s="1591"/>
      <c r="V6" s="1591"/>
      <c r="W6" s="1591"/>
      <c r="X6" s="1591"/>
      <c r="Y6" s="1591"/>
      <c r="Z6" s="1591"/>
      <c r="AA6" s="1591"/>
      <c r="AB6" s="1591"/>
      <c r="AC6" s="1591"/>
      <c r="AD6" s="1591"/>
    </row>
    <row r="7" spans="1:34" s="150" customFormat="1" ht="18" customHeight="1">
      <c r="A7" s="148"/>
      <c r="B7" s="151"/>
      <c r="C7" s="152"/>
      <c r="D7" s="149"/>
      <c r="E7" s="153"/>
      <c r="F7" s="149"/>
      <c r="G7" s="148"/>
      <c r="H7" s="148"/>
      <c r="I7" s="148"/>
      <c r="J7" s="148"/>
      <c r="K7" s="148"/>
      <c r="L7" s="148"/>
      <c r="M7" s="148"/>
      <c r="N7" s="148"/>
      <c r="O7" s="148"/>
      <c r="P7" s="148"/>
      <c r="Q7" s="148"/>
      <c r="R7" s="148"/>
      <c r="S7" s="148"/>
      <c r="T7" s="148"/>
      <c r="U7" s="149"/>
      <c r="V7" s="148"/>
      <c r="W7" s="148"/>
      <c r="X7" s="148"/>
      <c r="Y7" s="148"/>
      <c r="Z7" s="148"/>
      <c r="AA7" s="148"/>
      <c r="AB7" s="148"/>
      <c r="AC7" s="148"/>
      <c r="AD7" s="148"/>
    </row>
    <row r="8" spans="1:34" s="150" customFormat="1" ht="30" customHeight="1">
      <c r="A8" s="154" t="s">
        <v>1439</v>
      </c>
      <c r="B8" s="1592" t="s">
        <v>1499</v>
      </c>
      <c r="C8" s="1592"/>
      <c r="D8" s="155" t="s">
        <v>1505</v>
      </c>
      <c r="E8" s="156" t="s">
        <v>1501</v>
      </c>
      <c r="F8" s="155" t="s">
        <v>2124</v>
      </c>
      <c r="G8" s="154" t="s">
        <v>1709</v>
      </c>
      <c r="H8" s="1593" t="s">
        <v>2125</v>
      </c>
      <c r="I8" s="1593"/>
      <c r="J8" s="154" t="s">
        <v>2126</v>
      </c>
      <c r="K8" s="154" t="s">
        <v>1502</v>
      </c>
      <c r="L8" s="154" t="s">
        <v>1707</v>
      </c>
      <c r="M8" s="154" t="s">
        <v>1710</v>
      </c>
      <c r="N8" s="154" t="s">
        <v>1711</v>
      </c>
      <c r="O8" s="154" t="s">
        <v>1713</v>
      </c>
      <c r="P8" s="154" t="s">
        <v>2127</v>
      </c>
      <c r="Q8" s="154" t="s">
        <v>2128</v>
      </c>
      <c r="R8" s="154" t="s">
        <v>2129</v>
      </c>
      <c r="S8" s="1593" t="s">
        <v>2130</v>
      </c>
      <c r="T8" s="1593"/>
      <c r="U8" s="155" t="s">
        <v>2131</v>
      </c>
      <c r="V8" s="154" t="s">
        <v>2132</v>
      </c>
      <c r="W8" s="154" t="s">
        <v>2133</v>
      </c>
      <c r="X8" s="154" t="s">
        <v>2134</v>
      </c>
      <c r="Y8" s="154" t="s">
        <v>2135</v>
      </c>
      <c r="Z8" s="154" t="s">
        <v>2136</v>
      </c>
      <c r="AA8" s="154" t="s">
        <v>2137</v>
      </c>
      <c r="AB8" s="154" t="s">
        <v>2138</v>
      </c>
      <c r="AC8" s="154" t="s">
        <v>2139</v>
      </c>
      <c r="AD8" s="154" t="s">
        <v>163</v>
      </c>
    </row>
    <row r="9" spans="1:34" s="150" customFormat="1" ht="19.5" customHeight="1">
      <c r="A9" s="157"/>
      <c r="B9" s="158"/>
      <c r="C9" s="157"/>
      <c r="D9" s="159"/>
      <c r="E9" s="160"/>
      <c r="F9" s="159"/>
      <c r="G9" s="157"/>
      <c r="H9" s="157"/>
      <c r="I9" s="157"/>
      <c r="J9" s="157"/>
      <c r="K9" s="157"/>
      <c r="L9" s="157"/>
      <c r="M9" s="157"/>
      <c r="N9" s="157"/>
      <c r="O9" s="157"/>
      <c r="P9" s="157"/>
      <c r="Q9" s="157"/>
      <c r="R9" s="157"/>
      <c r="S9" s="157"/>
      <c r="T9" s="157"/>
      <c r="U9" s="159"/>
      <c r="V9" s="157"/>
      <c r="W9" s="157"/>
      <c r="X9" s="157"/>
      <c r="Y9" s="157"/>
      <c r="Z9" s="157"/>
      <c r="AA9" s="157"/>
      <c r="AB9" s="157"/>
      <c r="AC9" s="157"/>
      <c r="AD9" s="157"/>
    </row>
    <row r="10" spans="1:34" s="171" customFormat="1" ht="17.100000000000001" customHeight="1">
      <c r="A10" s="161">
        <v>1</v>
      </c>
      <c r="B10" s="162" t="s">
        <v>1513</v>
      </c>
      <c r="C10" s="163">
        <v>1</v>
      </c>
      <c r="D10" s="164" t="s">
        <v>204</v>
      </c>
      <c r="E10" s="165">
        <v>44563</v>
      </c>
      <c r="F10" s="166" t="s">
        <v>207</v>
      </c>
      <c r="G10" s="161" t="s">
        <v>1731</v>
      </c>
      <c r="H10" s="167" t="s">
        <v>2140</v>
      </c>
      <c r="I10" s="168">
        <v>1</v>
      </c>
      <c r="J10" s="168">
        <v>9</v>
      </c>
      <c r="K10" s="167">
        <v>7</v>
      </c>
      <c r="L10" s="168">
        <v>1</v>
      </c>
      <c r="M10" s="168">
        <v>1</v>
      </c>
      <c r="N10" s="168">
        <v>3</v>
      </c>
      <c r="O10" s="168">
        <v>3</v>
      </c>
      <c r="P10" s="168">
        <v>3</v>
      </c>
      <c r="Q10" s="168">
        <v>1</v>
      </c>
      <c r="R10" s="161">
        <v>0</v>
      </c>
      <c r="S10" s="161">
        <v>0</v>
      </c>
      <c r="T10" s="161">
        <v>0</v>
      </c>
      <c r="U10" s="169" t="s">
        <v>27</v>
      </c>
      <c r="V10" s="167">
        <v>3</v>
      </c>
      <c r="W10" s="161">
        <v>2</v>
      </c>
      <c r="X10" s="167">
        <v>3</v>
      </c>
      <c r="Y10" s="167">
        <v>2</v>
      </c>
      <c r="Z10" s="167">
        <v>8</v>
      </c>
      <c r="AA10" s="167">
        <v>4</v>
      </c>
      <c r="AB10" s="167">
        <v>1</v>
      </c>
      <c r="AC10" s="167"/>
      <c r="AD10" s="170"/>
      <c r="AF10" s="171" t="s">
        <v>1729</v>
      </c>
      <c r="AG10" s="171" t="s">
        <v>1728</v>
      </c>
      <c r="AH10" s="171" t="s">
        <v>72</v>
      </c>
    </row>
    <row r="11" spans="1:34" s="171" customFormat="1" ht="17.100000000000001" customHeight="1">
      <c r="A11" s="161">
        <v>2</v>
      </c>
      <c r="B11" s="162" t="s">
        <v>1513</v>
      </c>
      <c r="C11" s="163">
        <v>1</v>
      </c>
      <c r="D11" s="164" t="s">
        <v>219</v>
      </c>
      <c r="E11" s="488">
        <v>44569</v>
      </c>
      <c r="F11" s="166" t="s">
        <v>222</v>
      </c>
      <c r="G11" s="161" t="s">
        <v>1746</v>
      </c>
      <c r="H11" s="167" t="s">
        <v>2140</v>
      </c>
      <c r="I11" s="168">
        <v>1</v>
      </c>
      <c r="J11" s="168">
        <v>13</v>
      </c>
      <c r="K11" s="167">
        <v>6</v>
      </c>
      <c r="L11" s="168">
        <v>1</v>
      </c>
      <c r="M11" s="168">
        <v>1</v>
      </c>
      <c r="N11" s="168">
        <v>2</v>
      </c>
      <c r="O11" s="168">
        <v>4</v>
      </c>
      <c r="P11" s="168">
        <v>5</v>
      </c>
      <c r="Q11" s="168">
        <v>1</v>
      </c>
      <c r="R11" s="167">
        <v>0</v>
      </c>
      <c r="S11" s="161">
        <v>0</v>
      </c>
      <c r="T11" s="161">
        <v>0</v>
      </c>
      <c r="U11" s="169"/>
      <c r="V11" s="167">
        <v>1</v>
      </c>
      <c r="W11" s="161">
        <v>2</v>
      </c>
      <c r="X11" s="167">
        <v>1</v>
      </c>
      <c r="Y11" s="167">
        <v>3</v>
      </c>
      <c r="Z11" s="167">
        <v>8</v>
      </c>
      <c r="AA11" s="167">
        <v>7</v>
      </c>
      <c r="AB11" s="167"/>
      <c r="AC11" s="167"/>
      <c r="AD11" s="170"/>
      <c r="AF11" s="171" t="s">
        <v>1745</v>
      </c>
      <c r="AG11" s="171" t="s">
        <v>1744</v>
      </c>
      <c r="AH11" s="171" t="s">
        <v>74</v>
      </c>
    </row>
    <row r="12" spans="1:34" s="171" customFormat="1" ht="17.100000000000001" customHeight="1">
      <c r="A12" s="161">
        <v>3</v>
      </c>
      <c r="B12" s="162" t="s">
        <v>1513</v>
      </c>
      <c r="C12" s="163">
        <v>1</v>
      </c>
      <c r="D12" s="164" t="s">
        <v>237</v>
      </c>
      <c r="E12" s="488">
        <v>44570</v>
      </c>
      <c r="F12" s="166" t="s">
        <v>240</v>
      </c>
      <c r="G12" s="161" t="s">
        <v>1759</v>
      </c>
      <c r="H12" s="167" t="s">
        <v>2141</v>
      </c>
      <c r="I12" s="168">
        <v>5</v>
      </c>
      <c r="J12" s="168">
        <v>6</v>
      </c>
      <c r="K12" s="167">
        <v>7</v>
      </c>
      <c r="L12" s="168">
        <v>2</v>
      </c>
      <c r="M12" s="168">
        <v>5</v>
      </c>
      <c r="N12" s="168">
        <v>3</v>
      </c>
      <c r="O12" s="168">
        <v>4</v>
      </c>
      <c r="P12" s="168">
        <v>3</v>
      </c>
      <c r="Q12" s="168">
        <v>2</v>
      </c>
      <c r="R12" s="167">
        <v>0</v>
      </c>
      <c r="S12" s="161">
        <v>0</v>
      </c>
      <c r="T12" s="161">
        <v>0</v>
      </c>
      <c r="U12" s="169">
        <v>42252466</v>
      </c>
      <c r="V12" s="167">
        <v>5</v>
      </c>
      <c r="W12" s="161">
        <v>2</v>
      </c>
      <c r="X12" s="167">
        <v>10</v>
      </c>
      <c r="Y12" s="167">
        <v>2</v>
      </c>
      <c r="Z12" s="167">
        <v>8</v>
      </c>
      <c r="AA12" s="167">
        <v>7</v>
      </c>
      <c r="AB12" s="167">
        <v>4</v>
      </c>
      <c r="AC12" s="167"/>
      <c r="AD12" s="170"/>
      <c r="AF12" s="171" t="s">
        <v>1757</v>
      </c>
      <c r="AG12" s="171" t="s">
        <v>1697</v>
      </c>
      <c r="AH12" s="171" t="s">
        <v>74</v>
      </c>
    </row>
    <row r="13" spans="1:34" s="171" customFormat="1" ht="17.100000000000001" customHeight="1">
      <c r="A13" s="161">
        <v>4</v>
      </c>
      <c r="B13" s="162" t="s">
        <v>1513</v>
      </c>
      <c r="C13" s="163">
        <v>1</v>
      </c>
      <c r="D13" s="164" t="s">
        <v>252</v>
      </c>
      <c r="E13" s="488">
        <v>44571</v>
      </c>
      <c r="F13" s="173" t="s">
        <v>255</v>
      </c>
      <c r="G13" s="161" t="s">
        <v>1767</v>
      </c>
      <c r="H13" s="167" t="s">
        <v>2140</v>
      </c>
      <c r="I13" s="168">
        <v>1</v>
      </c>
      <c r="J13" s="168">
        <v>12</v>
      </c>
      <c r="K13" s="167">
        <v>1</v>
      </c>
      <c r="L13" s="168">
        <v>1</v>
      </c>
      <c r="M13" s="168">
        <v>2</v>
      </c>
      <c r="N13" s="168">
        <v>1</v>
      </c>
      <c r="O13" s="168">
        <v>2</v>
      </c>
      <c r="P13" s="168">
        <v>3</v>
      </c>
      <c r="Q13" s="168">
        <v>3</v>
      </c>
      <c r="R13" s="167">
        <v>0</v>
      </c>
      <c r="S13" s="161">
        <v>0</v>
      </c>
      <c r="T13" s="161">
        <v>0</v>
      </c>
      <c r="U13" s="169">
        <v>55607028</v>
      </c>
      <c r="V13" s="167">
        <v>3</v>
      </c>
      <c r="W13" s="161">
        <v>2</v>
      </c>
      <c r="X13" s="167">
        <v>3</v>
      </c>
      <c r="Y13" s="167">
        <v>3</v>
      </c>
      <c r="Z13" s="167">
        <v>8</v>
      </c>
      <c r="AA13" s="167">
        <v>3</v>
      </c>
      <c r="AB13" s="167">
        <v>1</v>
      </c>
      <c r="AC13" s="167"/>
      <c r="AD13" s="170"/>
      <c r="AF13" s="171" t="s">
        <v>1745</v>
      </c>
      <c r="AG13" s="171" t="s">
        <v>1728</v>
      </c>
      <c r="AH13" s="171" t="s">
        <v>72</v>
      </c>
    </row>
    <row r="14" spans="1:34" s="171" customFormat="1" ht="17.100000000000001" customHeight="1">
      <c r="A14" s="161">
        <v>5</v>
      </c>
      <c r="B14" s="162" t="s">
        <v>1513</v>
      </c>
      <c r="C14" s="163">
        <v>1</v>
      </c>
      <c r="D14" s="164" t="s">
        <v>282</v>
      </c>
      <c r="E14" s="488">
        <v>44574</v>
      </c>
      <c r="F14" s="173" t="s">
        <v>285</v>
      </c>
      <c r="G14" s="161" t="s">
        <v>1780</v>
      </c>
      <c r="H14" s="167" t="s">
        <v>2140</v>
      </c>
      <c r="I14" s="168">
        <v>1</v>
      </c>
      <c r="J14" s="168">
        <v>23</v>
      </c>
      <c r="K14" s="167">
        <v>4</v>
      </c>
      <c r="L14" s="168">
        <v>2</v>
      </c>
      <c r="M14" s="168">
        <v>1</v>
      </c>
      <c r="N14" s="168">
        <v>2</v>
      </c>
      <c r="O14" s="168">
        <v>3</v>
      </c>
      <c r="P14" s="168">
        <v>3</v>
      </c>
      <c r="Q14" s="168">
        <v>1</v>
      </c>
      <c r="R14" s="167">
        <v>0</v>
      </c>
      <c r="S14" s="161">
        <v>0</v>
      </c>
      <c r="T14" s="161">
        <v>0</v>
      </c>
      <c r="U14" s="169"/>
      <c r="V14" s="167">
        <v>3</v>
      </c>
      <c r="W14" s="161">
        <v>1</v>
      </c>
      <c r="X14" s="167">
        <v>3</v>
      </c>
      <c r="Y14" s="167">
        <v>3</v>
      </c>
      <c r="Z14" s="167">
        <v>8</v>
      </c>
      <c r="AA14" s="167">
        <v>4</v>
      </c>
      <c r="AB14" s="167"/>
      <c r="AC14" s="167"/>
      <c r="AD14" s="170"/>
      <c r="AF14" s="171" t="s">
        <v>1745</v>
      </c>
      <c r="AG14" s="171" t="s">
        <v>1779</v>
      </c>
      <c r="AH14" s="171" t="s">
        <v>71</v>
      </c>
    </row>
    <row r="15" spans="1:34" s="171" customFormat="1" ht="17.100000000000001" customHeight="1">
      <c r="A15" s="161">
        <v>6</v>
      </c>
      <c r="B15" s="162" t="s">
        <v>1513</v>
      </c>
      <c r="C15" s="163">
        <v>1</v>
      </c>
      <c r="D15" s="164" t="s">
        <v>300</v>
      </c>
      <c r="E15" s="165">
        <v>44577</v>
      </c>
      <c r="F15" s="166" t="s">
        <v>303</v>
      </c>
      <c r="G15" s="161" t="s">
        <v>1790</v>
      </c>
      <c r="H15" s="167" t="s">
        <v>2140</v>
      </c>
      <c r="I15" s="168">
        <v>1</v>
      </c>
      <c r="J15" s="168">
        <v>14</v>
      </c>
      <c r="K15" s="167">
        <v>7</v>
      </c>
      <c r="L15" s="168">
        <v>1</v>
      </c>
      <c r="M15" s="168">
        <v>1</v>
      </c>
      <c r="N15" s="168">
        <v>3</v>
      </c>
      <c r="O15" s="168">
        <v>4</v>
      </c>
      <c r="P15" s="168">
        <v>3</v>
      </c>
      <c r="Q15" s="168">
        <v>1</v>
      </c>
      <c r="R15" s="167">
        <v>0</v>
      </c>
      <c r="S15" s="161">
        <v>0</v>
      </c>
      <c r="T15" s="161">
        <v>0</v>
      </c>
      <c r="U15" s="169">
        <v>10373732</v>
      </c>
      <c r="V15" s="167">
        <v>1</v>
      </c>
      <c r="W15" s="161">
        <v>2</v>
      </c>
      <c r="X15" s="167">
        <v>11</v>
      </c>
      <c r="Y15" s="167">
        <v>2</v>
      </c>
      <c r="Z15" s="167">
        <v>8</v>
      </c>
      <c r="AA15" s="167">
        <v>3</v>
      </c>
      <c r="AB15" s="167">
        <v>6</v>
      </c>
      <c r="AC15" s="167"/>
      <c r="AD15" s="170"/>
      <c r="AF15" s="171" t="s">
        <v>1789</v>
      </c>
      <c r="AG15" s="171" t="s">
        <v>1788</v>
      </c>
      <c r="AH15" s="171" t="s">
        <v>75</v>
      </c>
    </row>
    <row r="16" spans="1:34" s="171" customFormat="1" ht="17.100000000000001" customHeight="1">
      <c r="A16" s="161">
        <v>7</v>
      </c>
      <c r="B16" s="162" t="s">
        <v>1541</v>
      </c>
      <c r="C16" s="163">
        <v>3</v>
      </c>
      <c r="D16" s="164" t="s">
        <v>314</v>
      </c>
      <c r="E16" s="165">
        <v>44581</v>
      </c>
      <c r="F16" s="166" t="s">
        <v>317</v>
      </c>
      <c r="G16" s="161" t="s">
        <v>1796</v>
      </c>
      <c r="H16" s="167" t="s">
        <v>2140</v>
      </c>
      <c r="I16" s="168">
        <v>2</v>
      </c>
      <c r="J16" s="168">
        <v>15</v>
      </c>
      <c r="K16" s="167">
        <v>4</v>
      </c>
      <c r="L16" s="168">
        <v>1</v>
      </c>
      <c r="M16" s="168">
        <v>7</v>
      </c>
      <c r="N16" s="168">
        <v>4</v>
      </c>
      <c r="O16" s="168">
        <v>2</v>
      </c>
      <c r="P16" s="168">
        <v>5</v>
      </c>
      <c r="Q16" s="168">
        <v>2</v>
      </c>
      <c r="R16" s="167">
        <v>0</v>
      </c>
      <c r="S16" s="161">
        <v>0</v>
      </c>
      <c r="T16" s="161">
        <v>0</v>
      </c>
      <c r="U16" s="169"/>
      <c r="V16" s="167">
        <v>1</v>
      </c>
      <c r="W16" s="161">
        <v>2</v>
      </c>
      <c r="X16" s="167">
        <v>1</v>
      </c>
      <c r="Y16" s="167">
        <v>3</v>
      </c>
      <c r="Z16" s="167">
        <v>8</v>
      </c>
      <c r="AA16" s="167">
        <v>4</v>
      </c>
      <c r="AB16" s="167"/>
      <c r="AC16" s="167"/>
      <c r="AD16" s="170"/>
      <c r="AF16" s="171" t="s">
        <v>1745</v>
      </c>
      <c r="AG16" s="171" t="s">
        <v>1744</v>
      </c>
      <c r="AH16" s="171" t="s">
        <v>71</v>
      </c>
    </row>
    <row r="17" spans="1:34" s="171" customFormat="1" ht="17.100000000000001" customHeight="1">
      <c r="A17" s="161">
        <v>8</v>
      </c>
      <c r="B17" s="162" t="s">
        <v>1513</v>
      </c>
      <c r="C17" s="163">
        <v>1</v>
      </c>
      <c r="D17" s="164" t="s">
        <v>332</v>
      </c>
      <c r="E17" s="165">
        <v>44582</v>
      </c>
      <c r="F17" s="166" t="s">
        <v>334</v>
      </c>
      <c r="G17" s="161" t="s">
        <v>1805</v>
      </c>
      <c r="H17" s="167" t="s">
        <v>2140</v>
      </c>
      <c r="I17" s="168">
        <v>1</v>
      </c>
      <c r="J17" s="168">
        <v>6</v>
      </c>
      <c r="K17" s="167">
        <v>5</v>
      </c>
      <c r="L17" s="168">
        <v>2</v>
      </c>
      <c r="M17" s="168">
        <v>1</v>
      </c>
      <c r="N17" s="168">
        <v>3</v>
      </c>
      <c r="O17" s="168">
        <v>3</v>
      </c>
      <c r="P17" s="168">
        <v>3</v>
      </c>
      <c r="Q17" s="168">
        <v>1</v>
      </c>
      <c r="R17" s="167">
        <v>0</v>
      </c>
      <c r="S17" s="161">
        <v>0</v>
      </c>
      <c r="T17" s="161">
        <v>0</v>
      </c>
      <c r="U17" s="169"/>
      <c r="V17" s="167">
        <v>3</v>
      </c>
      <c r="W17" s="161">
        <v>2</v>
      </c>
      <c r="X17" s="167">
        <v>3</v>
      </c>
      <c r="Y17" s="167">
        <v>3</v>
      </c>
      <c r="Z17" s="167">
        <v>8</v>
      </c>
      <c r="AA17" s="167">
        <v>4</v>
      </c>
      <c r="AB17" s="167"/>
      <c r="AC17" s="167"/>
      <c r="AD17" s="170"/>
      <c r="AF17" s="171" t="s">
        <v>1745</v>
      </c>
      <c r="AG17" s="171" t="s">
        <v>1728</v>
      </c>
      <c r="AH17" s="171" t="s">
        <v>71</v>
      </c>
    </row>
    <row r="18" spans="1:34" s="171" customFormat="1" ht="17.100000000000001" customHeight="1">
      <c r="A18" s="161">
        <v>9</v>
      </c>
      <c r="B18" s="162" t="s">
        <v>1513</v>
      </c>
      <c r="C18" s="163">
        <v>1</v>
      </c>
      <c r="D18" s="164" t="s">
        <v>345</v>
      </c>
      <c r="E18" s="165">
        <v>44583</v>
      </c>
      <c r="F18" s="166" t="s">
        <v>348</v>
      </c>
      <c r="G18" s="161" t="s">
        <v>1811</v>
      </c>
      <c r="H18" s="167" t="s">
        <v>2140</v>
      </c>
      <c r="I18" s="168">
        <v>1</v>
      </c>
      <c r="J18" s="168">
        <v>4</v>
      </c>
      <c r="K18" s="167">
        <v>6</v>
      </c>
      <c r="L18" s="168">
        <v>2</v>
      </c>
      <c r="M18" s="168">
        <v>1</v>
      </c>
      <c r="N18" s="168">
        <v>3</v>
      </c>
      <c r="O18" s="168">
        <v>5</v>
      </c>
      <c r="P18" s="168">
        <v>3</v>
      </c>
      <c r="Q18" s="168">
        <v>1</v>
      </c>
      <c r="R18" s="167">
        <v>0</v>
      </c>
      <c r="S18" s="161">
        <v>0</v>
      </c>
      <c r="T18" s="161">
        <v>0</v>
      </c>
      <c r="U18" s="169">
        <v>11023420</v>
      </c>
      <c r="V18" s="167">
        <v>3</v>
      </c>
      <c r="W18" s="161">
        <v>1</v>
      </c>
      <c r="X18" s="167">
        <v>3</v>
      </c>
      <c r="Y18" s="167">
        <v>3</v>
      </c>
      <c r="Z18" s="167">
        <v>8</v>
      </c>
      <c r="AA18" s="167">
        <v>7</v>
      </c>
      <c r="AB18" s="167"/>
      <c r="AC18" s="167"/>
      <c r="AD18" s="170"/>
      <c r="AF18" s="171" t="s">
        <v>1810</v>
      </c>
      <c r="AG18" s="171" t="s">
        <v>1779</v>
      </c>
      <c r="AH18" s="171" t="s">
        <v>74</v>
      </c>
    </row>
    <row r="19" spans="1:34" s="171" customFormat="1" ht="17.100000000000001" customHeight="1">
      <c r="A19" s="161">
        <v>10</v>
      </c>
      <c r="B19" s="162" t="s">
        <v>1513</v>
      </c>
      <c r="C19" s="163">
        <v>1</v>
      </c>
      <c r="D19" s="164" t="s">
        <v>353</v>
      </c>
      <c r="E19" s="165">
        <v>44588</v>
      </c>
      <c r="F19" s="166" t="s">
        <v>356</v>
      </c>
      <c r="G19" s="161">
        <v>80002036</v>
      </c>
      <c r="H19" s="167" t="s">
        <v>2140</v>
      </c>
      <c r="I19" s="168">
        <v>1</v>
      </c>
      <c r="J19" s="168">
        <v>21</v>
      </c>
      <c r="K19" s="167">
        <v>4</v>
      </c>
      <c r="L19" s="168">
        <v>1</v>
      </c>
      <c r="M19" s="168">
        <v>1</v>
      </c>
      <c r="N19" s="168">
        <v>3</v>
      </c>
      <c r="O19" s="168">
        <v>3</v>
      </c>
      <c r="P19" s="168">
        <v>5</v>
      </c>
      <c r="Q19" s="168">
        <v>1</v>
      </c>
      <c r="R19" s="167">
        <v>0</v>
      </c>
      <c r="S19" s="161">
        <v>0</v>
      </c>
      <c r="T19" s="161">
        <v>0</v>
      </c>
      <c r="U19" s="169"/>
      <c r="V19" s="167">
        <v>1</v>
      </c>
      <c r="W19" s="161">
        <v>1</v>
      </c>
      <c r="X19" s="167">
        <v>2</v>
      </c>
      <c r="Y19" s="167">
        <v>3</v>
      </c>
      <c r="Z19" s="167">
        <v>8</v>
      </c>
      <c r="AA19" s="167">
        <v>4</v>
      </c>
      <c r="AB19" s="167"/>
      <c r="AC19" s="167"/>
      <c r="AD19" s="170"/>
      <c r="AF19" s="171" t="s">
        <v>1745</v>
      </c>
      <c r="AG19" s="171" t="s">
        <v>1818</v>
      </c>
      <c r="AH19" s="171" t="s">
        <v>71</v>
      </c>
    </row>
    <row r="20" spans="1:34" s="171" customFormat="1" ht="17.100000000000001" customHeight="1">
      <c r="A20" s="161">
        <v>11</v>
      </c>
      <c r="B20" s="162" t="s">
        <v>1513</v>
      </c>
      <c r="C20" s="163">
        <v>1</v>
      </c>
      <c r="D20" s="164" t="s">
        <v>364</v>
      </c>
      <c r="E20" s="165">
        <v>44588</v>
      </c>
      <c r="F20" s="166" t="s">
        <v>366</v>
      </c>
      <c r="G20" s="161">
        <v>80000930</v>
      </c>
      <c r="H20" s="167" t="s">
        <v>2140</v>
      </c>
      <c r="I20" s="168">
        <v>1</v>
      </c>
      <c r="J20" s="168">
        <v>16</v>
      </c>
      <c r="K20" s="167">
        <v>4</v>
      </c>
      <c r="L20" s="168">
        <v>1</v>
      </c>
      <c r="M20" s="168">
        <v>1</v>
      </c>
      <c r="N20" s="168">
        <v>2</v>
      </c>
      <c r="O20" s="168">
        <v>3</v>
      </c>
      <c r="P20" s="168">
        <v>3</v>
      </c>
      <c r="Q20" s="168">
        <v>1</v>
      </c>
      <c r="R20" s="167">
        <v>0</v>
      </c>
      <c r="S20" s="161">
        <v>0</v>
      </c>
      <c r="T20" s="161">
        <v>0</v>
      </c>
      <c r="U20" s="169">
        <v>330380500</v>
      </c>
      <c r="V20" s="167">
        <v>1</v>
      </c>
      <c r="W20" s="161">
        <v>1</v>
      </c>
      <c r="X20" s="167">
        <v>1</v>
      </c>
      <c r="Y20" s="167">
        <v>2</v>
      </c>
      <c r="Z20" s="167">
        <v>8</v>
      </c>
      <c r="AA20" s="167">
        <v>3</v>
      </c>
      <c r="AB20" s="167">
        <v>1</v>
      </c>
      <c r="AC20" s="167"/>
      <c r="AD20" s="170"/>
      <c r="AF20" s="171" t="s">
        <v>1789</v>
      </c>
      <c r="AG20" s="171" t="s">
        <v>1744</v>
      </c>
      <c r="AH20" s="171" t="s">
        <v>72</v>
      </c>
    </row>
    <row r="21" spans="1:34" s="171" customFormat="1" ht="17.100000000000001" customHeight="1">
      <c r="A21" s="161">
        <v>12</v>
      </c>
      <c r="B21" s="162" t="s">
        <v>1513</v>
      </c>
      <c r="C21" s="163">
        <v>1</v>
      </c>
      <c r="D21" s="164" t="s">
        <v>1566</v>
      </c>
      <c r="E21" s="165">
        <v>44592</v>
      </c>
      <c r="F21" s="166" t="s">
        <v>390</v>
      </c>
      <c r="G21" s="161">
        <v>80000501</v>
      </c>
      <c r="H21" s="167" t="s">
        <v>2140</v>
      </c>
      <c r="I21" s="168">
        <v>1</v>
      </c>
      <c r="J21" s="168">
        <v>6</v>
      </c>
      <c r="K21" s="167">
        <v>2</v>
      </c>
      <c r="L21" s="168">
        <v>2</v>
      </c>
      <c r="M21" s="168">
        <v>1</v>
      </c>
      <c r="N21" s="168">
        <v>2</v>
      </c>
      <c r="O21" s="168">
        <v>2</v>
      </c>
      <c r="P21" s="168">
        <v>3</v>
      </c>
      <c r="Q21" s="168">
        <v>1</v>
      </c>
      <c r="R21" s="167">
        <v>0</v>
      </c>
      <c r="S21" s="161">
        <v>0</v>
      </c>
      <c r="T21" s="161">
        <v>0</v>
      </c>
      <c r="U21" s="169"/>
      <c r="V21" s="167">
        <v>1</v>
      </c>
      <c r="W21" s="161">
        <v>1</v>
      </c>
      <c r="X21" s="167">
        <v>2</v>
      </c>
      <c r="Y21" s="167">
        <v>3</v>
      </c>
      <c r="Z21" s="167">
        <v>8</v>
      </c>
      <c r="AA21" s="167">
        <v>1</v>
      </c>
      <c r="AB21" s="167"/>
      <c r="AC21" s="167"/>
      <c r="AD21" s="170"/>
      <c r="AF21" s="171" t="s">
        <v>1831</v>
      </c>
      <c r="AG21" s="171" t="s">
        <v>1818</v>
      </c>
      <c r="AH21" s="171" t="s">
        <v>74</v>
      </c>
    </row>
    <row r="22" spans="1:34" s="171" customFormat="1" ht="17.100000000000001" customHeight="1">
      <c r="A22" s="369">
        <v>13</v>
      </c>
      <c r="B22" s="370" t="s">
        <v>1513</v>
      </c>
      <c r="C22" s="371">
        <v>1</v>
      </c>
      <c r="D22" s="372" t="s">
        <v>404</v>
      </c>
      <c r="E22" s="373">
        <v>44597</v>
      </c>
      <c r="F22" s="370" t="s">
        <v>406</v>
      </c>
      <c r="G22" s="369">
        <v>80002252</v>
      </c>
      <c r="H22" s="371" t="s">
        <v>2140</v>
      </c>
      <c r="I22" s="374">
        <v>1</v>
      </c>
      <c r="J22" s="374">
        <v>11</v>
      </c>
      <c r="K22" s="374">
        <v>6</v>
      </c>
      <c r="L22" s="374">
        <v>1</v>
      </c>
      <c r="M22" s="374">
        <v>1</v>
      </c>
      <c r="N22" s="374">
        <v>2</v>
      </c>
      <c r="O22" s="374">
        <v>4</v>
      </c>
      <c r="P22" s="168">
        <v>3</v>
      </c>
      <c r="Q22" s="374">
        <v>1</v>
      </c>
      <c r="R22" s="167">
        <v>0</v>
      </c>
      <c r="S22" s="161">
        <v>0</v>
      </c>
      <c r="T22" s="161">
        <v>0</v>
      </c>
      <c r="U22" s="375"/>
      <c r="V22" s="371">
        <v>3</v>
      </c>
      <c r="W22" s="369">
        <v>1</v>
      </c>
      <c r="X22" s="167">
        <v>3</v>
      </c>
      <c r="Y22" s="167">
        <v>3</v>
      </c>
      <c r="Z22" s="167">
        <v>8</v>
      </c>
      <c r="AA22" s="167">
        <v>7</v>
      </c>
      <c r="AB22" s="371"/>
      <c r="AC22" s="371"/>
      <c r="AD22" s="376"/>
      <c r="AF22" s="171" t="s">
        <v>1745</v>
      </c>
      <c r="AG22" s="171" t="s">
        <v>1779</v>
      </c>
      <c r="AH22" s="171" t="s">
        <v>74</v>
      </c>
    </row>
    <row r="23" spans="1:34" s="171" customFormat="1" ht="17.100000000000001" customHeight="1">
      <c r="A23" s="369">
        <v>14</v>
      </c>
      <c r="B23" s="370" t="s">
        <v>1513</v>
      </c>
      <c r="C23" s="371">
        <v>1</v>
      </c>
      <c r="D23" s="372" t="s">
        <v>418</v>
      </c>
      <c r="E23" s="373">
        <v>44607</v>
      </c>
      <c r="F23" s="370" t="s">
        <v>420</v>
      </c>
      <c r="G23" s="369">
        <v>80002320</v>
      </c>
      <c r="H23" s="371" t="s">
        <v>2140</v>
      </c>
      <c r="I23" s="374">
        <v>2</v>
      </c>
      <c r="J23" s="374">
        <v>23</v>
      </c>
      <c r="K23" s="374">
        <v>2</v>
      </c>
      <c r="L23" s="374">
        <v>2</v>
      </c>
      <c r="M23" s="374">
        <v>4</v>
      </c>
      <c r="N23" s="374">
        <v>2</v>
      </c>
      <c r="O23" s="374">
        <v>7</v>
      </c>
      <c r="P23" s="374">
        <v>2</v>
      </c>
      <c r="Q23" s="374">
        <v>3</v>
      </c>
      <c r="R23" s="371">
        <v>6</v>
      </c>
      <c r="S23" s="161">
        <v>0</v>
      </c>
      <c r="T23" s="161">
        <v>0</v>
      </c>
      <c r="U23" s="386">
        <v>44742795</v>
      </c>
      <c r="V23" s="371">
        <v>4</v>
      </c>
      <c r="W23" s="369">
        <v>1</v>
      </c>
      <c r="X23" s="371">
        <v>11</v>
      </c>
      <c r="Y23" s="167">
        <v>3</v>
      </c>
      <c r="Z23" s="167">
        <v>8</v>
      </c>
      <c r="AA23" s="371">
        <v>3</v>
      </c>
      <c r="AB23" s="371"/>
      <c r="AC23" s="371"/>
      <c r="AD23" s="376"/>
      <c r="AF23" s="171" t="s">
        <v>1842</v>
      </c>
      <c r="AG23" s="171" t="s">
        <v>1841</v>
      </c>
      <c r="AH23" s="171" t="s">
        <v>73</v>
      </c>
    </row>
    <row r="24" spans="1:34" s="171" customFormat="1" ht="16.5" customHeight="1">
      <c r="A24" s="369">
        <v>15</v>
      </c>
      <c r="B24" s="370" t="s">
        <v>1513</v>
      </c>
      <c r="C24" s="371">
        <v>1</v>
      </c>
      <c r="D24" s="372" t="s">
        <v>441</v>
      </c>
      <c r="E24" s="373">
        <v>44611</v>
      </c>
      <c r="F24" s="370" t="s">
        <v>444</v>
      </c>
      <c r="G24" s="369">
        <v>8000124</v>
      </c>
      <c r="H24" s="371" t="s">
        <v>2140</v>
      </c>
      <c r="I24" s="374">
        <v>1</v>
      </c>
      <c r="J24" s="374">
        <v>9</v>
      </c>
      <c r="K24" s="374">
        <v>6</v>
      </c>
      <c r="L24" s="374">
        <v>1</v>
      </c>
      <c r="M24" s="374">
        <v>1</v>
      </c>
      <c r="N24" s="374">
        <v>2</v>
      </c>
      <c r="O24" s="374">
        <v>3</v>
      </c>
      <c r="P24" s="168">
        <v>3</v>
      </c>
      <c r="Q24" s="374">
        <v>1</v>
      </c>
      <c r="R24" s="167">
        <v>0</v>
      </c>
      <c r="S24" s="161">
        <v>0</v>
      </c>
      <c r="T24" s="161">
        <v>0</v>
      </c>
      <c r="U24" s="375"/>
      <c r="V24" s="167">
        <v>1</v>
      </c>
      <c r="W24" s="369">
        <v>1</v>
      </c>
      <c r="X24" s="167">
        <v>1</v>
      </c>
      <c r="Y24" s="371">
        <v>4</v>
      </c>
      <c r="Z24" s="167">
        <v>8</v>
      </c>
      <c r="AA24" s="167">
        <v>7</v>
      </c>
      <c r="AB24" s="371"/>
      <c r="AC24" s="371"/>
      <c r="AD24" s="376"/>
      <c r="AF24" s="171" t="s">
        <v>1850</v>
      </c>
      <c r="AG24" s="171" t="s">
        <v>1744</v>
      </c>
      <c r="AH24" s="171" t="s">
        <v>74</v>
      </c>
    </row>
    <row r="25" spans="1:34" s="171" customFormat="1" ht="17.100000000000001" customHeight="1">
      <c r="A25" s="369">
        <v>16</v>
      </c>
      <c r="B25" s="370" t="s">
        <v>1513</v>
      </c>
      <c r="C25" s="371">
        <v>1</v>
      </c>
      <c r="D25" s="372" t="s">
        <v>458</v>
      </c>
      <c r="E25" s="373">
        <v>44614</v>
      </c>
      <c r="F25" s="370" t="s">
        <v>460</v>
      </c>
      <c r="G25" s="369">
        <v>8000859</v>
      </c>
      <c r="H25" s="371" t="s">
        <v>2140</v>
      </c>
      <c r="I25" s="374">
        <v>1</v>
      </c>
      <c r="J25" s="374">
        <v>8</v>
      </c>
      <c r="K25" s="374">
        <v>2</v>
      </c>
      <c r="L25" s="374">
        <v>1</v>
      </c>
      <c r="M25" s="374">
        <v>1</v>
      </c>
      <c r="N25" s="374">
        <v>2</v>
      </c>
      <c r="O25" s="374">
        <v>5</v>
      </c>
      <c r="P25" s="168">
        <v>3</v>
      </c>
      <c r="Q25" s="374">
        <v>1</v>
      </c>
      <c r="R25" s="167">
        <v>0</v>
      </c>
      <c r="S25" s="161">
        <v>0</v>
      </c>
      <c r="T25" s="161">
        <v>0</v>
      </c>
      <c r="U25" s="375"/>
      <c r="V25" s="371">
        <v>3</v>
      </c>
      <c r="W25" s="369">
        <v>2</v>
      </c>
      <c r="X25" s="167">
        <v>3</v>
      </c>
      <c r="Y25" s="167">
        <v>3</v>
      </c>
      <c r="Z25" s="167">
        <v>8</v>
      </c>
      <c r="AA25" s="167">
        <v>4</v>
      </c>
      <c r="AB25" s="371"/>
      <c r="AC25" s="371"/>
      <c r="AD25" s="376"/>
      <c r="AF25" s="171" t="s">
        <v>1745</v>
      </c>
      <c r="AG25" s="171" t="s">
        <v>1728</v>
      </c>
      <c r="AH25" s="171" t="s">
        <v>71</v>
      </c>
    </row>
    <row r="26" spans="1:34" s="171" customFormat="1" ht="17.100000000000001" customHeight="1">
      <c r="A26" s="369">
        <v>17</v>
      </c>
      <c r="B26" s="370" t="s">
        <v>1513</v>
      </c>
      <c r="C26" s="371">
        <v>1</v>
      </c>
      <c r="D26" s="372" t="s">
        <v>469</v>
      </c>
      <c r="E26" s="373">
        <v>44615</v>
      </c>
      <c r="F26" s="370" t="s">
        <v>1864</v>
      </c>
      <c r="G26" s="369" t="s">
        <v>1865</v>
      </c>
      <c r="H26" s="371" t="s">
        <v>2140</v>
      </c>
      <c r="I26" s="374">
        <v>1</v>
      </c>
      <c r="J26" s="374">
        <v>16</v>
      </c>
      <c r="K26" s="374">
        <v>3</v>
      </c>
      <c r="L26" s="374">
        <v>1</v>
      </c>
      <c r="M26" s="374">
        <v>1</v>
      </c>
      <c r="N26" s="168">
        <v>3</v>
      </c>
      <c r="O26" s="374">
        <v>3</v>
      </c>
      <c r="P26" s="168">
        <v>3</v>
      </c>
      <c r="Q26" s="374">
        <v>1</v>
      </c>
      <c r="R26" s="167">
        <v>0</v>
      </c>
      <c r="S26" s="161">
        <v>0</v>
      </c>
      <c r="T26" s="161">
        <v>0</v>
      </c>
      <c r="U26" s="375"/>
      <c r="V26" s="167">
        <v>1</v>
      </c>
      <c r="W26" s="369">
        <v>1</v>
      </c>
      <c r="X26" s="371">
        <v>11</v>
      </c>
      <c r="Y26" s="167">
        <v>2</v>
      </c>
      <c r="Z26" s="167">
        <v>8</v>
      </c>
      <c r="AA26" s="371">
        <v>3</v>
      </c>
      <c r="AB26" s="371">
        <v>6</v>
      </c>
      <c r="AC26" s="371"/>
      <c r="AD26" s="376"/>
      <c r="AF26" s="171" t="s">
        <v>1789</v>
      </c>
      <c r="AG26" s="171" t="s">
        <v>1788</v>
      </c>
      <c r="AH26" s="171" t="s">
        <v>75</v>
      </c>
    </row>
    <row r="27" spans="1:34" s="171" customFormat="1" ht="17.100000000000001" customHeight="1">
      <c r="A27" s="369">
        <v>18</v>
      </c>
      <c r="B27" s="370" t="s">
        <v>1513</v>
      </c>
      <c r="C27" s="371">
        <v>1</v>
      </c>
      <c r="D27" s="372" t="s">
        <v>486</v>
      </c>
      <c r="E27" s="373">
        <v>44620</v>
      </c>
      <c r="F27" s="370" t="s">
        <v>489</v>
      </c>
      <c r="G27" s="369" t="s">
        <v>1871</v>
      </c>
      <c r="H27" s="371" t="s">
        <v>2140</v>
      </c>
      <c r="I27" s="374">
        <v>1</v>
      </c>
      <c r="J27" s="374">
        <v>1</v>
      </c>
      <c r="K27" s="374">
        <v>2</v>
      </c>
      <c r="L27" s="374">
        <v>2</v>
      </c>
      <c r="M27" s="374">
        <v>1</v>
      </c>
      <c r="N27" s="168">
        <v>3</v>
      </c>
      <c r="O27" s="374">
        <v>4</v>
      </c>
      <c r="P27" s="168">
        <v>3</v>
      </c>
      <c r="Q27" s="374">
        <v>1</v>
      </c>
      <c r="R27" s="167">
        <v>0</v>
      </c>
      <c r="S27" s="161">
        <v>0</v>
      </c>
      <c r="T27" s="161">
        <v>0</v>
      </c>
      <c r="U27" s="375"/>
      <c r="V27" s="167">
        <v>1</v>
      </c>
      <c r="W27" s="369">
        <v>1</v>
      </c>
      <c r="X27" s="167">
        <v>2</v>
      </c>
      <c r="Y27" s="371">
        <v>3</v>
      </c>
      <c r="Z27" s="167">
        <v>8</v>
      </c>
      <c r="AA27" s="371">
        <v>1</v>
      </c>
      <c r="AB27" s="371">
        <v>8</v>
      </c>
      <c r="AC27" s="371"/>
      <c r="AD27" s="376"/>
      <c r="AF27" s="171" t="s">
        <v>1831</v>
      </c>
      <c r="AG27" s="171" t="s">
        <v>1818</v>
      </c>
      <c r="AH27" s="171" t="s">
        <v>74</v>
      </c>
    </row>
    <row r="28" spans="1:34" s="171" customFormat="1" ht="17.100000000000001" customHeight="1">
      <c r="A28" s="377">
        <v>19</v>
      </c>
      <c r="B28" s="378" t="s">
        <v>1513</v>
      </c>
      <c r="C28" s="379">
        <v>1</v>
      </c>
      <c r="D28" s="380" t="s">
        <v>503</v>
      </c>
      <c r="E28" s="381">
        <v>44627</v>
      </c>
      <c r="F28" s="378" t="s">
        <v>506</v>
      </c>
      <c r="G28" s="377">
        <v>80000498</v>
      </c>
      <c r="H28" s="379" t="s">
        <v>2140</v>
      </c>
      <c r="I28" s="382">
        <v>1</v>
      </c>
      <c r="J28" s="382">
        <v>11</v>
      </c>
      <c r="K28" s="382">
        <v>1</v>
      </c>
      <c r="L28" s="382">
        <v>2</v>
      </c>
      <c r="M28" s="382">
        <v>1</v>
      </c>
      <c r="N28" s="168">
        <v>3</v>
      </c>
      <c r="O28" s="382">
        <v>3</v>
      </c>
      <c r="P28" s="168">
        <v>3</v>
      </c>
      <c r="Q28" s="382">
        <v>1</v>
      </c>
      <c r="R28" s="167">
        <v>0</v>
      </c>
      <c r="S28" s="161">
        <v>0</v>
      </c>
      <c r="T28" s="161">
        <v>0</v>
      </c>
      <c r="U28" s="383"/>
      <c r="V28" s="379">
        <v>3</v>
      </c>
      <c r="W28" s="377">
        <v>2</v>
      </c>
      <c r="X28" s="167">
        <v>3</v>
      </c>
      <c r="Y28" s="167">
        <v>3</v>
      </c>
      <c r="Z28" s="167">
        <v>8</v>
      </c>
      <c r="AA28" s="379">
        <v>7</v>
      </c>
      <c r="AB28" s="379">
        <v>8</v>
      </c>
      <c r="AC28" s="379"/>
      <c r="AD28" s="384"/>
      <c r="AF28" s="171" t="s">
        <v>1745</v>
      </c>
      <c r="AG28" s="171" t="s">
        <v>1728</v>
      </c>
      <c r="AH28" s="171" t="s">
        <v>74</v>
      </c>
    </row>
    <row r="29" spans="1:34" s="171" customFormat="1" ht="17.100000000000001" customHeight="1">
      <c r="A29" s="377">
        <v>20</v>
      </c>
      <c r="B29" s="378" t="s">
        <v>1513</v>
      </c>
      <c r="C29" s="379">
        <v>1</v>
      </c>
      <c r="D29" s="380" t="s">
        <v>514</v>
      </c>
      <c r="E29" s="381">
        <v>44628</v>
      </c>
      <c r="F29" s="378" t="s">
        <v>517</v>
      </c>
      <c r="G29" s="377">
        <v>80002357</v>
      </c>
      <c r="H29" s="379" t="s">
        <v>2140</v>
      </c>
      <c r="I29" s="382">
        <v>1</v>
      </c>
      <c r="J29" s="382">
        <v>10</v>
      </c>
      <c r="K29" s="382">
        <v>2</v>
      </c>
      <c r="L29" s="382">
        <v>1</v>
      </c>
      <c r="M29" s="382">
        <v>1</v>
      </c>
      <c r="N29" s="382">
        <v>2</v>
      </c>
      <c r="O29" s="382">
        <v>3</v>
      </c>
      <c r="P29" s="168">
        <v>3</v>
      </c>
      <c r="Q29" s="382">
        <v>1</v>
      </c>
      <c r="R29" s="167">
        <v>0</v>
      </c>
      <c r="S29" s="161">
        <v>0</v>
      </c>
      <c r="T29" s="161">
        <v>0</v>
      </c>
      <c r="U29" s="383"/>
      <c r="V29" s="167">
        <v>1</v>
      </c>
      <c r="W29" s="377">
        <v>1</v>
      </c>
      <c r="X29" s="167">
        <v>1</v>
      </c>
      <c r="Y29" s="167">
        <v>3</v>
      </c>
      <c r="Z29" s="167">
        <v>8</v>
      </c>
      <c r="AA29" s="379">
        <v>3</v>
      </c>
      <c r="AB29" s="379">
        <v>4</v>
      </c>
      <c r="AC29" s="379"/>
      <c r="AD29" s="384"/>
      <c r="AF29" s="171" t="s">
        <v>1745</v>
      </c>
      <c r="AG29" s="171" t="s">
        <v>1744</v>
      </c>
      <c r="AH29" s="171" t="s">
        <v>74</v>
      </c>
    </row>
    <row r="30" spans="1:34" s="171" customFormat="1" ht="17.100000000000001" customHeight="1">
      <c r="A30" s="377">
        <v>21</v>
      </c>
      <c r="B30" s="378" t="s">
        <v>1513</v>
      </c>
      <c r="C30" s="379">
        <v>1</v>
      </c>
      <c r="D30" s="380" t="s">
        <v>539</v>
      </c>
      <c r="E30" s="381">
        <v>44628</v>
      </c>
      <c r="F30" s="378" t="s">
        <v>541</v>
      </c>
      <c r="G30" s="377">
        <v>80001273</v>
      </c>
      <c r="H30" s="379" t="s">
        <v>2140</v>
      </c>
      <c r="I30" s="382">
        <v>1</v>
      </c>
      <c r="J30" s="382">
        <v>22</v>
      </c>
      <c r="K30" s="382">
        <v>2</v>
      </c>
      <c r="L30" s="382">
        <v>2</v>
      </c>
      <c r="M30" s="382">
        <v>1</v>
      </c>
      <c r="N30" s="382">
        <v>2</v>
      </c>
      <c r="O30" s="382">
        <v>3</v>
      </c>
      <c r="P30" s="168">
        <v>3</v>
      </c>
      <c r="Q30" s="382">
        <v>1</v>
      </c>
      <c r="R30" s="167">
        <v>0</v>
      </c>
      <c r="S30" s="161">
        <v>0</v>
      </c>
      <c r="T30" s="161">
        <v>0</v>
      </c>
      <c r="U30" s="383"/>
      <c r="V30" s="379">
        <v>3</v>
      </c>
      <c r="W30" s="377">
        <v>2</v>
      </c>
      <c r="X30" s="167">
        <v>3</v>
      </c>
      <c r="Y30" s="167">
        <v>3</v>
      </c>
      <c r="Z30" s="167">
        <v>8</v>
      </c>
      <c r="AA30" s="167">
        <v>4</v>
      </c>
      <c r="AB30" s="379">
        <v>4</v>
      </c>
      <c r="AC30" s="379"/>
      <c r="AD30" s="384"/>
      <c r="AF30" s="171" t="s">
        <v>1745</v>
      </c>
      <c r="AG30" s="171" t="s">
        <v>1728</v>
      </c>
      <c r="AH30" s="171" t="s">
        <v>71</v>
      </c>
    </row>
    <row r="31" spans="1:34" s="171" customFormat="1" ht="17.100000000000001" customHeight="1">
      <c r="A31" s="377">
        <v>22</v>
      </c>
      <c r="B31" s="378" t="s">
        <v>1513</v>
      </c>
      <c r="C31" s="379">
        <v>1</v>
      </c>
      <c r="D31" s="380" t="s">
        <v>550</v>
      </c>
      <c r="E31" s="381">
        <v>44629</v>
      </c>
      <c r="F31" s="378" t="s">
        <v>553</v>
      </c>
      <c r="G31" s="377">
        <v>80002879</v>
      </c>
      <c r="H31" s="379" t="s">
        <v>2140</v>
      </c>
      <c r="I31" s="382">
        <v>1</v>
      </c>
      <c r="J31" s="382">
        <v>11</v>
      </c>
      <c r="K31" s="382">
        <v>3</v>
      </c>
      <c r="L31" s="382">
        <v>1</v>
      </c>
      <c r="M31" s="382">
        <v>2</v>
      </c>
      <c r="N31" s="382">
        <v>1</v>
      </c>
      <c r="O31" s="382">
        <v>4</v>
      </c>
      <c r="P31" s="382">
        <v>5</v>
      </c>
      <c r="Q31" s="382">
        <v>3</v>
      </c>
      <c r="R31" s="167">
        <v>0</v>
      </c>
      <c r="S31" s="161">
        <v>0</v>
      </c>
      <c r="T31" s="161">
        <v>0</v>
      </c>
      <c r="U31" s="383"/>
      <c r="V31" s="167">
        <v>1</v>
      </c>
      <c r="W31" s="377">
        <v>2</v>
      </c>
      <c r="X31" s="379">
        <v>11</v>
      </c>
      <c r="Y31" s="167">
        <v>2</v>
      </c>
      <c r="Z31" s="167">
        <v>8</v>
      </c>
      <c r="AA31" s="379">
        <v>3</v>
      </c>
      <c r="AB31" s="379">
        <v>1</v>
      </c>
      <c r="AC31" s="379"/>
      <c r="AD31" s="384"/>
      <c r="AF31" s="171" t="s">
        <v>1882</v>
      </c>
      <c r="AG31" s="171" t="s">
        <v>1881</v>
      </c>
      <c r="AH31" s="171" t="s">
        <v>74</v>
      </c>
    </row>
    <row r="32" spans="1:34" s="171" customFormat="1" ht="16.5" customHeight="1">
      <c r="A32" s="377">
        <v>23</v>
      </c>
      <c r="B32" s="378" t="s">
        <v>1513</v>
      </c>
      <c r="C32" s="379">
        <v>1</v>
      </c>
      <c r="D32" s="380" t="s">
        <v>566</v>
      </c>
      <c r="E32" s="381">
        <v>44632</v>
      </c>
      <c r="F32" s="378" t="s">
        <v>569</v>
      </c>
      <c r="G32" s="377">
        <v>80002043</v>
      </c>
      <c r="H32" s="379" t="s">
        <v>2140</v>
      </c>
      <c r="I32" s="382">
        <v>1</v>
      </c>
      <c r="J32" s="382">
        <v>7</v>
      </c>
      <c r="K32" s="382">
        <v>6</v>
      </c>
      <c r="L32" s="382">
        <v>1</v>
      </c>
      <c r="M32" s="382">
        <v>1</v>
      </c>
      <c r="N32" s="168">
        <v>3</v>
      </c>
      <c r="O32" s="382">
        <v>4</v>
      </c>
      <c r="P32" s="382">
        <v>4</v>
      </c>
      <c r="Q32" s="382">
        <v>1</v>
      </c>
      <c r="R32" s="167">
        <v>0</v>
      </c>
      <c r="S32" s="161">
        <v>0</v>
      </c>
      <c r="T32" s="161">
        <v>0</v>
      </c>
      <c r="U32" s="383"/>
      <c r="V32" s="167">
        <v>1</v>
      </c>
      <c r="W32" s="377">
        <v>1</v>
      </c>
      <c r="X32" s="167">
        <v>1</v>
      </c>
      <c r="Y32" s="379">
        <v>4</v>
      </c>
      <c r="Z32" s="167">
        <v>8</v>
      </c>
      <c r="AA32" s="379">
        <v>3</v>
      </c>
      <c r="AB32" s="379">
        <v>4</v>
      </c>
      <c r="AC32" s="379"/>
      <c r="AD32" s="384"/>
      <c r="AF32" s="171" t="s">
        <v>1850</v>
      </c>
      <c r="AG32" s="171" t="s">
        <v>1744</v>
      </c>
      <c r="AH32" s="171" t="s">
        <v>74</v>
      </c>
    </row>
    <row r="33" spans="1:150" s="171" customFormat="1" ht="16.5" customHeight="1">
      <c r="A33" s="377">
        <v>24</v>
      </c>
      <c r="B33" s="378" t="s">
        <v>1513</v>
      </c>
      <c r="C33" s="379">
        <v>1</v>
      </c>
      <c r="D33" s="380" t="s">
        <v>584</v>
      </c>
      <c r="E33" s="381">
        <v>44638</v>
      </c>
      <c r="F33" s="378" t="s">
        <v>587</v>
      </c>
      <c r="G33" s="377">
        <v>80001449</v>
      </c>
      <c r="H33" s="379" t="s">
        <v>2140</v>
      </c>
      <c r="I33" s="382">
        <v>1</v>
      </c>
      <c r="J33" s="382">
        <v>8</v>
      </c>
      <c r="K33" s="382">
        <v>5</v>
      </c>
      <c r="L33" s="382">
        <v>1</v>
      </c>
      <c r="M33" s="382">
        <v>4</v>
      </c>
      <c r="N33" s="168">
        <v>3</v>
      </c>
      <c r="O33" s="382">
        <v>5</v>
      </c>
      <c r="P33" s="168">
        <v>3</v>
      </c>
      <c r="Q33" s="382">
        <v>2</v>
      </c>
      <c r="R33" s="167">
        <v>0</v>
      </c>
      <c r="S33" s="161">
        <v>0</v>
      </c>
      <c r="T33" s="161">
        <v>0</v>
      </c>
      <c r="U33" s="383"/>
      <c r="V33" s="167">
        <v>1</v>
      </c>
      <c r="W33" s="377">
        <v>2</v>
      </c>
      <c r="X33" s="167">
        <v>3</v>
      </c>
      <c r="Y33" s="167">
        <v>3</v>
      </c>
      <c r="Z33" s="167">
        <v>8</v>
      </c>
      <c r="AA33" s="167">
        <v>4</v>
      </c>
      <c r="AB33" s="379">
        <v>4</v>
      </c>
      <c r="AC33" s="379"/>
      <c r="AD33" s="384"/>
      <c r="AF33" s="171" t="s">
        <v>1745</v>
      </c>
      <c r="AG33" s="171" t="s">
        <v>1728</v>
      </c>
      <c r="AH33" s="171" t="s">
        <v>71</v>
      </c>
    </row>
    <row r="34" spans="1:150" s="171" customFormat="1" ht="16.5" customHeight="1">
      <c r="A34" s="377">
        <v>25</v>
      </c>
      <c r="B34" s="378" t="s">
        <v>1513</v>
      </c>
      <c r="C34" s="379">
        <v>1</v>
      </c>
      <c r="D34" s="380" t="s">
        <v>599</v>
      </c>
      <c r="E34" s="381">
        <v>44653</v>
      </c>
      <c r="F34" s="378" t="s">
        <v>602</v>
      </c>
      <c r="G34" s="377">
        <v>80002772</v>
      </c>
      <c r="H34" s="379" t="s">
        <v>2140</v>
      </c>
      <c r="I34" s="382">
        <v>1</v>
      </c>
      <c r="J34" s="382">
        <v>16</v>
      </c>
      <c r="K34" s="382">
        <v>6</v>
      </c>
      <c r="L34" s="382">
        <v>1</v>
      </c>
      <c r="M34" s="382">
        <v>1</v>
      </c>
      <c r="N34" s="168">
        <v>3</v>
      </c>
      <c r="O34" s="382">
        <v>3</v>
      </c>
      <c r="P34" s="168">
        <v>3</v>
      </c>
      <c r="Q34" s="382">
        <v>1</v>
      </c>
      <c r="R34" s="167">
        <v>0</v>
      </c>
      <c r="S34" s="161">
        <v>0</v>
      </c>
      <c r="T34" s="161">
        <v>0</v>
      </c>
      <c r="U34" s="383"/>
      <c r="V34" s="167">
        <v>1</v>
      </c>
      <c r="W34" s="377">
        <v>1</v>
      </c>
      <c r="X34" s="167">
        <v>3</v>
      </c>
      <c r="Y34" s="167">
        <v>3</v>
      </c>
      <c r="Z34" s="167">
        <v>8</v>
      </c>
      <c r="AA34" s="167">
        <v>4</v>
      </c>
      <c r="AB34" s="379"/>
      <c r="AC34" s="379"/>
      <c r="AD34" s="384"/>
      <c r="AF34" s="171" t="s">
        <v>1810</v>
      </c>
      <c r="AG34" s="171" t="s">
        <v>1779</v>
      </c>
      <c r="AH34" s="171" t="s">
        <v>71</v>
      </c>
    </row>
    <row r="35" spans="1:150" s="171" customFormat="1" ht="16.5" customHeight="1">
      <c r="A35" s="377">
        <v>26</v>
      </c>
      <c r="B35" s="378" t="s">
        <v>1513</v>
      </c>
      <c r="C35" s="379">
        <v>1</v>
      </c>
      <c r="D35" s="380" t="s">
        <v>617</v>
      </c>
      <c r="E35" s="381">
        <v>44659</v>
      </c>
      <c r="F35" s="378" t="s">
        <v>620</v>
      </c>
      <c r="G35" s="377">
        <v>80003035</v>
      </c>
      <c r="H35" s="379" t="s">
        <v>2140</v>
      </c>
      <c r="I35" s="382">
        <v>1</v>
      </c>
      <c r="J35" s="382">
        <v>9</v>
      </c>
      <c r="K35" s="382">
        <v>5</v>
      </c>
      <c r="L35" s="382">
        <v>1</v>
      </c>
      <c r="M35" s="382">
        <v>1</v>
      </c>
      <c r="N35" s="168">
        <v>3</v>
      </c>
      <c r="O35" s="382">
        <v>3</v>
      </c>
      <c r="P35" s="168">
        <v>3</v>
      </c>
      <c r="Q35" s="382">
        <v>1</v>
      </c>
      <c r="R35" s="167">
        <v>0</v>
      </c>
      <c r="S35" s="161">
        <v>0</v>
      </c>
      <c r="T35" s="161">
        <v>0</v>
      </c>
      <c r="U35" s="383"/>
      <c r="V35" s="379">
        <v>3</v>
      </c>
      <c r="W35" s="377">
        <v>2</v>
      </c>
      <c r="X35" s="167">
        <v>3</v>
      </c>
      <c r="Y35" s="167">
        <v>3</v>
      </c>
      <c r="Z35" s="167">
        <v>8</v>
      </c>
      <c r="AA35" s="167">
        <v>4</v>
      </c>
      <c r="AB35" s="379"/>
      <c r="AC35" s="379"/>
      <c r="AD35" s="384"/>
      <c r="AF35" s="171" t="s">
        <v>1745</v>
      </c>
      <c r="AG35" s="171" t="s">
        <v>1728</v>
      </c>
      <c r="AH35" s="171" t="s">
        <v>71</v>
      </c>
    </row>
    <row r="36" spans="1:150" s="171" customFormat="1" ht="16.5" customHeight="1">
      <c r="A36" s="377">
        <v>27</v>
      </c>
      <c r="B36" s="378" t="s">
        <v>1513</v>
      </c>
      <c r="C36" s="379">
        <v>1</v>
      </c>
      <c r="D36" s="380" t="s">
        <v>628</v>
      </c>
      <c r="E36" s="381">
        <v>44660</v>
      </c>
      <c r="F36" s="378" t="s">
        <v>631</v>
      </c>
      <c r="G36" s="377" t="s">
        <v>1901</v>
      </c>
      <c r="H36" s="379" t="s">
        <v>2142</v>
      </c>
      <c r="I36" s="382">
        <v>6</v>
      </c>
      <c r="J36" s="382">
        <v>12</v>
      </c>
      <c r="K36" s="382">
        <v>6</v>
      </c>
      <c r="L36" s="382">
        <v>1</v>
      </c>
      <c r="M36" s="382">
        <v>4</v>
      </c>
      <c r="N36" s="382">
        <v>7</v>
      </c>
      <c r="O36" s="382">
        <v>5</v>
      </c>
      <c r="P36" s="382">
        <v>5</v>
      </c>
      <c r="Q36" s="382">
        <v>2</v>
      </c>
      <c r="R36" s="167">
        <v>0</v>
      </c>
      <c r="S36" s="161">
        <v>0</v>
      </c>
      <c r="T36" s="161">
        <v>0</v>
      </c>
      <c r="U36" s="383"/>
      <c r="V36" s="379">
        <v>3</v>
      </c>
      <c r="W36" s="377">
        <v>2</v>
      </c>
      <c r="X36" s="167">
        <v>3</v>
      </c>
      <c r="Y36" s="379">
        <v>3</v>
      </c>
      <c r="Z36" s="167">
        <v>8</v>
      </c>
      <c r="AA36" s="167">
        <v>7</v>
      </c>
      <c r="AB36" s="379"/>
      <c r="AC36" s="379"/>
      <c r="AD36" s="384"/>
      <c r="AF36" s="171" t="s">
        <v>1900</v>
      </c>
      <c r="AG36" s="171" t="s">
        <v>1728</v>
      </c>
      <c r="AH36" s="171" t="s">
        <v>74</v>
      </c>
    </row>
    <row r="37" spans="1:150" s="171" customFormat="1" ht="16.5" customHeight="1">
      <c r="A37" s="377">
        <v>28</v>
      </c>
      <c r="B37" s="378" t="s">
        <v>1513</v>
      </c>
      <c r="C37" s="379">
        <v>1</v>
      </c>
      <c r="D37" s="380" t="s">
        <v>646</v>
      </c>
      <c r="E37" s="381">
        <v>44662</v>
      </c>
      <c r="F37" s="378" t="s">
        <v>1910</v>
      </c>
      <c r="G37" s="377">
        <v>8002399</v>
      </c>
      <c r="H37" s="379" t="s">
        <v>2143</v>
      </c>
      <c r="I37" s="382">
        <v>4</v>
      </c>
      <c r="J37" s="382">
        <v>14</v>
      </c>
      <c r="K37" s="382">
        <v>1</v>
      </c>
      <c r="L37" s="382">
        <v>1</v>
      </c>
      <c r="M37" s="382">
        <v>3</v>
      </c>
      <c r="N37" s="382">
        <v>2</v>
      </c>
      <c r="O37" s="382">
        <v>4</v>
      </c>
      <c r="P37" s="168">
        <v>3</v>
      </c>
      <c r="Q37" s="382">
        <v>5</v>
      </c>
      <c r="R37" s="167">
        <v>0</v>
      </c>
      <c r="S37" s="161">
        <v>0</v>
      </c>
      <c r="T37" s="161">
        <v>0</v>
      </c>
      <c r="U37" s="383"/>
      <c r="V37" s="379">
        <v>5</v>
      </c>
      <c r="W37" s="377">
        <v>2</v>
      </c>
      <c r="X37" s="167">
        <v>10</v>
      </c>
      <c r="Y37" s="379">
        <v>17</v>
      </c>
      <c r="Z37" s="167">
        <v>8</v>
      </c>
      <c r="AA37" s="167">
        <v>4</v>
      </c>
      <c r="AB37" s="379">
        <v>4</v>
      </c>
      <c r="AC37" s="379"/>
      <c r="AD37" s="384"/>
      <c r="AF37" s="171" t="s">
        <v>1909</v>
      </c>
      <c r="AG37" s="171" t="s">
        <v>1697</v>
      </c>
      <c r="AH37" s="171" t="s">
        <v>71</v>
      </c>
    </row>
    <row r="38" spans="1:150" s="385" customFormat="1" ht="16.5" customHeight="1">
      <c r="A38" s="377">
        <v>29</v>
      </c>
      <c r="B38" s="378" t="s">
        <v>1513</v>
      </c>
      <c r="C38" s="379">
        <v>1</v>
      </c>
      <c r="D38" s="380" t="s">
        <v>662</v>
      </c>
      <c r="E38" s="381">
        <v>44665</v>
      </c>
      <c r="F38" s="378" t="s">
        <v>1916</v>
      </c>
      <c r="G38" s="377">
        <v>8002613</v>
      </c>
      <c r="H38" s="379" t="s">
        <v>2140</v>
      </c>
      <c r="I38" s="382">
        <v>1</v>
      </c>
      <c r="J38" s="382">
        <v>15</v>
      </c>
      <c r="K38" s="382">
        <v>4</v>
      </c>
      <c r="L38" s="382">
        <v>1</v>
      </c>
      <c r="M38" s="382">
        <v>2</v>
      </c>
      <c r="N38" s="382">
        <v>2</v>
      </c>
      <c r="O38" s="382">
        <v>3</v>
      </c>
      <c r="P38" s="382">
        <v>1</v>
      </c>
      <c r="Q38" s="382">
        <v>3</v>
      </c>
      <c r="R38" s="167">
        <v>0</v>
      </c>
      <c r="S38" s="161">
        <v>0</v>
      </c>
      <c r="T38" s="161">
        <v>0</v>
      </c>
      <c r="U38" s="383"/>
      <c r="V38" s="167">
        <v>1</v>
      </c>
      <c r="W38" s="377">
        <v>2</v>
      </c>
      <c r="X38" s="379">
        <v>11</v>
      </c>
      <c r="Y38" s="167">
        <v>2</v>
      </c>
      <c r="Z38" s="167">
        <v>8</v>
      </c>
      <c r="AA38" s="379">
        <v>3</v>
      </c>
      <c r="AB38" s="379">
        <v>1</v>
      </c>
      <c r="AC38" s="379"/>
      <c r="AD38" s="384"/>
      <c r="AE38" s="171"/>
      <c r="AF38" s="171" t="s">
        <v>1882</v>
      </c>
      <c r="AG38" s="171" t="s">
        <v>1881</v>
      </c>
      <c r="AH38" s="171" t="s">
        <v>73</v>
      </c>
      <c r="AI38" s="171"/>
      <c r="AJ38" s="171"/>
      <c r="AK38" s="171"/>
      <c r="AL38" s="171"/>
      <c r="AM38" s="171"/>
      <c r="AN38" s="171"/>
      <c r="AO38" s="171"/>
      <c r="AP38" s="171"/>
      <c r="AQ38" s="171"/>
      <c r="AR38" s="171"/>
      <c r="AS38" s="171"/>
      <c r="AT38" s="171"/>
      <c r="AU38" s="171"/>
      <c r="AV38" s="171"/>
      <c r="AW38" s="171"/>
      <c r="AX38" s="171"/>
      <c r="AY38" s="171"/>
      <c r="AZ38" s="171"/>
      <c r="BA38" s="171"/>
      <c r="BB38" s="171"/>
      <c r="BC38" s="171"/>
      <c r="BD38" s="171"/>
      <c r="BE38" s="171"/>
      <c r="BF38" s="171"/>
      <c r="BG38" s="171"/>
      <c r="BH38" s="171"/>
      <c r="BI38" s="171"/>
      <c r="BJ38" s="171"/>
      <c r="BK38" s="171"/>
      <c r="BL38" s="171"/>
      <c r="BM38" s="171"/>
      <c r="BN38" s="171"/>
      <c r="BO38" s="171"/>
      <c r="BP38" s="171"/>
      <c r="BQ38" s="171"/>
      <c r="BR38" s="171"/>
      <c r="BS38" s="171"/>
      <c r="BT38" s="171"/>
      <c r="BU38" s="171"/>
      <c r="BV38" s="171"/>
      <c r="BW38" s="171"/>
      <c r="BX38" s="171"/>
      <c r="BY38" s="171"/>
      <c r="BZ38" s="171"/>
      <c r="CA38" s="171"/>
      <c r="CB38" s="171"/>
      <c r="CC38" s="171"/>
      <c r="CD38" s="171"/>
      <c r="CE38" s="171"/>
      <c r="CF38" s="171"/>
      <c r="CG38" s="171"/>
      <c r="CH38" s="171"/>
      <c r="CI38" s="171"/>
      <c r="CJ38" s="171"/>
      <c r="CK38" s="171"/>
      <c r="CL38" s="171"/>
      <c r="CM38" s="171"/>
      <c r="CN38" s="171"/>
      <c r="CO38" s="171"/>
      <c r="CP38" s="171"/>
      <c r="CQ38" s="171"/>
      <c r="CR38" s="171"/>
      <c r="CS38" s="171"/>
      <c r="CT38" s="171"/>
      <c r="CU38" s="171"/>
      <c r="CV38" s="171"/>
      <c r="CW38" s="171"/>
      <c r="CX38" s="171"/>
      <c r="CY38" s="171"/>
      <c r="CZ38" s="171"/>
      <c r="DA38" s="171"/>
      <c r="DB38" s="171"/>
      <c r="DC38" s="171"/>
      <c r="DD38" s="171"/>
      <c r="DE38" s="171"/>
      <c r="DF38" s="171"/>
      <c r="DG38" s="171"/>
      <c r="DH38" s="171"/>
      <c r="DI38" s="171"/>
      <c r="DJ38" s="171"/>
      <c r="DK38" s="171"/>
      <c r="DL38" s="171"/>
      <c r="DM38" s="171"/>
      <c r="DN38" s="171"/>
      <c r="DO38" s="171"/>
      <c r="DP38" s="171"/>
      <c r="DQ38" s="171"/>
      <c r="DR38" s="171"/>
      <c r="DS38" s="171"/>
      <c r="DT38" s="171"/>
      <c r="DU38" s="171"/>
      <c r="DV38" s="171"/>
      <c r="DW38" s="171"/>
      <c r="DX38" s="171"/>
      <c r="DY38" s="171"/>
      <c r="DZ38" s="171"/>
      <c r="EA38" s="171"/>
      <c r="EB38" s="171"/>
      <c r="EC38" s="171"/>
      <c r="ED38" s="171"/>
      <c r="EE38" s="171"/>
      <c r="EF38" s="171"/>
      <c r="EG38" s="171"/>
      <c r="EH38" s="171"/>
      <c r="EI38" s="171"/>
      <c r="EJ38" s="171"/>
      <c r="EK38" s="171"/>
      <c r="EL38" s="171"/>
      <c r="EM38" s="171"/>
      <c r="EN38" s="171"/>
      <c r="EO38" s="171"/>
      <c r="EP38" s="171"/>
      <c r="EQ38" s="171"/>
      <c r="ER38" s="171"/>
      <c r="ES38" s="171"/>
      <c r="ET38" s="171"/>
    </row>
    <row r="39" spans="1:150" s="385" customFormat="1" ht="16.5" customHeight="1">
      <c r="A39" s="377">
        <v>30</v>
      </c>
      <c r="B39" s="378" t="s">
        <v>1513</v>
      </c>
      <c r="C39" s="379">
        <v>1</v>
      </c>
      <c r="D39" s="380" t="s">
        <v>678</v>
      </c>
      <c r="E39" s="381">
        <v>44665</v>
      </c>
      <c r="F39" s="378" t="s">
        <v>680</v>
      </c>
      <c r="G39" s="377">
        <v>8000937</v>
      </c>
      <c r="H39" s="379" t="s">
        <v>2140</v>
      </c>
      <c r="I39" s="382">
        <v>1</v>
      </c>
      <c r="J39" s="382">
        <v>17</v>
      </c>
      <c r="K39" s="382">
        <v>4</v>
      </c>
      <c r="L39" s="382">
        <v>1</v>
      </c>
      <c r="M39" s="382">
        <v>1</v>
      </c>
      <c r="N39" s="168">
        <v>3</v>
      </c>
      <c r="O39" s="382">
        <v>2</v>
      </c>
      <c r="P39" s="168">
        <v>3</v>
      </c>
      <c r="Q39" s="382">
        <v>1</v>
      </c>
      <c r="R39" s="167">
        <v>0</v>
      </c>
      <c r="S39" s="161">
        <v>0</v>
      </c>
      <c r="T39" s="161">
        <v>0</v>
      </c>
      <c r="U39" s="383"/>
      <c r="V39" s="167">
        <v>1</v>
      </c>
      <c r="W39" s="377">
        <v>1</v>
      </c>
      <c r="X39" s="167">
        <v>1</v>
      </c>
      <c r="Y39" s="167">
        <v>3</v>
      </c>
      <c r="Z39" s="167">
        <v>8</v>
      </c>
      <c r="AA39" s="167">
        <v>7</v>
      </c>
      <c r="AB39" s="379"/>
      <c r="AC39" s="379"/>
      <c r="AD39" s="384"/>
      <c r="AE39" s="171"/>
      <c r="AF39" s="171" t="s">
        <v>1745</v>
      </c>
      <c r="AG39" s="171" t="s">
        <v>1744</v>
      </c>
      <c r="AH39" s="171" t="s">
        <v>74</v>
      </c>
      <c r="AI39" s="171"/>
      <c r="AJ39" s="171"/>
      <c r="AK39" s="171"/>
      <c r="AL39" s="171"/>
      <c r="AM39" s="171"/>
      <c r="AN39" s="171"/>
      <c r="AO39" s="171"/>
      <c r="AP39" s="171"/>
      <c r="AQ39" s="171"/>
      <c r="AR39" s="171"/>
      <c r="AS39" s="171"/>
      <c r="AT39" s="171"/>
      <c r="AU39" s="171"/>
      <c r="AV39" s="171"/>
      <c r="AW39" s="171"/>
      <c r="AX39" s="171"/>
      <c r="AY39" s="171"/>
      <c r="AZ39" s="171"/>
      <c r="BA39" s="171"/>
      <c r="BB39" s="171"/>
      <c r="BC39" s="171"/>
      <c r="BD39" s="171"/>
      <c r="BE39" s="171"/>
      <c r="BF39" s="171"/>
      <c r="BG39" s="171"/>
      <c r="BH39" s="171"/>
      <c r="BI39" s="171"/>
      <c r="BJ39" s="171"/>
      <c r="BK39" s="171"/>
      <c r="BL39" s="171"/>
      <c r="BM39" s="171"/>
      <c r="BN39" s="171"/>
      <c r="BO39" s="171"/>
      <c r="BP39" s="171"/>
      <c r="BQ39" s="171"/>
      <c r="BR39" s="171"/>
      <c r="BS39" s="171"/>
      <c r="BT39" s="171"/>
      <c r="BU39" s="171"/>
      <c r="BV39" s="171"/>
      <c r="BW39" s="171"/>
      <c r="BX39" s="171"/>
      <c r="BY39" s="171"/>
      <c r="BZ39" s="171"/>
      <c r="CA39" s="171"/>
      <c r="CB39" s="171"/>
      <c r="CC39" s="171"/>
      <c r="CD39" s="171"/>
      <c r="CE39" s="171"/>
      <c r="CF39" s="171"/>
      <c r="CG39" s="171"/>
      <c r="CH39" s="171"/>
      <c r="CI39" s="171"/>
      <c r="CJ39" s="171"/>
      <c r="CK39" s="171"/>
      <c r="CL39" s="171"/>
      <c r="CM39" s="171"/>
      <c r="CN39" s="171"/>
      <c r="CO39" s="171"/>
      <c r="CP39" s="171"/>
      <c r="CQ39" s="171"/>
      <c r="CR39" s="171"/>
      <c r="CS39" s="171"/>
      <c r="CT39" s="171"/>
      <c r="CU39" s="171"/>
      <c r="CV39" s="171"/>
      <c r="CW39" s="171"/>
      <c r="CX39" s="171"/>
      <c r="CY39" s="171"/>
      <c r="CZ39" s="171"/>
      <c r="DA39" s="171"/>
      <c r="DB39" s="171"/>
      <c r="DC39" s="171"/>
      <c r="DD39" s="171"/>
      <c r="DE39" s="171"/>
      <c r="DF39" s="171"/>
      <c r="DG39" s="171"/>
      <c r="DH39" s="171"/>
      <c r="DI39" s="171"/>
      <c r="DJ39" s="171"/>
      <c r="DK39" s="171"/>
      <c r="DL39" s="171"/>
      <c r="DM39" s="171"/>
      <c r="DN39" s="171"/>
      <c r="DO39" s="171"/>
      <c r="DP39" s="171"/>
      <c r="DQ39" s="171"/>
      <c r="DR39" s="171"/>
      <c r="DS39" s="171"/>
      <c r="DT39" s="171"/>
      <c r="DU39" s="171"/>
      <c r="DV39" s="171"/>
      <c r="DW39" s="171"/>
      <c r="DX39" s="171"/>
      <c r="DY39" s="171"/>
      <c r="DZ39" s="171"/>
      <c r="EA39" s="171"/>
      <c r="EB39" s="171"/>
      <c r="EC39" s="171"/>
      <c r="ED39" s="171"/>
      <c r="EE39" s="171"/>
      <c r="EF39" s="171"/>
      <c r="EG39" s="171"/>
      <c r="EH39" s="171"/>
      <c r="EI39" s="171"/>
      <c r="EJ39" s="171"/>
      <c r="EK39" s="171"/>
      <c r="EL39" s="171"/>
      <c r="EM39" s="171"/>
      <c r="EN39" s="171"/>
      <c r="EO39" s="171"/>
      <c r="EP39" s="171"/>
      <c r="EQ39" s="171"/>
      <c r="ER39" s="171"/>
      <c r="ES39" s="171"/>
      <c r="ET39" s="171"/>
    </row>
    <row r="40" spans="1:150" s="385" customFormat="1" ht="16.5" customHeight="1">
      <c r="A40" s="377">
        <v>31</v>
      </c>
      <c r="B40" s="378" t="s">
        <v>1513</v>
      </c>
      <c r="C40" s="379">
        <v>1</v>
      </c>
      <c r="D40" s="380" t="s">
        <v>718</v>
      </c>
      <c r="E40" s="381">
        <v>44668</v>
      </c>
      <c r="F40" s="378" t="s">
        <v>1927</v>
      </c>
      <c r="G40" s="377">
        <v>8002220</v>
      </c>
      <c r="H40" s="379" t="s">
        <v>2140</v>
      </c>
      <c r="I40" s="382">
        <v>1</v>
      </c>
      <c r="J40" s="382">
        <v>5</v>
      </c>
      <c r="K40" s="382">
        <v>7</v>
      </c>
      <c r="L40" s="382">
        <v>1</v>
      </c>
      <c r="M40" s="382">
        <v>1</v>
      </c>
      <c r="N40" s="382">
        <v>2</v>
      </c>
      <c r="O40" s="382">
        <v>3</v>
      </c>
      <c r="P40" s="168">
        <v>3</v>
      </c>
      <c r="Q40" s="382">
        <v>1</v>
      </c>
      <c r="R40" s="167">
        <v>0</v>
      </c>
      <c r="S40" s="161">
        <v>0</v>
      </c>
      <c r="T40" s="161">
        <v>0</v>
      </c>
      <c r="U40" s="383"/>
      <c r="V40" s="167">
        <v>1</v>
      </c>
      <c r="W40" s="377">
        <v>2</v>
      </c>
      <c r="X40" s="167">
        <v>1</v>
      </c>
      <c r="Y40" s="379">
        <v>4</v>
      </c>
      <c r="Z40" s="167">
        <v>8</v>
      </c>
      <c r="AA40" s="167">
        <v>7</v>
      </c>
      <c r="AB40" s="379"/>
      <c r="AC40" s="379"/>
      <c r="AD40" s="384"/>
      <c r="AE40" s="171"/>
      <c r="AF40" s="171" t="s">
        <v>1850</v>
      </c>
      <c r="AG40" s="171" t="s">
        <v>1744</v>
      </c>
      <c r="AH40" s="171" t="s">
        <v>74</v>
      </c>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c r="BO40" s="171"/>
      <c r="BP40" s="171"/>
      <c r="BQ40" s="171"/>
      <c r="BR40" s="171"/>
      <c r="BS40" s="171"/>
      <c r="BT40" s="171"/>
      <c r="BU40" s="171"/>
      <c r="BV40" s="171"/>
      <c r="BW40" s="171"/>
      <c r="BX40" s="171"/>
      <c r="BY40" s="171"/>
      <c r="BZ40" s="171"/>
      <c r="CA40" s="171"/>
      <c r="CB40" s="171"/>
      <c r="CC40" s="171"/>
      <c r="CD40" s="171"/>
      <c r="CE40" s="171"/>
      <c r="CF40" s="171"/>
      <c r="CG40" s="171"/>
      <c r="CH40" s="171"/>
      <c r="CI40" s="171"/>
      <c r="CJ40" s="171"/>
      <c r="CK40" s="171"/>
      <c r="CL40" s="171"/>
      <c r="CM40" s="171"/>
      <c r="CN40" s="171"/>
      <c r="CO40" s="171"/>
      <c r="CP40" s="171"/>
      <c r="CQ40" s="171"/>
      <c r="CR40" s="171"/>
      <c r="CS40" s="171"/>
      <c r="CT40" s="171"/>
      <c r="CU40" s="171"/>
      <c r="CV40" s="171"/>
      <c r="CW40" s="171"/>
      <c r="CX40" s="171"/>
      <c r="CY40" s="171"/>
      <c r="CZ40" s="171"/>
      <c r="DA40" s="171"/>
      <c r="DB40" s="171"/>
      <c r="DC40" s="171"/>
      <c r="DD40" s="171"/>
      <c r="DE40" s="171"/>
      <c r="DF40" s="171"/>
      <c r="DG40" s="171"/>
      <c r="DH40" s="171"/>
      <c r="DI40" s="171"/>
      <c r="DJ40" s="171"/>
      <c r="DK40" s="171"/>
      <c r="DL40" s="171"/>
      <c r="DM40" s="171"/>
      <c r="DN40" s="171"/>
      <c r="DO40" s="171"/>
      <c r="DP40" s="171"/>
      <c r="DQ40" s="171"/>
      <c r="DR40" s="171"/>
      <c r="DS40" s="171"/>
      <c r="DT40" s="171"/>
      <c r="DU40" s="171"/>
      <c r="DV40" s="171"/>
      <c r="DW40" s="171"/>
      <c r="DX40" s="171"/>
      <c r="DY40" s="171"/>
      <c r="DZ40" s="171"/>
      <c r="EA40" s="171"/>
      <c r="EB40" s="171"/>
      <c r="EC40" s="171"/>
      <c r="ED40" s="171"/>
      <c r="EE40" s="171"/>
      <c r="EF40" s="171"/>
      <c r="EG40" s="171"/>
      <c r="EH40" s="171"/>
      <c r="EI40" s="171"/>
      <c r="EJ40" s="171"/>
      <c r="EK40" s="171"/>
      <c r="EL40" s="171"/>
      <c r="EM40" s="171"/>
      <c r="EN40" s="171"/>
      <c r="EO40" s="171"/>
      <c r="EP40" s="171"/>
      <c r="EQ40" s="171"/>
      <c r="ER40" s="171"/>
      <c r="ES40" s="171"/>
      <c r="ET40" s="171"/>
    </row>
    <row r="41" spans="1:150" s="385" customFormat="1" ht="16.5" customHeight="1">
      <c r="A41" s="377">
        <v>32</v>
      </c>
      <c r="B41" s="378" t="s">
        <v>1513</v>
      </c>
      <c r="C41" s="379">
        <v>1</v>
      </c>
      <c r="D41" s="380" t="s">
        <v>731</v>
      </c>
      <c r="E41" s="381">
        <v>44672</v>
      </c>
      <c r="F41" s="378" t="s">
        <v>1932</v>
      </c>
      <c r="G41" s="377">
        <v>8002462</v>
      </c>
      <c r="H41" s="379" t="s">
        <v>2140</v>
      </c>
      <c r="I41" s="382">
        <v>1</v>
      </c>
      <c r="J41" s="382">
        <v>5</v>
      </c>
      <c r="K41" s="382">
        <v>4</v>
      </c>
      <c r="L41" s="382">
        <v>1</v>
      </c>
      <c r="M41" s="382">
        <v>1</v>
      </c>
      <c r="N41" s="382">
        <v>2</v>
      </c>
      <c r="O41" s="382">
        <v>4</v>
      </c>
      <c r="P41" s="168">
        <v>3</v>
      </c>
      <c r="Q41" s="382">
        <v>1</v>
      </c>
      <c r="R41" s="167">
        <v>0</v>
      </c>
      <c r="S41" s="161">
        <v>0</v>
      </c>
      <c r="T41" s="161">
        <v>0</v>
      </c>
      <c r="U41" s="383"/>
      <c r="V41" s="167">
        <v>1</v>
      </c>
      <c r="W41" s="377">
        <v>1</v>
      </c>
      <c r="X41" s="167">
        <v>3</v>
      </c>
      <c r="Y41" s="167">
        <v>2</v>
      </c>
      <c r="Z41" s="167">
        <v>8</v>
      </c>
      <c r="AA41" s="379">
        <v>3</v>
      </c>
      <c r="AB41" s="379">
        <v>6</v>
      </c>
      <c r="AC41" s="379"/>
      <c r="AD41" s="384"/>
      <c r="AE41" s="171"/>
      <c r="AF41" s="171" t="s">
        <v>1789</v>
      </c>
      <c r="AG41" s="171" t="s">
        <v>1779</v>
      </c>
      <c r="AH41" s="171" t="s">
        <v>75</v>
      </c>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c r="BS41" s="171"/>
      <c r="BT41" s="171"/>
      <c r="BU41" s="171"/>
      <c r="BV41" s="171"/>
      <c r="BW41" s="171"/>
      <c r="BX41" s="171"/>
      <c r="BY41" s="171"/>
      <c r="BZ41" s="171"/>
      <c r="CA41" s="171"/>
      <c r="CB41" s="171"/>
      <c r="CC41" s="171"/>
      <c r="CD41" s="171"/>
      <c r="CE41" s="171"/>
      <c r="CF41" s="171"/>
      <c r="CG41" s="171"/>
      <c r="CH41" s="171"/>
      <c r="CI41" s="171"/>
      <c r="CJ41" s="171"/>
      <c r="CK41" s="171"/>
      <c r="CL41" s="171"/>
      <c r="CM41" s="171"/>
      <c r="CN41" s="171"/>
      <c r="CO41" s="171"/>
      <c r="CP41" s="171"/>
      <c r="CQ41" s="171"/>
      <c r="CR41" s="171"/>
      <c r="CS41" s="171"/>
      <c r="CT41" s="171"/>
      <c r="CU41" s="171"/>
      <c r="CV41" s="171"/>
      <c r="CW41" s="171"/>
      <c r="CX41" s="171"/>
      <c r="CY41" s="171"/>
      <c r="CZ41" s="171"/>
      <c r="DA41" s="171"/>
      <c r="DB41" s="171"/>
      <c r="DC41" s="171"/>
      <c r="DD41" s="171"/>
      <c r="DE41" s="171"/>
      <c r="DF41" s="171"/>
      <c r="DG41" s="171"/>
      <c r="DH41" s="171"/>
      <c r="DI41" s="171"/>
      <c r="DJ41" s="171"/>
      <c r="DK41" s="171"/>
      <c r="DL41" s="171"/>
      <c r="DM41" s="171"/>
      <c r="DN41" s="171"/>
      <c r="DO41" s="171"/>
      <c r="DP41" s="171"/>
      <c r="DQ41" s="171"/>
      <c r="DR41" s="171"/>
      <c r="DS41" s="171"/>
      <c r="DT41" s="171"/>
      <c r="DU41" s="171"/>
      <c r="DV41" s="171"/>
      <c r="DW41" s="171"/>
      <c r="DX41" s="171"/>
      <c r="DY41" s="171"/>
      <c r="DZ41" s="171"/>
      <c r="EA41" s="171"/>
      <c r="EB41" s="171"/>
      <c r="EC41" s="171"/>
      <c r="ED41" s="171"/>
      <c r="EE41" s="171"/>
      <c r="EF41" s="171"/>
      <c r="EG41" s="171"/>
      <c r="EH41" s="171"/>
      <c r="EI41" s="171"/>
      <c r="EJ41" s="171"/>
      <c r="EK41" s="171"/>
      <c r="EL41" s="171"/>
      <c r="EM41" s="171"/>
      <c r="EN41" s="171"/>
      <c r="EO41" s="171"/>
      <c r="EP41" s="171"/>
      <c r="EQ41" s="171"/>
      <c r="ER41" s="171"/>
      <c r="ES41" s="171"/>
      <c r="ET41" s="171"/>
    </row>
    <row r="42" spans="1:150" s="385" customFormat="1" ht="16.5" customHeight="1">
      <c r="A42" s="377">
        <v>33</v>
      </c>
      <c r="B42" s="378" t="s">
        <v>1513</v>
      </c>
      <c r="C42" s="379">
        <v>1</v>
      </c>
      <c r="D42" s="380" t="s">
        <v>745</v>
      </c>
      <c r="E42" s="381">
        <v>44676</v>
      </c>
      <c r="F42" s="378" t="s">
        <v>1937</v>
      </c>
      <c r="G42" s="377">
        <v>8003034</v>
      </c>
      <c r="H42" s="379" t="s">
        <v>2140</v>
      </c>
      <c r="I42" s="382">
        <v>1</v>
      </c>
      <c r="J42" s="382">
        <v>12</v>
      </c>
      <c r="K42" s="382">
        <v>1</v>
      </c>
      <c r="L42" s="382">
        <v>1</v>
      </c>
      <c r="M42" s="382">
        <v>1</v>
      </c>
      <c r="N42" s="168">
        <v>3</v>
      </c>
      <c r="O42" s="382">
        <v>6</v>
      </c>
      <c r="P42" s="168">
        <v>3</v>
      </c>
      <c r="Q42" s="382">
        <v>1</v>
      </c>
      <c r="R42" s="167">
        <v>0</v>
      </c>
      <c r="S42" s="161">
        <v>0</v>
      </c>
      <c r="T42" s="161">
        <v>0</v>
      </c>
      <c r="U42" s="383"/>
      <c r="V42" s="167">
        <v>1</v>
      </c>
      <c r="W42" s="377">
        <v>1</v>
      </c>
      <c r="X42" s="167">
        <v>2</v>
      </c>
      <c r="Y42" s="379">
        <v>4</v>
      </c>
      <c r="Z42" s="167">
        <v>8</v>
      </c>
      <c r="AA42" s="167">
        <v>7</v>
      </c>
      <c r="AB42" s="379"/>
      <c r="AC42" s="379"/>
      <c r="AD42" s="384"/>
      <c r="AE42" s="171"/>
      <c r="AF42" s="171" t="s">
        <v>1850</v>
      </c>
      <c r="AG42" s="171" t="s">
        <v>1818</v>
      </c>
      <c r="AH42" s="171" t="s">
        <v>74</v>
      </c>
      <c r="AI42" s="171"/>
      <c r="AJ42" s="171"/>
      <c r="AK42" s="171"/>
      <c r="AL42" s="171"/>
      <c r="AM42" s="171"/>
      <c r="AN42" s="171"/>
      <c r="AO42" s="171"/>
      <c r="AP42" s="171"/>
      <c r="AQ42" s="171"/>
      <c r="AR42" s="171"/>
      <c r="AS42" s="171"/>
      <c r="AT42" s="171"/>
      <c r="AU42" s="171"/>
      <c r="AV42" s="171"/>
      <c r="AW42" s="171"/>
      <c r="AX42" s="171"/>
      <c r="AY42" s="171"/>
      <c r="AZ42" s="171"/>
      <c r="BA42" s="171"/>
      <c r="BB42" s="171"/>
      <c r="BC42" s="171"/>
      <c r="BD42" s="171"/>
      <c r="BE42" s="171"/>
      <c r="BF42" s="171"/>
      <c r="BG42" s="171"/>
      <c r="BH42" s="171"/>
      <c r="BI42" s="171"/>
      <c r="BJ42" s="171"/>
      <c r="BK42" s="171"/>
      <c r="BL42" s="171"/>
      <c r="BM42" s="171"/>
      <c r="BN42" s="171"/>
      <c r="BO42" s="171"/>
      <c r="BP42" s="171"/>
      <c r="BQ42" s="171"/>
      <c r="BR42" s="171"/>
      <c r="BS42" s="171"/>
      <c r="BT42" s="171"/>
      <c r="BU42" s="171"/>
      <c r="BV42" s="171"/>
      <c r="BW42" s="171"/>
      <c r="BX42" s="171"/>
      <c r="BY42" s="171"/>
      <c r="BZ42" s="171"/>
      <c r="CA42" s="171"/>
      <c r="CB42" s="171"/>
      <c r="CC42" s="171"/>
      <c r="CD42" s="171"/>
      <c r="CE42" s="171"/>
      <c r="CF42" s="171"/>
      <c r="CG42" s="171"/>
      <c r="CH42" s="171"/>
      <c r="CI42" s="171"/>
      <c r="CJ42" s="171"/>
      <c r="CK42" s="171"/>
      <c r="CL42" s="171"/>
      <c r="CM42" s="171"/>
      <c r="CN42" s="171"/>
      <c r="CO42" s="171"/>
      <c r="CP42" s="171"/>
      <c r="CQ42" s="171"/>
      <c r="CR42" s="171"/>
      <c r="CS42" s="171"/>
      <c r="CT42" s="171"/>
      <c r="CU42" s="171"/>
      <c r="CV42" s="171"/>
      <c r="CW42" s="171"/>
      <c r="CX42" s="171"/>
      <c r="CY42" s="171"/>
      <c r="CZ42" s="171"/>
      <c r="DA42" s="171"/>
      <c r="DB42" s="171"/>
      <c r="DC42" s="171"/>
      <c r="DD42" s="171"/>
      <c r="DE42" s="171"/>
      <c r="DF42" s="171"/>
      <c r="DG42" s="171"/>
      <c r="DH42" s="171"/>
      <c r="DI42" s="171"/>
      <c r="DJ42" s="171"/>
      <c r="DK42" s="171"/>
      <c r="DL42" s="171"/>
      <c r="DM42" s="171"/>
      <c r="DN42" s="171"/>
      <c r="DO42" s="171"/>
      <c r="DP42" s="171"/>
      <c r="DQ42" s="171"/>
      <c r="DR42" s="171"/>
      <c r="DS42" s="171"/>
      <c r="DT42" s="171"/>
      <c r="DU42" s="171"/>
      <c r="DV42" s="171"/>
      <c r="DW42" s="171"/>
      <c r="DX42" s="171"/>
      <c r="DY42" s="171"/>
      <c r="DZ42" s="171"/>
      <c r="EA42" s="171"/>
      <c r="EB42" s="171"/>
      <c r="EC42" s="171"/>
      <c r="ED42" s="171"/>
      <c r="EE42" s="171"/>
      <c r="EF42" s="171"/>
      <c r="EG42" s="171"/>
      <c r="EH42" s="171"/>
      <c r="EI42" s="171"/>
      <c r="EJ42" s="171"/>
      <c r="EK42" s="171"/>
      <c r="EL42" s="171"/>
      <c r="EM42" s="171"/>
      <c r="EN42" s="171"/>
      <c r="EO42" s="171"/>
      <c r="EP42" s="171"/>
      <c r="EQ42" s="171"/>
      <c r="ER42" s="171"/>
      <c r="ES42" s="171"/>
      <c r="ET42" s="171"/>
    </row>
    <row r="43" spans="1:150" s="385" customFormat="1" ht="16.5" customHeight="1">
      <c r="A43" s="377">
        <v>34</v>
      </c>
      <c r="B43" s="378" t="s">
        <v>1513</v>
      </c>
      <c r="C43" s="379">
        <v>1</v>
      </c>
      <c r="D43" s="380" t="s">
        <v>770</v>
      </c>
      <c r="E43" s="381">
        <v>44692</v>
      </c>
      <c r="F43" s="378" t="s">
        <v>773</v>
      </c>
      <c r="G43" s="377" t="s">
        <v>1943</v>
      </c>
      <c r="H43" s="379" t="s">
        <v>2140</v>
      </c>
      <c r="I43" s="382">
        <v>1</v>
      </c>
      <c r="J43" s="382">
        <v>10</v>
      </c>
      <c r="K43" s="382">
        <v>3</v>
      </c>
      <c r="L43" s="382">
        <v>1</v>
      </c>
      <c r="M43" s="382">
        <v>1</v>
      </c>
      <c r="N43" s="382">
        <v>2</v>
      </c>
      <c r="O43" s="382">
        <v>4</v>
      </c>
      <c r="P43" s="168">
        <v>3</v>
      </c>
      <c r="Q43" s="382">
        <v>1</v>
      </c>
      <c r="R43" s="167">
        <v>0</v>
      </c>
      <c r="S43" s="161">
        <v>0</v>
      </c>
      <c r="T43" s="161">
        <v>0</v>
      </c>
      <c r="U43" s="383"/>
      <c r="V43" s="379">
        <v>3</v>
      </c>
      <c r="W43" s="377">
        <v>1</v>
      </c>
      <c r="X43" s="167">
        <v>3</v>
      </c>
      <c r="Y43" s="167">
        <v>3</v>
      </c>
      <c r="Z43" s="167">
        <v>8</v>
      </c>
      <c r="AA43" s="167">
        <v>4</v>
      </c>
      <c r="AB43" s="379"/>
      <c r="AC43" s="379"/>
      <c r="AD43" s="384"/>
      <c r="AE43" s="171"/>
      <c r="AF43" s="171" t="s">
        <v>1810</v>
      </c>
      <c r="AG43" s="171" t="s">
        <v>1779</v>
      </c>
      <c r="AH43" s="171" t="s">
        <v>71</v>
      </c>
      <c r="AI43" s="171"/>
      <c r="AJ43" s="171"/>
      <c r="AK43" s="171"/>
      <c r="AL43" s="171"/>
      <c r="AM43" s="171"/>
      <c r="AN43" s="171"/>
      <c r="AO43" s="171"/>
      <c r="AP43" s="171"/>
      <c r="AQ43" s="171"/>
      <c r="AR43" s="171"/>
      <c r="AS43" s="171"/>
      <c r="AT43" s="171"/>
      <c r="AU43" s="171"/>
      <c r="AV43" s="171"/>
      <c r="AW43" s="171"/>
      <c r="AX43" s="171"/>
      <c r="AY43" s="171"/>
      <c r="AZ43" s="171"/>
      <c r="BA43" s="171"/>
      <c r="BB43" s="171"/>
      <c r="BC43" s="171"/>
      <c r="BD43" s="171"/>
      <c r="BE43" s="171"/>
      <c r="BF43" s="171"/>
      <c r="BG43" s="171"/>
      <c r="BH43" s="171"/>
      <c r="BI43" s="171"/>
      <c r="BJ43" s="171"/>
      <c r="BK43" s="171"/>
      <c r="BL43" s="171"/>
      <c r="BM43" s="171"/>
      <c r="BN43" s="171"/>
      <c r="BO43" s="171"/>
      <c r="BP43" s="171"/>
      <c r="BQ43" s="171"/>
      <c r="BR43" s="171"/>
      <c r="BS43" s="171"/>
      <c r="BT43" s="171"/>
      <c r="BU43" s="171"/>
      <c r="BV43" s="171"/>
      <c r="BW43" s="171"/>
      <c r="BX43" s="171"/>
      <c r="BY43" s="171"/>
      <c r="BZ43" s="171"/>
      <c r="CA43" s="171"/>
      <c r="CB43" s="171"/>
      <c r="CC43" s="171"/>
      <c r="CD43" s="171"/>
      <c r="CE43" s="171"/>
      <c r="CF43" s="171"/>
      <c r="CG43" s="171"/>
      <c r="CH43" s="171"/>
      <c r="CI43" s="171"/>
      <c r="CJ43" s="171"/>
      <c r="CK43" s="171"/>
      <c r="CL43" s="171"/>
      <c r="CM43" s="171"/>
      <c r="CN43" s="171"/>
      <c r="CO43" s="171"/>
      <c r="CP43" s="171"/>
      <c r="CQ43" s="171"/>
      <c r="CR43" s="171"/>
      <c r="CS43" s="171"/>
      <c r="CT43" s="171"/>
      <c r="CU43" s="171"/>
      <c r="CV43" s="171"/>
      <c r="CW43" s="171"/>
      <c r="CX43" s="171"/>
      <c r="CY43" s="171"/>
      <c r="CZ43" s="171"/>
      <c r="DA43" s="171"/>
      <c r="DB43" s="171"/>
      <c r="DC43" s="171"/>
      <c r="DD43" s="171"/>
      <c r="DE43" s="171"/>
      <c r="DF43" s="171"/>
      <c r="DG43" s="171"/>
      <c r="DH43" s="171"/>
      <c r="DI43" s="171"/>
      <c r="DJ43" s="171"/>
      <c r="DK43" s="171"/>
      <c r="DL43" s="171"/>
      <c r="DM43" s="171"/>
      <c r="DN43" s="171"/>
      <c r="DO43" s="171"/>
      <c r="DP43" s="171"/>
      <c r="DQ43" s="171"/>
      <c r="DR43" s="171"/>
      <c r="DS43" s="171"/>
      <c r="DT43" s="171"/>
      <c r="DU43" s="171"/>
      <c r="DV43" s="171"/>
      <c r="DW43" s="171"/>
      <c r="DX43" s="171"/>
      <c r="DY43" s="171"/>
      <c r="DZ43" s="171"/>
      <c r="EA43" s="171"/>
      <c r="EB43" s="171"/>
      <c r="EC43" s="171"/>
      <c r="ED43" s="171"/>
      <c r="EE43" s="171"/>
      <c r="EF43" s="171"/>
      <c r="EG43" s="171"/>
      <c r="EH43" s="171"/>
      <c r="EI43" s="171"/>
      <c r="EJ43" s="171"/>
      <c r="EK43" s="171"/>
      <c r="EL43" s="171"/>
      <c r="EM43" s="171"/>
      <c r="EN43" s="171"/>
      <c r="EO43" s="171"/>
      <c r="EP43" s="171"/>
      <c r="EQ43" s="171"/>
      <c r="ER43" s="171"/>
      <c r="ES43" s="171"/>
      <c r="ET43" s="171"/>
    </row>
    <row r="44" spans="1:150" s="385" customFormat="1" ht="16.5" customHeight="1">
      <c r="A44" s="377">
        <v>35</v>
      </c>
      <c r="B44" s="378" t="s">
        <v>1513</v>
      </c>
      <c r="C44" s="379">
        <v>1</v>
      </c>
      <c r="D44" s="380" t="s">
        <v>797</v>
      </c>
      <c r="E44" s="381">
        <v>44692</v>
      </c>
      <c r="F44" s="378" t="s">
        <v>798</v>
      </c>
      <c r="G44" s="377" t="s">
        <v>1945</v>
      </c>
      <c r="H44" s="379" t="s">
        <v>2140</v>
      </c>
      <c r="I44" s="382">
        <v>1</v>
      </c>
      <c r="J44" s="382">
        <v>16</v>
      </c>
      <c r="K44" s="382">
        <v>3</v>
      </c>
      <c r="L44" s="382">
        <v>1</v>
      </c>
      <c r="M44" s="382">
        <v>1</v>
      </c>
      <c r="N44" s="382">
        <v>2</v>
      </c>
      <c r="O44" s="382">
        <v>4</v>
      </c>
      <c r="P44" s="168">
        <v>3</v>
      </c>
      <c r="Q44" s="382">
        <v>1</v>
      </c>
      <c r="R44" s="167">
        <v>0</v>
      </c>
      <c r="S44" s="161">
        <v>0</v>
      </c>
      <c r="T44" s="161">
        <v>0</v>
      </c>
      <c r="U44" s="383"/>
      <c r="V44" s="379">
        <v>3</v>
      </c>
      <c r="W44" s="377">
        <v>1</v>
      </c>
      <c r="X44" s="167">
        <v>3</v>
      </c>
      <c r="Y44" s="167">
        <v>3</v>
      </c>
      <c r="Z44" s="167">
        <v>8</v>
      </c>
      <c r="AA44" s="167">
        <v>4</v>
      </c>
      <c r="AB44" s="379"/>
      <c r="AC44" s="379"/>
      <c r="AD44" s="384"/>
      <c r="AE44" s="171"/>
      <c r="AF44" s="171" t="s">
        <v>1810</v>
      </c>
      <c r="AG44" s="171" t="s">
        <v>1779</v>
      </c>
      <c r="AH44" s="171" t="s">
        <v>71</v>
      </c>
      <c r="AI44" s="171"/>
      <c r="AJ44" s="171"/>
      <c r="AK44" s="171"/>
      <c r="AL44" s="171"/>
      <c r="AM44" s="171"/>
      <c r="AN44" s="171"/>
      <c r="AO44" s="171"/>
      <c r="AP44" s="171"/>
      <c r="AQ44" s="171"/>
      <c r="AR44" s="171"/>
      <c r="AS44" s="171"/>
      <c r="AT44" s="171"/>
      <c r="AU44" s="171"/>
      <c r="AV44" s="171"/>
      <c r="AW44" s="171"/>
      <c r="AX44" s="171"/>
      <c r="AY44" s="171"/>
      <c r="AZ44" s="171"/>
      <c r="BA44" s="171"/>
      <c r="BB44" s="171"/>
      <c r="BC44" s="171"/>
      <c r="BD44" s="171"/>
      <c r="BE44" s="171"/>
      <c r="BF44" s="171"/>
      <c r="BG44" s="171"/>
      <c r="BH44" s="171"/>
      <c r="BI44" s="171"/>
      <c r="BJ44" s="171"/>
      <c r="BK44" s="171"/>
      <c r="BL44" s="171"/>
      <c r="BM44" s="171"/>
      <c r="BN44" s="171"/>
      <c r="BO44" s="171"/>
      <c r="BP44" s="171"/>
      <c r="BQ44" s="171"/>
      <c r="BR44" s="171"/>
      <c r="BS44" s="171"/>
      <c r="BT44" s="171"/>
      <c r="BU44" s="171"/>
      <c r="BV44" s="171"/>
      <c r="BW44" s="171"/>
      <c r="BX44" s="171"/>
      <c r="BY44" s="171"/>
      <c r="BZ44" s="171"/>
      <c r="CA44" s="171"/>
      <c r="CB44" s="171"/>
      <c r="CC44" s="171"/>
      <c r="CD44" s="171"/>
      <c r="CE44" s="171"/>
      <c r="CF44" s="171"/>
      <c r="CG44" s="171"/>
      <c r="CH44" s="171"/>
      <c r="CI44" s="171"/>
      <c r="CJ44" s="171"/>
      <c r="CK44" s="171"/>
      <c r="CL44" s="171"/>
      <c r="CM44" s="171"/>
      <c r="CN44" s="171"/>
      <c r="CO44" s="171"/>
      <c r="CP44" s="171"/>
      <c r="CQ44" s="171"/>
      <c r="CR44" s="171"/>
      <c r="CS44" s="171"/>
      <c r="CT44" s="171"/>
      <c r="CU44" s="171"/>
      <c r="CV44" s="171"/>
      <c r="CW44" s="171"/>
      <c r="CX44" s="171"/>
      <c r="CY44" s="171"/>
      <c r="CZ44" s="171"/>
      <c r="DA44" s="171"/>
      <c r="DB44" s="171"/>
      <c r="DC44" s="171"/>
      <c r="DD44" s="171"/>
      <c r="DE44" s="171"/>
      <c r="DF44" s="171"/>
      <c r="DG44" s="171"/>
      <c r="DH44" s="171"/>
      <c r="DI44" s="171"/>
      <c r="DJ44" s="171"/>
      <c r="DK44" s="171"/>
      <c r="DL44" s="171"/>
      <c r="DM44" s="171"/>
      <c r="DN44" s="171"/>
      <c r="DO44" s="171"/>
      <c r="DP44" s="171"/>
      <c r="DQ44" s="171"/>
      <c r="DR44" s="171"/>
      <c r="DS44" s="171"/>
      <c r="DT44" s="171"/>
      <c r="DU44" s="171"/>
      <c r="DV44" s="171"/>
      <c r="DW44" s="171"/>
      <c r="DX44" s="171"/>
      <c r="DY44" s="171"/>
      <c r="DZ44" s="171"/>
      <c r="EA44" s="171"/>
      <c r="EB44" s="171"/>
      <c r="EC44" s="171"/>
      <c r="ED44" s="171"/>
      <c r="EE44" s="171"/>
      <c r="EF44" s="171"/>
      <c r="EG44" s="171"/>
      <c r="EH44" s="171"/>
      <c r="EI44" s="171"/>
      <c r="EJ44" s="171"/>
      <c r="EK44" s="171"/>
      <c r="EL44" s="171"/>
      <c r="EM44" s="171"/>
      <c r="EN44" s="171"/>
      <c r="EO44" s="171"/>
      <c r="EP44" s="171"/>
      <c r="EQ44" s="171"/>
      <c r="ER44" s="171"/>
      <c r="ES44" s="171"/>
      <c r="ET44" s="171"/>
    </row>
    <row r="45" spans="1:150" s="385" customFormat="1" ht="16.5" customHeight="1">
      <c r="A45" s="377">
        <v>36</v>
      </c>
      <c r="B45" s="378" t="s">
        <v>1513</v>
      </c>
      <c r="C45" s="379">
        <v>1</v>
      </c>
      <c r="D45" s="380" t="s">
        <v>807</v>
      </c>
      <c r="E45" s="381">
        <v>44696</v>
      </c>
      <c r="F45" s="378" t="s">
        <v>809</v>
      </c>
      <c r="G45" s="377">
        <v>80002651</v>
      </c>
      <c r="H45" s="379" t="s">
        <v>2140</v>
      </c>
      <c r="I45" s="382">
        <v>2</v>
      </c>
      <c r="J45" s="382">
        <v>3</v>
      </c>
      <c r="K45" s="382">
        <v>7</v>
      </c>
      <c r="L45" s="382">
        <v>2</v>
      </c>
      <c r="M45" s="382">
        <v>1</v>
      </c>
      <c r="N45" s="382">
        <v>2</v>
      </c>
      <c r="O45" s="382">
        <v>4</v>
      </c>
      <c r="P45" s="382">
        <v>2</v>
      </c>
      <c r="Q45" s="382">
        <v>1</v>
      </c>
      <c r="R45" s="167">
        <v>0</v>
      </c>
      <c r="S45" s="161">
        <v>0</v>
      </c>
      <c r="T45" s="161">
        <v>0</v>
      </c>
      <c r="U45" s="383"/>
      <c r="V45" s="167">
        <v>1</v>
      </c>
      <c r="W45" s="377">
        <v>1</v>
      </c>
      <c r="X45" s="167">
        <v>2</v>
      </c>
      <c r="Y45" s="167">
        <v>2</v>
      </c>
      <c r="Z45" s="167">
        <v>8</v>
      </c>
      <c r="AA45" s="167">
        <v>7</v>
      </c>
      <c r="AB45" s="379"/>
      <c r="AC45" s="379"/>
      <c r="AD45" s="384"/>
      <c r="AE45" s="171"/>
      <c r="AF45" s="171" t="s">
        <v>1948</v>
      </c>
      <c r="AG45" s="171" t="s">
        <v>1818</v>
      </c>
      <c r="AH45" s="171" t="s">
        <v>74</v>
      </c>
      <c r="AI45" s="171"/>
      <c r="AJ45" s="171"/>
      <c r="AK45" s="171"/>
      <c r="AL45" s="171"/>
      <c r="AM45" s="171"/>
      <c r="AN45" s="171"/>
      <c r="AO45" s="171"/>
      <c r="AP45" s="171"/>
      <c r="AQ45" s="171"/>
      <c r="AR45" s="171"/>
      <c r="AS45" s="171"/>
      <c r="AT45" s="171"/>
      <c r="AU45" s="171"/>
      <c r="AV45" s="171"/>
      <c r="AW45" s="171"/>
      <c r="AX45" s="171"/>
      <c r="AY45" s="171"/>
      <c r="AZ45" s="171"/>
      <c r="BA45" s="171"/>
      <c r="BB45" s="171"/>
      <c r="BC45" s="171"/>
      <c r="BD45" s="171"/>
      <c r="BE45" s="171"/>
      <c r="BF45" s="171"/>
      <c r="BG45" s="171"/>
      <c r="BH45" s="171"/>
      <c r="BI45" s="171"/>
      <c r="BJ45" s="171"/>
      <c r="BK45" s="171"/>
      <c r="BL45" s="171"/>
      <c r="BM45" s="171"/>
      <c r="BN45" s="171"/>
      <c r="BO45" s="171"/>
      <c r="BP45" s="171"/>
      <c r="BQ45" s="171"/>
      <c r="BR45" s="171"/>
      <c r="BS45" s="171"/>
      <c r="BT45" s="171"/>
      <c r="BU45" s="171"/>
      <c r="BV45" s="171"/>
      <c r="BW45" s="171"/>
      <c r="BX45" s="171"/>
      <c r="BY45" s="171"/>
      <c r="BZ45" s="171"/>
      <c r="CA45" s="171"/>
      <c r="CB45" s="171"/>
      <c r="CC45" s="171"/>
      <c r="CD45" s="171"/>
      <c r="CE45" s="171"/>
      <c r="CF45" s="171"/>
      <c r="CG45" s="171"/>
      <c r="CH45" s="171"/>
      <c r="CI45" s="171"/>
      <c r="CJ45" s="171"/>
      <c r="CK45" s="171"/>
      <c r="CL45" s="171"/>
      <c r="CM45" s="171"/>
      <c r="CN45" s="171"/>
      <c r="CO45" s="171"/>
      <c r="CP45" s="171"/>
      <c r="CQ45" s="171"/>
      <c r="CR45" s="171"/>
      <c r="CS45" s="171"/>
      <c r="CT45" s="171"/>
      <c r="CU45" s="171"/>
      <c r="CV45" s="171"/>
      <c r="CW45" s="171"/>
      <c r="CX45" s="171"/>
      <c r="CY45" s="171"/>
      <c r="CZ45" s="171"/>
      <c r="DA45" s="171"/>
      <c r="DB45" s="171"/>
      <c r="DC45" s="171"/>
      <c r="DD45" s="171"/>
      <c r="DE45" s="171"/>
      <c r="DF45" s="171"/>
      <c r="DG45" s="171"/>
      <c r="DH45" s="171"/>
      <c r="DI45" s="171"/>
      <c r="DJ45" s="171"/>
      <c r="DK45" s="171"/>
      <c r="DL45" s="171"/>
      <c r="DM45" s="171"/>
      <c r="DN45" s="171"/>
      <c r="DO45" s="171"/>
      <c r="DP45" s="171"/>
      <c r="DQ45" s="171"/>
      <c r="DR45" s="171"/>
      <c r="DS45" s="171"/>
      <c r="DT45" s="171"/>
      <c r="DU45" s="171"/>
      <c r="DV45" s="171"/>
      <c r="DW45" s="171"/>
      <c r="DX45" s="171"/>
      <c r="DY45" s="171"/>
      <c r="DZ45" s="171"/>
      <c r="EA45" s="171"/>
      <c r="EB45" s="171"/>
      <c r="EC45" s="171"/>
      <c r="ED45" s="171"/>
      <c r="EE45" s="171"/>
      <c r="EF45" s="171"/>
      <c r="EG45" s="171"/>
      <c r="EH45" s="171"/>
      <c r="EI45" s="171"/>
      <c r="EJ45" s="171"/>
      <c r="EK45" s="171"/>
      <c r="EL45" s="171"/>
      <c r="EM45" s="171"/>
      <c r="EN45" s="171"/>
      <c r="EO45" s="171"/>
      <c r="EP45" s="171"/>
      <c r="EQ45" s="171"/>
      <c r="ER45" s="171"/>
      <c r="ES45" s="171"/>
      <c r="ET45" s="171"/>
    </row>
    <row r="46" spans="1:150" s="385" customFormat="1" ht="16.5" customHeight="1">
      <c r="A46" s="377">
        <v>37</v>
      </c>
      <c r="B46" s="378" t="s">
        <v>1513</v>
      </c>
      <c r="C46" s="379">
        <v>1</v>
      </c>
      <c r="D46" s="380" t="s">
        <v>826</v>
      </c>
      <c r="E46" s="381">
        <v>44702</v>
      </c>
      <c r="F46" s="378" t="s">
        <v>829</v>
      </c>
      <c r="G46" s="377">
        <v>80002716</v>
      </c>
      <c r="H46" s="379" t="s">
        <v>2140</v>
      </c>
      <c r="I46" s="382">
        <v>2</v>
      </c>
      <c r="J46" s="382">
        <v>10</v>
      </c>
      <c r="K46" s="382">
        <v>6</v>
      </c>
      <c r="L46" s="382">
        <v>1</v>
      </c>
      <c r="M46" s="382">
        <v>1</v>
      </c>
      <c r="N46" s="382">
        <v>2</v>
      </c>
      <c r="O46" s="382">
        <v>3</v>
      </c>
      <c r="P46" s="382">
        <v>5</v>
      </c>
      <c r="Q46" s="382">
        <v>1</v>
      </c>
      <c r="R46" s="167">
        <v>0</v>
      </c>
      <c r="S46" s="161">
        <v>0</v>
      </c>
      <c r="T46" s="161">
        <v>0</v>
      </c>
      <c r="U46" s="383"/>
      <c r="V46" s="167">
        <v>1</v>
      </c>
      <c r="W46" s="377">
        <v>1</v>
      </c>
      <c r="X46" s="167">
        <v>1</v>
      </c>
      <c r="Y46" s="379">
        <v>4</v>
      </c>
      <c r="Z46" s="167">
        <v>8</v>
      </c>
      <c r="AA46" s="167">
        <v>7</v>
      </c>
      <c r="AB46" s="379"/>
      <c r="AC46" s="379"/>
      <c r="AD46" s="384"/>
      <c r="AE46" s="171"/>
      <c r="AF46" s="171" t="s">
        <v>1850</v>
      </c>
      <c r="AG46" s="171" t="s">
        <v>1744</v>
      </c>
      <c r="AH46" s="171" t="s">
        <v>74</v>
      </c>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1"/>
      <c r="BF46" s="171"/>
      <c r="BG46" s="171"/>
      <c r="BH46" s="171"/>
      <c r="BI46" s="171"/>
      <c r="BJ46" s="171"/>
      <c r="BK46" s="171"/>
      <c r="BL46" s="171"/>
      <c r="BM46" s="171"/>
      <c r="BN46" s="171"/>
      <c r="BO46" s="171"/>
      <c r="BP46" s="171"/>
      <c r="BQ46" s="171"/>
      <c r="BR46" s="171"/>
      <c r="BS46" s="171"/>
      <c r="BT46" s="171"/>
      <c r="BU46" s="171"/>
      <c r="BV46" s="171"/>
      <c r="BW46" s="171"/>
      <c r="BX46" s="171"/>
      <c r="BY46" s="171"/>
      <c r="BZ46" s="171"/>
      <c r="CA46" s="171"/>
      <c r="CB46" s="171"/>
      <c r="CC46" s="171"/>
      <c r="CD46" s="171"/>
      <c r="CE46" s="171"/>
      <c r="CF46" s="171"/>
      <c r="CG46" s="171"/>
      <c r="CH46" s="171"/>
      <c r="CI46" s="171"/>
      <c r="CJ46" s="171"/>
      <c r="CK46" s="171"/>
      <c r="CL46" s="171"/>
      <c r="CM46" s="171"/>
      <c r="CN46" s="171"/>
      <c r="CO46" s="171"/>
      <c r="CP46" s="171"/>
      <c r="CQ46" s="171"/>
      <c r="CR46" s="171"/>
      <c r="CS46" s="171"/>
      <c r="CT46" s="171"/>
      <c r="CU46" s="171"/>
      <c r="CV46" s="171"/>
      <c r="CW46" s="171"/>
      <c r="CX46" s="171"/>
      <c r="CY46" s="171"/>
      <c r="CZ46" s="171"/>
      <c r="DA46" s="171"/>
      <c r="DB46" s="171"/>
      <c r="DC46" s="171"/>
      <c r="DD46" s="171"/>
      <c r="DE46" s="171"/>
      <c r="DF46" s="171"/>
      <c r="DG46" s="171"/>
      <c r="DH46" s="171"/>
      <c r="DI46" s="171"/>
      <c r="DJ46" s="171"/>
      <c r="DK46" s="171"/>
      <c r="DL46" s="171"/>
      <c r="DM46" s="171"/>
      <c r="DN46" s="171"/>
      <c r="DO46" s="171"/>
      <c r="DP46" s="171"/>
      <c r="DQ46" s="171"/>
      <c r="DR46" s="171"/>
      <c r="DS46" s="171"/>
      <c r="DT46" s="171"/>
      <c r="DU46" s="171"/>
      <c r="DV46" s="171"/>
      <c r="DW46" s="171"/>
      <c r="DX46" s="171"/>
      <c r="DY46" s="171"/>
      <c r="DZ46" s="171"/>
      <c r="EA46" s="171"/>
      <c r="EB46" s="171"/>
      <c r="EC46" s="171"/>
      <c r="ED46" s="171"/>
      <c r="EE46" s="171"/>
      <c r="EF46" s="171"/>
      <c r="EG46" s="171"/>
      <c r="EH46" s="171"/>
      <c r="EI46" s="171"/>
      <c r="EJ46" s="171"/>
      <c r="EK46" s="171"/>
      <c r="EL46" s="171"/>
      <c r="EM46" s="171"/>
      <c r="EN46" s="171"/>
      <c r="EO46" s="171"/>
      <c r="EP46" s="171"/>
      <c r="EQ46" s="171"/>
      <c r="ER46" s="171"/>
      <c r="ES46" s="171"/>
      <c r="ET46" s="171"/>
    </row>
    <row r="47" spans="1:150" s="385" customFormat="1" ht="16.5" customHeight="1">
      <c r="A47" s="377">
        <v>38</v>
      </c>
      <c r="B47" s="378" t="s">
        <v>1513</v>
      </c>
      <c r="C47" s="379">
        <v>1</v>
      </c>
      <c r="D47" s="380" t="s">
        <v>852</v>
      </c>
      <c r="E47" s="381">
        <v>44702</v>
      </c>
      <c r="F47" s="378" t="s">
        <v>855</v>
      </c>
      <c r="G47" s="377" t="s">
        <v>1959</v>
      </c>
      <c r="H47" s="379" t="s">
        <v>2140</v>
      </c>
      <c r="I47" s="382">
        <v>1</v>
      </c>
      <c r="J47" s="382">
        <v>19</v>
      </c>
      <c r="K47" s="382">
        <v>6</v>
      </c>
      <c r="L47" s="382">
        <v>2</v>
      </c>
      <c r="M47" s="382">
        <v>1</v>
      </c>
      <c r="N47" s="382">
        <v>2</v>
      </c>
      <c r="O47" s="382">
        <v>3</v>
      </c>
      <c r="P47" s="168">
        <v>3</v>
      </c>
      <c r="Q47" s="382">
        <v>1</v>
      </c>
      <c r="R47" s="167">
        <v>0</v>
      </c>
      <c r="S47" s="161">
        <v>0</v>
      </c>
      <c r="T47" s="161">
        <v>0</v>
      </c>
      <c r="U47" s="383"/>
      <c r="V47" s="167">
        <v>1</v>
      </c>
      <c r="W47" s="377">
        <v>2</v>
      </c>
      <c r="X47" s="167">
        <v>3</v>
      </c>
      <c r="Y47" s="167">
        <v>3</v>
      </c>
      <c r="Z47" s="167">
        <v>8</v>
      </c>
      <c r="AA47" s="167">
        <v>4</v>
      </c>
      <c r="AB47" s="379"/>
      <c r="AC47" s="379"/>
      <c r="AD47" s="384"/>
      <c r="AE47" s="171"/>
      <c r="AF47" s="171" t="s">
        <v>1745</v>
      </c>
      <c r="AG47" s="171" t="s">
        <v>1728</v>
      </c>
      <c r="AH47" s="171" t="s">
        <v>71</v>
      </c>
      <c r="AI47" s="171"/>
      <c r="AJ47" s="171"/>
      <c r="AK47" s="171"/>
      <c r="AL47" s="171"/>
      <c r="AM47" s="171"/>
      <c r="AN47" s="171"/>
      <c r="AO47" s="171"/>
      <c r="AP47" s="171"/>
      <c r="AQ47" s="171"/>
      <c r="AR47" s="171"/>
      <c r="AS47" s="171"/>
      <c r="AT47" s="171"/>
      <c r="AU47" s="171"/>
      <c r="AV47" s="171"/>
      <c r="AW47" s="171"/>
      <c r="AX47" s="171"/>
      <c r="AY47" s="171"/>
      <c r="AZ47" s="171"/>
      <c r="BA47" s="171"/>
      <c r="BB47" s="171"/>
      <c r="BC47" s="171"/>
      <c r="BD47" s="171"/>
      <c r="BE47" s="171"/>
      <c r="BF47" s="171"/>
      <c r="BG47" s="171"/>
      <c r="BH47" s="171"/>
      <c r="BI47" s="171"/>
      <c r="BJ47" s="171"/>
      <c r="BK47" s="171"/>
      <c r="BL47" s="171"/>
      <c r="BM47" s="171"/>
      <c r="BN47" s="171"/>
      <c r="BO47" s="171"/>
      <c r="BP47" s="171"/>
      <c r="BQ47" s="171"/>
      <c r="BR47" s="171"/>
      <c r="BS47" s="171"/>
      <c r="BT47" s="171"/>
      <c r="BU47" s="171"/>
      <c r="BV47" s="171"/>
      <c r="BW47" s="171"/>
      <c r="BX47" s="171"/>
      <c r="BY47" s="171"/>
      <c r="BZ47" s="171"/>
      <c r="CA47" s="171"/>
      <c r="CB47" s="171"/>
      <c r="CC47" s="171"/>
      <c r="CD47" s="171"/>
      <c r="CE47" s="171"/>
      <c r="CF47" s="171"/>
      <c r="CG47" s="171"/>
      <c r="CH47" s="171"/>
      <c r="CI47" s="171"/>
      <c r="CJ47" s="171"/>
      <c r="CK47" s="171"/>
      <c r="CL47" s="171"/>
      <c r="CM47" s="171"/>
      <c r="CN47" s="171"/>
      <c r="CO47" s="171"/>
      <c r="CP47" s="171"/>
      <c r="CQ47" s="171"/>
      <c r="CR47" s="171"/>
      <c r="CS47" s="171"/>
      <c r="CT47" s="171"/>
      <c r="CU47" s="171"/>
      <c r="CV47" s="171"/>
      <c r="CW47" s="171"/>
      <c r="CX47" s="171"/>
      <c r="CY47" s="171"/>
      <c r="CZ47" s="171"/>
      <c r="DA47" s="171"/>
      <c r="DB47" s="171"/>
      <c r="DC47" s="171"/>
      <c r="DD47" s="171"/>
      <c r="DE47" s="171"/>
      <c r="DF47" s="171"/>
      <c r="DG47" s="171"/>
      <c r="DH47" s="171"/>
      <c r="DI47" s="171"/>
      <c r="DJ47" s="171"/>
      <c r="DK47" s="171"/>
      <c r="DL47" s="171"/>
      <c r="DM47" s="171"/>
      <c r="DN47" s="171"/>
      <c r="DO47" s="171"/>
      <c r="DP47" s="171"/>
      <c r="DQ47" s="171"/>
      <c r="DR47" s="171"/>
      <c r="DS47" s="171"/>
      <c r="DT47" s="171"/>
      <c r="DU47" s="171"/>
      <c r="DV47" s="171"/>
      <c r="DW47" s="171"/>
      <c r="DX47" s="171"/>
      <c r="DY47" s="171"/>
      <c r="DZ47" s="171"/>
      <c r="EA47" s="171"/>
      <c r="EB47" s="171"/>
      <c r="EC47" s="171"/>
      <c r="ED47" s="171"/>
      <c r="EE47" s="171"/>
      <c r="EF47" s="171"/>
      <c r="EG47" s="171"/>
      <c r="EH47" s="171"/>
      <c r="EI47" s="171"/>
      <c r="EJ47" s="171"/>
      <c r="EK47" s="171"/>
      <c r="EL47" s="171"/>
      <c r="EM47" s="171"/>
      <c r="EN47" s="171"/>
      <c r="EO47" s="171"/>
      <c r="EP47" s="171"/>
      <c r="EQ47" s="171"/>
      <c r="ER47" s="171"/>
      <c r="ES47" s="171"/>
      <c r="ET47" s="171"/>
    </row>
    <row r="48" spans="1:150" s="385" customFormat="1" ht="16.5" customHeight="1">
      <c r="A48" s="377">
        <v>39</v>
      </c>
      <c r="B48" s="378" t="s">
        <v>1513</v>
      </c>
      <c r="C48" s="379">
        <v>1</v>
      </c>
      <c r="D48" s="380" t="s">
        <v>865</v>
      </c>
      <c r="E48" s="381">
        <v>44704</v>
      </c>
      <c r="F48" s="378" t="s">
        <v>868</v>
      </c>
      <c r="G48" s="377" t="s">
        <v>1960</v>
      </c>
      <c r="H48" s="379" t="s">
        <v>2140</v>
      </c>
      <c r="I48" s="382">
        <v>2</v>
      </c>
      <c r="J48" s="382">
        <v>10</v>
      </c>
      <c r="K48" s="382">
        <v>1</v>
      </c>
      <c r="L48" s="382">
        <v>1</v>
      </c>
      <c r="M48" s="382">
        <v>1</v>
      </c>
      <c r="N48" s="382">
        <v>1</v>
      </c>
      <c r="O48" s="382">
        <v>4</v>
      </c>
      <c r="P48" s="382">
        <v>2</v>
      </c>
      <c r="Q48" s="382">
        <v>1</v>
      </c>
      <c r="R48" s="167">
        <v>0</v>
      </c>
      <c r="S48" s="161">
        <v>0</v>
      </c>
      <c r="T48" s="161">
        <v>0</v>
      </c>
      <c r="U48" s="383"/>
      <c r="V48" s="379">
        <v>5</v>
      </c>
      <c r="W48" s="377">
        <v>1</v>
      </c>
      <c r="X48" s="167">
        <v>2</v>
      </c>
      <c r="Y48" s="167">
        <v>2</v>
      </c>
      <c r="Z48" s="167">
        <v>8</v>
      </c>
      <c r="AA48" s="167">
        <v>7</v>
      </c>
      <c r="AB48" s="379"/>
      <c r="AC48" s="379"/>
      <c r="AD48" s="384"/>
      <c r="AE48" s="171"/>
      <c r="AF48" s="171" t="s">
        <v>1948</v>
      </c>
      <c r="AG48" s="171" t="s">
        <v>1818</v>
      </c>
      <c r="AH48" s="171" t="s">
        <v>74</v>
      </c>
      <c r="AI48" s="171"/>
      <c r="AJ48" s="171"/>
      <c r="AK48" s="171"/>
      <c r="AL48" s="171"/>
      <c r="AM48" s="171"/>
      <c r="AN48" s="171"/>
      <c r="AO48" s="171"/>
      <c r="AP48" s="171"/>
      <c r="AQ48" s="171"/>
      <c r="AR48" s="171"/>
      <c r="AS48" s="171"/>
      <c r="AT48" s="171"/>
      <c r="AU48" s="171"/>
      <c r="AV48" s="171"/>
      <c r="AW48" s="171"/>
      <c r="AX48" s="171"/>
      <c r="AY48" s="171"/>
      <c r="AZ48" s="171"/>
      <c r="BA48" s="171"/>
      <c r="BB48" s="171"/>
      <c r="BC48" s="171"/>
      <c r="BD48" s="171"/>
      <c r="BE48" s="171"/>
      <c r="BF48" s="171"/>
      <c r="BG48" s="171"/>
      <c r="BH48" s="171"/>
      <c r="BI48" s="171"/>
      <c r="BJ48" s="171"/>
      <c r="BK48" s="171"/>
      <c r="BL48" s="171"/>
      <c r="BM48" s="171"/>
      <c r="BN48" s="171"/>
      <c r="BO48" s="171"/>
      <c r="BP48" s="171"/>
      <c r="BQ48" s="171"/>
      <c r="BR48" s="171"/>
      <c r="BS48" s="171"/>
      <c r="BT48" s="171"/>
      <c r="BU48" s="171"/>
      <c r="BV48" s="171"/>
      <c r="BW48" s="171"/>
      <c r="BX48" s="171"/>
      <c r="BY48" s="171"/>
      <c r="BZ48" s="171"/>
      <c r="CA48" s="171"/>
      <c r="CB48" s="171"/>
      <c r="CC48" s="171"/>
      <c r="CD48" s="171"/>
      <c r="CE48" s="171"/>
      <c r="CF48" s="171"/>
      <c r="CG48" s="171"/>
      <c r="CH48" s="171"/>
      <c r="CI48" s="171"/>
      <c r="CJ48" s="171"/>
      <c r="CK48" s="171"/>
      <c r="CL48" s="171"/>
      <c r="CM48" s="171"/>
      <c r="CN48" s="171"/>
      <c r="CO48" s="171"/>
      <c r="CP48" s="171"/>
      <c r="CQ48" s="171"/>
      <c r="CR48" s="171"/>
      <c r="CS48" s="171"/>
      <c r="CT48" s="171"/>
      <c r="CU48" s="171"/>
      <c r="CV48" s="171"/>
      <c r="CW48" s="171"/>
      <c r="CX48" s="171"/>
      <c r="CY48" s="171"/>
      <c r="CZ48" s="171"/>
      <c r="DA48" s="171"/>
      <c r="DB48" s="171"/>
      <c r="DC48" s="171"/>
      <c r="DD48" s="171"/>
      <c r="DE48" s="171"/>
      <c r="DF48" s="171"/>
      <c r="DG48" s="171"/>
      <c r="DH48" s="171"/>
      <c r="DI48" s="171"/>
      <c r="DJ48" s="171"/>
      <c r="DK48" s="171"/>
      <c r="DL48" s="171"/>
      <c r="DM48" s="171"/>
      <c r="DN48" s="171"/>
      <c r="DO48" s="171"/>
      <c r="DP48" s="171"/>
      <c r="DQ48" s="171"/>
      <c r="DR48" s="171"/>
      <c r="DS48" s="171"/>
      <c r="DT48" s="171"/>
      <c r="DU48" s="171"/>
      <c r="DV48" s="171"/>
      <c r="DW48" s="171"/>
      <c r="DX48" s="171"/>
      <c r="DY48" s="171"/>
      <c r="DZ48" s="171"/>
      <c r="EA48" s="171"/>
      <c r="EB48" s="171"/>
      <c r="EC48" s="171"/>
      <c r="ED48" s="171"/>
      <c r="EE48" s="171"/>
      <c r="EF48" s="171"/>
      <c r="EG48" s="171"/>
      <c r="EH48" s="171"/>
      <c r="EI48" s="171"/>
      <c r="EJ48" s="171"/>
      <c r="EK48" s="171"/>
      <c r="EL48" s="171"/>
      <c r="EM48" s="171"/>
      <c r="EN48" s="171"/>
      <c r="EO48" s="171"/>
      <c r="EP48" s="171"/>
      <c r="EQ48" s="171"/>
      <c r="ER48" s="171"/>
      <c r="ES48" s="171"/>
      <c r="ET48" s="171"/>
    </row>
    <row r="49" spans="1:150" s="385" customFormat="1" ht="16.5" customHeight="1">
      <c r="A49" s="377">
        <v>40</v>
      </c>
      <c r="B49" s="378" t="s">
        <v>1513</v>
      </c>
      <c r="C49" s="379">
        <v>1</v>
      </c>
      <c r="D49" s="380" t="s">
        <v>888</v>
      </c>
      <c r="E49" s="381">
        <v>44706</v>
      </c>
      <c r="F49" s="378" t="s">
        <v>891</v>
      </c>
      <c r="G49" s="377">
        <v>80002023</v>
      </c>
      <c r="H49" s="379" t="s">
        <v>2140</v>
      </c>
      <c r="I49" s="382">
        <v>2</v>
      </c>
      <c r="J49" s="382">
        <v>9</v>
      </c>
      <c r="K49" s="382">
        <v>3</v>
      </c>
      <c r="L49" s="382">
        <v>1</v>
      </c>
      <c r="M49" s="382">
        <v>2</v>
      </c>
      <c r="N49" s="168">
        <v>3</v>
      </c>
      <c r="O49" s="382">
        <v>3</v>
      </c>
      <c r="P49" s="382">
        <v>2</v>
      </c>
      <c r="Q49" s="382">
        <v>3</v>
      </c>
      <c r="R49" s="167">
        <v>0</v>
      </c>
      <c r="S49" s="161">
        <v>0</v>
      </c>
      <c r="T49" s="161">
        <v>0</v>
      </c>
      <c r="U49" s="383"/>
      <c r="V49" s="379">
        <v>3</v>
      </c>
      <c r="W49" s="377">
        <v>2</v>
      </c>
      <c r="X49" s="167">
        <v>3</v>
      </c>
      <c r="Y49" s="167">
        <v>3</v>
      </c>
      <c r="Z49" s="167">
        <v>8</v>
      </c>
      <c r="AA49" s="167">
        <v>7</v>
      </c>
      <c r="AB49" s="379"/>
      <c r="AC49" s="379"/>
      <c r="AD49" s="384"/>
      <c r="AE49" s="171"/>
      <c r="AF49" s="171" t="s">
        <v>1745</v>
      </c>
      <c r="AG49" s="171" t="s">
        <v>1728</v>
      </c>
      <c r="AH49" s="171" t="s">
        <v>74</v>
      </c>
      <c r="AI49" s="171"/>
      <c r="AJ49" s="171"/>
      <c r="AK49" s="171"/>
      <c r="AL49" s="171"/>
      <c r="AM49" s="171"/>
      <c r="AN49" s="171"/>
      <c r="AO49" s="171"/>
      <c r="AP49" s="171"/>
      <c r="AQ49" s="171"/>
      <c r="AR49" s="171"/>
      <c r="AS49" s="171"/>
      <c r="AT49" s="171"/>
      <c r="AU49" s="171"/>
      <c r="AV49" s="171"/>
      <c r="AW49" s="171"/>
      <c r="AX49" s="171"/>
      <c r="AY49" s="171"/>
      <c r="AZ49" s="171"/>
      <c r="BA49" s="171"/>
      <c r="BB49" s="171"/>
      <c r="BC49" s="171"/>
      <c r="BD49" s="171"/>
      <c r="BE49" s="171"/>
      <c r="BF49" s="171"/>
      <c r="BG49" s="171"/>
      <c r="BH49" s="171"/>
      <c r="BI49" s="171"/>
      <c r="BJ49" s="171"/>
      <c r="BK49" s="171"/>
      <c r="BL49" s="171"/>
      <c r="BM49" s="171"/>
      <c r="BN49" s="171"/>
      <c r="BO49" s="171"/>
      <c r="BP49" s="171"/>
      <c r="BQ49" s="171"/>
      <c r="BR49" s="171"/>
      <c r="BS49" s="171"/>
      <c r="BT49" s="171"/>
      <c r="BU49" s="171"/>
      <c r="BV49" s="171"/>
      <c r="BW49" s="171"/>
      <c r="BX49" s="171"/>
      <c r="BY49" s="171"/>
      <c r="BZ49" s="171"/>
      <c r="CA49" s="171"/>
      <c r="CB49" s="171"/>
      <c r="CC49" s="171"/>
      <c r="CD49" s="171"/>
      <c r="CE49" s="171"/>
      <c r="CF49" s="171"/>
      <c r="CG49" s="171"/>
      <c r="CH49" s="171"/>
      <c r="CI49" s="171"/>
      <c r="CJ49" s="171"/>
      <c r="CK49" s="171"/>
      <c r="CL49" s="171"/>
      <c r="CM49" s="171"/>
      <c r="CN49" s="171"/>
      <c r="CO49" s="171"/>
      <c r="CP49" s="171"/>
      <c r="CQ49" s="171"/>
      <c r="CR49" s="171"/>
      <c r="CS49" s="171"/>
      <c r="CT49" s="171"/>
      <c r="CU49" s="171"/>
      <c r="CV49" s="171"/>
      <c r="CW49" s="171"/>
      <c r="CX49" s="171"/>
      <c r="CY49" s="171"/>
      <c r="CZ49" s="171"/>
      <c r="DA49" s="171"/>
      <c r="DB49" s="171"/>
      <c r="DC49" s="171"/>
      <c r="DD49" s="171"/>
      <c r="DE49" s="171"/>
      <c r="DF49" s="171"/>
      <c r="DG49" s="171"/>
      <c r="DH49" s="171"/>
      <c r="DI49" s="171"/>
      <c r="DJ49" s="171"/>
      <c r="DK49" s="171"/>
      <c r="DL49" s="171"/>
      <c r="DM49" s="171"/>
      <c r="DN49" s="171"/>
      <c r="DO49" s="171"/>
      <c r="DP49" s="171"/>
      <c r="DQ49" s="171"/>
      <c r="DR49" s="171"/>
      <c r="DS49" s="171"/>
      <c r="DT49" s="171"/>
      <c r="DU49" s="171"/>
      <c r="DV49" s="171"/>
      <c r="DW49" s="171"/>
      <c r="DX49" s="171"/>
      <c r="DY49" s="171"/>
      <c r="DZ49" s="171"/>
      <c r="EA49" s="171"/>
      <c r="EB49" s="171"/>
      <c r="EC49" s="171"/>
      <c r="ED49" s="171"/>
      <c r="EE49" s="171"/>
      <c r="EF49" s="171"/>
      <c r="EG49" s="171"/>
      <c r="EH49" s="171"/>
      <c r="EI49" s="171"/>
      <c r="EJ49" s="171"/>
      <c r="EK49" s="171"/>
      <c r="EL49" s="171"/>
      <c r="EM49" s="171"/>
      <c r="EN49" s="171"/>
      <c r="EO49" s="171"/>
      <c r="EP49" s="171"/>
      <c r="EQ49" s="171"/>
      <c r="ER49" s="171"/>
      <c r="ES49" s="171"/>
      <c r="ET49" s="171"/>
    </row>
    <row r="50" spans="1:150" s="385" customFormat="1" ht="16.5" customHeight="1">
      <c r="A50" s="377">
        <v>41</v>
      </c>
      <c r="B50" s="378" t="s">
        <v>1513</v>
      </c>
      <c r="C50" s="379">
        <v>1</v>
      </c>
      <c r="D50" s="380" t="s">
        <v>901</v>
      </c>
      <c r="E50" s="381">
        <v>44707</v>
      </c>
      <c r="F50" s="378" t="s">
        <v>903</v>
      </c>
      <c r="G50" s="377">
        <v>80002568</v>
      </c>
      <c r="H50" s="379" t="s">
        <v>2140</v>
      </c>
      <c r="I50" s="382">
        <v>1</v>
      </c>
      <c r="J50" s="382">
        <v>21</v>
      </c>
      <c r="K50" s="382">
        <v>4</v>
      </c>
      <c r="L50" s="382">
        <v>2</v>
      </c>
      <c r="M50" s="382">
        <v>1</v>
      </c>
      <c r="N50" s="382">
        <v>2</v>
      </c>
      <c r="O50" s="382">
        <v>4</v>
      </c>
      <c r="P50" s="168">
        <v>3</v>
      </c>
      <c r="Q50" s="382">
        <v>1</v>
      </c>
      <c r="R50" s="167">
        <v>0</v>
      </c>
      <c r="S50" s="161">
        <v>0</v>
      </c>
      <c r="T50" s="161">
        <v>0</v>
      </c>
      <c r="U50" s="383"/>
      <c r="V50" s="379">
        <v>3</v>
      </c>
      <c r="W50" s="377">
        <v>2</v>
      </c>
      <c r="X50" s="167">
        <v>3</v>
      </c>
      <c r="Y50" s="167">
        <v>3</v>
      </c>
      <c r="Z50" s="167">
        <v>8</v>
      </c>
      <c r="AA50" s="167">
        <v>7</v>
      </c>
      <c r="AB50" s="379"/>
      <c r="AC50" s="379"/>
      <c r="AD50" s="384"/>
      <c r="AE50" s="171"/>
      <c r="AF50" s="171" t="s">
        <v>1842</v>
      </c>
      <c r="AG50" s="171" t="s">
        <v>1728</v>
      </c>
      <c r="AH50" s="171" t="s">
        <v>74</v>
      </c>
      <c r="AI50" s="171"/>
      <c r="AJ50" s="171"/>
      <c r="AK50" s="171"/>
      <c r="AL50" s="171"/>
      <c r="AM50" s="171"/>
      <c r="AN50" s="171"/>
      <c r="AO50" s="171"/>
      <c r="AP50" s="171"/>
      <c r="AQ50" s="171"/>
      <c r="AR50" s="171"/>
      <c r="AS50" s="171"/>
      <c r="AT50" s="171"/>
      <c r="AU50" s="171"/>
      <c r="AV50" s="171"/>
      <c r="AW50" s="171"/>
      <c r="AX50" s="171"/>
      <c r="AY50" s="171"/>
      <c r="AZ50" s="171"/>
      <c r="BA50" s="171"/>
      <c r="BB50" s="171"/>
      <c r="BC50" s="171"/>
      <c r="BD50" s="171"/>
      <c r="BE50" s="171"/>
      <c r="BF50" s="171"/>
      <c r="BG50" s="171"/>
      <c r="BH50" s="171"/>
      <c r="BI50" s="171"/>
      <c r="BJ50" s="171"/>
      <c r="BK50" s="171"/>
      <c r="BL50" s="171"/>
      <c r="BM50" s="171"/>
      <c r="BN50" s="171"/>
      <c r="BO50" s="171"/>
      <c r="BP50" s="171"/>
      <c r="BQ50" s="171"/>
      <c r="BR50" s="171"/>
      <c r="BS50" s="171"/>
      <c r="BT50" s="171"/>
      <c r="BU50" s="171"/>
      <c r="BV50" s="171"/>
      <c r="BW50" s="171"/>
      <c r="BX50" s="171"/>
      <c r="BY50" s="171"/>
      <c r="BZ50" s="171"/>
      <c r="CA50" s="171"/>
      <c r="CB50" s="171"/>
      <c r="CC50" s="171"/>
      <c r="CD50" s="171"/>
      <c r="CE50" s="171"/>
      <c r="CF50" s="171"/>
      <c r="CG50" s="171"/>
      <c r="CH50" s="171"/>
      <c r="CI50" s="171"/>
      <c r="CJ50" s="171"/>
      <c r="CK50" s="171"/>
      <c r="CL50" s="171"/>
      <c r="CM50" s="171"/>
      <c r="CN50" s="171"/>
      <c r="CO50" s="171"/>
      <c r="CP50" s="171"/>
      <c r="CQ50" s="171"/>
      <c r="CR50" s="171"/>
      <c r="CS50" s="171"/>
      <c r="CT50" s="171"/>
      <c r="CU50" s="171"/>
      <c r="CV50" s="171"/>
      <c r="CW50" s="171"/>
      <c r="CX50" s="171"/>
      <c r="CY50" s="171"/>
      <c r="CZ50" s="171"/>
      <c r="DA50" s="171"/>
      <c r="DB50" s="171"/>
      <c r="DC50" s="171"/>
      <c r="DD50" s="171"/>
      <c r="DE50" s="171"/>
      <c r="DF50" s="171"/>
      <c r="DG50" s="171"/>
      <c r="DH50" s="171"/>
      <c r="DI50" s="171"/>
      <c r="DJ50" s="171"/>
      <c r="DK50" s="171"/>
      <c r="DL50" s="171"/>
      <c r="DM50" s="171"/>
      <c r="DN50" s="171"/>
      <c r="DO50" s="171"/>
      <c r="DP50" s="171"/>
      <c r="DQ50" s="171"/>
      <c r="DR50" s="171"/>
      <c r="DS50" s="171"/>
      <c r="DT50" s="171"/>
      <c r="DU50" s="171"/>
      <c r="DV50" s="171"/>
      <c r="DW50" s="171"/>
      <c r="DX50" s="171"/>
      <c r="DY50" s="171"/>
      <c r="DZ50" s="171"/>
      <c r="EA50" s="171"/>
      <c r="EB50" s="171"/>
      <c r="EC50" s="171"/>
      <c r="ED50" s="171"/>
      <c r="EE50" s="171"/>
      <c r="EF50" s="171"/>
      <c r="EG50" s="171"/>
      <c r="EH50" s="171"/>
      <c r="EI50" s="171"/>
      <c r="EJ50" s="171"/>
      <c r="EK50" s="171"/>
      <c r="EL50" s="171"/>
      <c r="EM50" s="171"/>
      <c r="EN50" s="171"/>
      <c r="EO50" s="171"/>
      <c r="EP50" s="171"/>
      <c r="EQ50" s="171"/>
      <c r="ER50" s="171"/>
      <c r="ES50" s="171"/>
      <c r="ET50" s="171"/>
    </row>
    <row r="51" spans="1:150" s="385" customFormat="1" ht="16.5" customHeight="1">
      <c r="A51" s="377">
        <v>42</v>
      </c>
      <c r="B51" s="378" t="s">
        <v>1513</v>
      </c>
      <c r="C51" s="379">
        <v>1</v>
      </c>
      <c r="D51" s="380" t="s">
        <v>914</v>
      </c>
      <c r="E51" s="381">
        <v>44709</v>
      </c>
      <c r="F51" s="378" t="s">
        <v>917</v>
      </c>
      <c r="G51" s="377">
        <v>80002752</v>
      </c>
      <c r="H51" s="379" t="s">
        <v>2143</v>
      </c>
      <c r="I51" s="382">
        <v>3</v>
      </c>
      <c r="J51" s="382">
        <v>18</v>
      </c>
      <c r="K51" s="382">
        <v>6</v>
      </c>
      <c r="L51" s="382">
        <v>1</v>
      </c>
      <c r="M51" s="382">
        <v>3</v>
      </c>
      <c r="N51" s="168">
        <v>3</v>
      </c>
      <c r="O51" s="382">
        <v>2</v>
      </c>
      <c r="P51" s="382">
        <v>5</v>
      </c>
      <c r="Q51" s="382">
        <v>1</v>
      </c>
      <c r="R51" s="167">
        <v>0</v>
      </c>
      <c r="S51" s="161">
        <v>0</v>
      </c>
      <c r="T51" s="161">
        <v>0</v>
      </c>
      <c r="U51" s="383"/>
      <c r="V51" s="167">
        <v>1</v>
      </c>
      <c r="W51" s="377">
        <v>1</v>
      </c>
      <c r="X51" s="167">
        <v>1</v>
      </c>
      <c r="Y51" s="379">
        <v>1</v>
      </c>
      <c r="Z51" s="167">
        <v>8</v>
      </c>
      <c r="AA51" s="167">
        <v>7</v>
      </c>
      <c r="AB51" s="379"/>
      <c r="AC51" s="379"/>
      <c r="AD51" s="384"/>
      <c r="AE51" s="171"/>
      <c r="AF51" s="171" t="s">
        <v>1745</v>
      </c>
      <c r="AG51" s="171" t="s">
        <v>1744</v>
      </c>
      <c r="AH51" s="171" t="s">
        <v>74</v>
      </c>
      <c r="AI51" s="171"/>
      <c r="AJ51" s="171"/>
      <c r="AK51" s="171"/>
      <c r="AL51" s="171"/>
      <c r="AM51" s="171"/>
      <c r="AN51" s="171"/>
      <c r="AO51" s="171"/>
      <c r="AP51" s="171"/>
      <c r="AQ51" s="171"/>
      <c r="AR51" s="171"/>
      <c r="AS51" s="171"/>
      <c r="AT51" s="171"/>
      <c r="AU51" s="171"/>
      <c r="AV51" s="171"/>
      <c r="AW51" s="171"/>
      <c r="AX51" s="171"/>
      <c r="AY51" s="171"/>
      <c r="AZ51" s="171"/>
      <c r="BA51" s="171"/>
      <c r="BB51" s="171"/>
      <c r="BC51" s="171"/>
      <c r="BD51" s="171"/>
      <c r="BE51" s="171"/>
      <c r="BF51" s="171"/>
      <c r="BG51" s="171"/>
      <c r="BH51" s="171"/>
      <c r="BI51" s="171"/>
      <c r="BJ51" s="171"/>
      <c r="BK51" s="171"/>
      <c r="BL51" s="171"/>
      <c r="BM51" s="171"/>
      <c r="BN51" s="171"/>
      <c r="BO51" s="171"/>
      <c r="BP51" s="171"/>
      <c r="BQ51" s="171"/>
      <c r="BR51" s="171"/>
      <c r="BS51" s="171"/>
      <c r="BT51" s="171"/>
      <c r="BU51" s="171"/>
      <c r="BV51" s="171"/>
      <c r="BW51" s="171"/>
      <c r="BX51" s="171"/>
      <c r="BY51" s="171"/>
      <c r="BZ51" s="171"/>
      <c r="CA51" s="171"/>
      <c r="CB51" s="171"/>
      <c r="CC51" s="171"/>
      <c r="CD51" s="171"/>
      <c r="CE51" s="171"/>
      <c r="CF51" s="171"/>
      <c r="CG51" s="171"/>
      <c r="CH51" s="171"/>
      <c r="CI51" s="171"/>
      <c r="CJ51" s="171"/>
      <c r="CK51" s="171"/>
      <c r="CL51" s="171"/>
      <c r="CM51" s="171"/>
      <c r="CN51" s="171"/>
      <c r="CO51" s="171"/>
      <c r="CP51" s="171"/>
      <c r="CQ51" s="171"/>
      <c r="CR51" s="171"/>
      <c r="CS51" s="171"/>
      <c r="CT51" s="171"/>
      <c r="CU51" s="171"/>
      <c r="CV51" s="171"/>
      <c r="CW51" s="171"/>
      <c r="CX51" s="171"/>
      <c r="CY51" s="171"/>
      <c r="CZ51" s="171"/>
      <c r="DA51" s="171"/>
      <c r="DB51" s="171"/>
      <c r="DC51" s="171"/>
      <c r="DD51" s="171"/>
      <c r="DE51" s="171"/>
      <c r="DF51" s="171"/>
      <c r="DG51" s="171"/>
      <c r="DH51" s="171"/>
      <c r="DI51" s="171"/>
      <c r="DJ51" s="171"/>
      <c r="DK51" s="171"/>
      <c r="DL51" s="171"/>
      <c r="DM51" s="171"/>
      <c r="DN51" s="171"/>
      <c r="DO51" s="171"/>
      <c r="DP51" s="171"/>
      <c r="DQ51" s="171"/>
      <c r="DR51" s="171"/>
      <c r="DS51" s="171"/>
      <c r="DT51" s="171"/>
      <c r="DU51" s="171"/>
      <c r="DV51" s="171"/>
      <c r="DW51" s="171"/>
      <c r="DX51" s="171"/>
      <c r="DY51" s="171"/>
      <c r="DZ51" s="171"/>
      <c r="EA51" s="171"/>
      <c r="EB51" s="171"/>
      <c r="EC51" s="171"/>
      <c r="ED51" s="171"/>
      <c r="EE51" s="171"/>
      <c r="EF51" s="171"/>
      <c r="EG51" s="171"/>
      <c r="EH51" s="171"/>
      <c r="EI51" s="171"/>
      <c r="EJ51" s="171"/>
      <c r="EK51" s="171"/>
      <c r="EL51" s="171"/>
      <c r="EM51" s="171"/>
      <c r="EN51" s="171"/>
      <c r="EO51" s="171"/>
      <c r="EP51" s="171"/>
      <c r="EQ51" s="171"/>
      <c r="ER51" s="171"/>
      <c r="ES51" s="171"/>
      <c r="ET51" s="171"/>
    </row>
    <row r="52" spans="1:150" s="385" customFormat="1" ht="16.5" customHeight="1">
      <c r="A52" s="377">
        <v>43</v>
      </c>
      <c r="B52" s="378" t="s">
        <v>1513</v>
      </c>
      <c r="C52" s="379">
        <v>1</v>
      </c>
      <c r="D52" s="380" t="s">
        <v>950</v>
      </c>
      <c r="E52" s="381">
        <v>44709</v>
      </c>
      <c r="F52" s="378" t="s">
        <v>951</v>
      </c>
      <c r="G52" s="377">
        <v>80002598</v>
      </c>
      <c r="H52" s="379" t="s">
        <v>2143</v>
      </c>
      <c r="I52" s="382">
        <v>3</v>
      </c>
      <c r="J52" s="382">
        <v>22</v>
      </c>
      <c r="K52" s="382">
        <v>6</v>
      </c>
      <c r="L52" s="382">
        <v>2</v>
      </c>
      <c r="M52" s="382">
        <v>3</v>
      </c>
      <c r="N52" s="382">
        <v>2</v>
      </c>
      <c r="O52" s="382">
        <v>3</v>
      </c>
      <c r="P52" s="168">
        <v>3</v>
      </c>
      <c r="Q52" s="382">
        <v>1</v>
      </c>
      <c r="R52" s="167">
        <v>0</v>
      </c>
      <c r="S52" s="161">
        <v>0</v>
      </c>
      <c r="T52" s="161">
        <v>0</v>
      </c>
      <c r="U52" s="383"/>
      <c r="V52" s="379">
        <v>3</v>
      </c>
      <c r="W52" s="377">
        <v>1</v>
      </c>
      <c r="X52" s="167">
        <v>3</v>
      </c>
      <c r="Y52" s="379">
        <v>1</v>
      </c>
      <c r="Z52" s="167">
        <v>8</v>
      </c>
      <c r="AA52" s="167">
        <v>7</v>
      </c>
      <c r="AB52" s="379"/>
      <c r="AC52" s="379"/>
      <c r="AD52" s="384"/>
      <c r="AE52" s="171"/>
      <c r="AF52" s="171" t="s">
        <v>1745</v>
      </c>
      <c r="AG52" s="171" t="s">
        <v>1728</v>
      </c>
      <c r="AH52" s="171" t="s">
        <v>74</v>
      </c>
      <c r="AI52" s="171"/>
      <c r="AJ52" s="171"/>
      <c r="AK52" s="171"/>
      <c r="AL52" s="171"/>
      <c r="AM52" s="171"/>
      <c r="AN52" s="171"/>
      <c r="AO52" s="171"/>
      <c r="AP52" s="171"/>
      <c r="AQ52" s="171"/>
      <c r="AR52" s="171"/>
      <c r="AS52" s="171"/>
      <c r="AT52" s="171"/>
      <c r="AU52" s="171"/>
      <c r="AV52" s="171"/>
      <c r="AW52" s="171"/>
      <c r="AX52" s="171"/>
      <c r="AY52" s="171"/>
      <c r="AZ52" s="171"/>
      <c r="BA52" s="171"/>
      <c r="BB52" s="171"/>
      <c r="BC52" s="171"/>
      <c r="BD52" s="171"/>
      <c r="BE52" s="171"/>
      <c r="BF52" s="171"/>
      <c r="BG52" s="171"/>
      <c r="BH52" s="171"/>
      <c r="BI52" s="171"/>
      <c r="BJ52" s="171"/>
      <c r="BK52" s="171"/>
      <c r="BL52" s="171"/>
      <c r="BM52" s="171"/>
      <c r="BN52" s="171"/>
      <c r="BO52" s="171"/>
      <c r="BP52" s="171"/>
      <c r="BQ52" s="171"/>
      <c r="BR52" s="171"/>
      <c r="BS52" s="171"/>
      <c r="BT52" s="171"/>
      <c r="BU52" s="171"/>
      <c r="BV52" s="171"/>
      <c r="BW52" s="171"/>
      <c r="BX52" s="171"/>
      <c r="BY52" s="171"/>
      <c r="BZ52" s="171"/>
      <c r="CA52" s="171"/>
      <c r="CB52" s="171"/>
      <c r="CC52" s="171"/>
      <c r="CD52" s="171"/>
      <c r="CE52" s="171"/>
      <c r="CF52" s="171"/>
      <c r="CG52" s="171"/>
      <c r="CH52" s="171"/>
      <c r="CI52" s="171"/>
      <c r="CJ52" s="171"/>
      <c r="CK52" s="171"/>
      <c r="CL52" s="171"/>
      <c r="CM52" s="171"/>
      <c r="CN52" s="171"/>
      <c r="CO52" s="171"/>
      <c r="CP52" s="171"/>
      <c r="CQ52" s="171"/>
      <c r="CR52" s="171"/>
      <c r="CS52" s="171"/>
      <c r="CT52" s="171"/>
      <c r="CU52" s="171"/>
      <c r="CV52" s="171"/>
      <c r="CW52" s="171"/>
      <c r="CX52" s="171"/>
      <c r="CY52" s="171"/>
      <c r="CZ52" s="171"/>
      <c r="DA52" s="171"/>
      <c r="DB52" s="171"/>
      <c r="DC52" s="171"/>
      <c r="DD52" s="171"/>
      <c r="DE52" s="171"/>
      <c r="DF52" s="171"/>
      <c r="DG52" s="171"/>
      <c r="DH52" s="171"/>
      <c r="DI52" s="171"/>
      <c r="DJ52" s="171"/>
      <c r="DK52" s="171"/>
      <c r="DL52" s="171"/>
      <c r="DM52" s="171"/>
      <c r="DN52" s="171"/>
      <c r="DO52" s="171"/>
      <c r="DP52" s="171"/>
      <c r="DQ52" s="171"/>
      <c r="DR52" s="171"/>
      <c r="DS52" s="171"/>
      <c r="DT52" s="171"/>
      <c r="DU52" s="171"/>
      <c r="DV52" s="171"/>
      <c r="DW52" s="171"/>
      <c r="DX52" s="171"/>
      <c r="DY52" s="171"/>
      <c r="DZ52" s="171"/>
      <c r="EA52" s="171"/>
      <c r="EB52" s="171"/>
      <c r="EC52" s="171"/>
      <c r="ED52" s="171"/>
      <c r="EE52" s="171"/>
      <c r="EF52" s="171"/>
      <c r="EG52" s="171"/>
      <c r="EH52" s="171"/>
      <c r="EI52" s="171"/>
      <c r="EJ52" s="171"/>
      <c r="EK52" s="171"/>
      <c r="EL52" s="171"/>
      <c r="EM52" s="171"/>
      <c r="EN52" s="171"/>
      <c r="EO52" s="171"/>
      <c r="EP52" s="171"/>
      <c r="EQ52" s="171"/>
      <c r="ER52" s="171"/>
      <c r="ES52" s="171"/>
      <c r="ET52" s="171"/>
    </row>
    <row r="53" spans="1:150" s="385" customFormat="1" ht="16.5" customHeight="1">
      <c r="A53" s="377">
        <v>44</v>
      </c>
      <c r="B53" s="378" t="s">
        <v>1513</v>
      </c>
      <c r="C53" s="379">
        <v>1</v>
      </c>
      <c r="D53" s="380" t="s">
        <v>965</v>
      </c>
      <c r="E53" s="381">
        <v>44714</v>
      </c>
      <c r="F53" s="378" t="s">
        <v>968</v>
      </c>
      <c r="G53" s="377">
        <v>80001819</v>
      </c>
      <c r="H53" s="379" t="s">
        <v>2140</v>
      </c>
      <c r="I53" s="382">
        <v>1</v>
      </c>
      <c r="J53" s="382">
        <v>20</v>
      </c>
      <c r="K53" s="382">
        <v>4</v>
      </c>
      <c r="L53" s="382">
        <v>2</v>
      </c>
      <c r="M53" s="382">
        <v>2</v>
      </c>
      <c r="N53" s="382">
        <v>2</v>
      </c>
      <c r="O53" s="382">
        <v>2</v>
      </c>
      <c r="P53" s="382">
        <v>4</v>
      </c>
      <c r="Q53" s="382">
        <v>3</v>
      </c>
      <c r="R53" s="167">
        <v>0</v>
      </c>
      <c r="S53" s="161">
        <v>0</v>
      </c>
      <c r="T53" s="161">
        <v>0</v>
      </c>
      <c r="U53" s="383"/>
      <c r="V53" s="167">
        <v>1</v>
      </c>
      <c r="W53" s="377">
        <v>2</v>
      </c>
      <c r="X53" s="167">
        <v>1</v>
      </c>
      <c r="Y53" s="167">
        <v>2</v>
      </c>
      <c r="Z53" s="167">
        <v>8</v>
      </c>
      <c r="AA53" s="167">
        <v>7</v>
      </c>
      <c r="AB53" s="379"/>
      <c r="AC53" s="379"/>
      <c r="AD53" s="384"/>
      <c r="AE53" s="171"/>
      <c r="AF53" s="171" t="s">
        <v>1948</v>
      </c>
      <c r="AG53" s="171" t="s">
        <v>1744</v>
      </c>
      <c r="AH53" s="171" t="s">
        <v>74</v>
      </c>
      <c r="AI53" s="171"/>
      <c r="AJ53" s="171"/>
      <c r="AK53" s="171"/>
      <c r="AL53" s="171"/>
      <c r="AM53" s="171"/>
      <c r="AN53" s="171"/>
      <c r="AO53" s="171"/>
      <c r="AP53" s="171"/>
      <c r="AQ53" s="171"/>
      <c r="AR53" s="171"/>
      <c r="AS53" s="171"/>
      <c r="AT53" s="171"/>
      <c r="AU53" s="171"/>
      <c r="AV53" s="171"/>
      <c r="AW53" s="171"/>
      <c r="AX53" s="171"/>
      <c r="AY53" s="171"/>
      <c r="AZ53" s="171"/>
      <c r="BA53" s="171"/>
      <c r="BB53" s="171"/>
      <c r="BC53" s="171"/>
      <c r="BD53" s="171"/>
      <c r="BE53" s="171"/>
      <c r="BF53" s="171"/>
      <c r="BG53" s="171"/>
      <c r="BH53" s="171"/>
      <c r="BI53" s="171"/>
      <c r="BJ53" s="171"/>
      <c r="BK53" s="171"/>
      <c r="BL53" s="171"/>
      <c r="BM53" s="171"/>
      <c r="BN53" s="171"/>
      <c r="BO53" s="171"/>
      <c r="BP53" s="171"/>
      <c r="BQ53" s="171"/>
      <c r="BR53" s="171"/>
      <c r="BS53" s="171"/>
      <c r="BT53" s="171"/>
      <c r="BU53" s="171"/>
      <c r="BV53" s="171"/>
      <c r="BW53" s="171"/>
      <c r="BX53" s="171"/>
      <c r="BY53" s="171"/>
      <c r="BZ53" s="171"/>
      <c r="CA53" s="171"/>
      <c r="CB53" s="171"/>
      <c r="CC53" s="171"/>
      <c r="CD53" s="171"/>
      <c r="CE53" s="171"/>
      <c r="CF53" s="171"/>
      <c r="CG53" s="171"/>
      <c r="CH53" s="171"/>
      <c r="CI53" s="171"/>
      <c r="CJ53" s="171"/>
      <c r="CK53" s="171"/>
      <c r="CL53" s="171"/>
      <c r="CM53" s="171"/>
      <c r="CN53" s="171"/>
      <c r="CO53" s="171"/>
      <c r="CP53" s="171"/>
      <c r="CQ53" s="171"/>
      <c r="CR53" s="171"/>
      <c r="CS53" s="171"/>
      <c r="CT53" s="171"/>
      <c r="CU53" s="171"/>
      <c r="CV53" s="171"/>
      <c r="CW53" s="171"/>
      <c r="CX53" s="171"/>
      <c r="CY53" s="171"/>
      <c r="CZ53" s="171"/>
      <c r="DA53" s="171"/>
      <c r="DB53" s="171"/>
      <c r="DC53" s="171"/>
      <c r="DD53" s="171"/>
      <c r="DE53" s="171"/>
      <c r="DF53" s="171"/>
      <c r="DG53" s="171"/>
      <c r="DH53" s="171"/>
      <c r="DI53" s="171"/>
      <c r="DJ53" s="171"/>
      <c r="DK53" s="171"/>
      <c r="DL53" s="171"/>
      <c r="DM53" s="171"/>
      <c r="DN53" s="171"/>
      <c r="DO53" s="171"/>
      <c r="DP53" s="171"/>
      <c r="DQ53" s="171"/>
      <c r="DR53" s="171"/>
      <c r="DS53" s="171"/>
      <c r="DT53" s="171"/>
      <c r="DU53" s="171"/>
      <c r="DV53" s="171"/>
      <c r="DW53" s="171"/>
      <c r="DX53" s="171"/>
      <c r="DY53" s="171"/>
      <c r="DZ53" s="171"/>
      <c r="EA53" s="171"/>
      <c r="EB53" s="171"/>
      <c r="EC53" s="171"/>
      <c r="ED53" s="171"/>
      <c r="EE53" s="171"/>
      <c r="EF53" s="171"/>
      <c r="EG53" s="171"/>
      <c r="EH53" s="171"/>
      <c r="EI53" s="171"/>
      <c r="EJ53" s="171"/>
      <c r="EK53" s="171"/>
      <c r="EL53" s="171"/>
      <c r="EM53" s="171"/>
      <c r="EN53" s="171"/>
      <c r="EO53" s="171"/>
      <c r="EP53" s="171"/>
      <c r="EQ53" s="171"/>
      <c r="ER53" s="171"/>
      <c r="ES53" s="171"/>
      <c r="ET53" s="171"/>
    </row>
    <row r="54" spans="1:150" s="385" customFormat="1" ht="16.5" customHeight="1">
      <c r="A54" s="377">
        <v>45</v>
      </c>
      <c r="B54" s="378" t="s">
        <v>1513</v>
      </c>
      <c r="C54" s="379">
        <v>1</v>
      </c>
      <c r="D54" s="380" t="s">
        <v>986</v>
      </c>
      <c r="E54" s="381">
        <v>44721</v>
      </c>
      <c r="F54" s="378" t="s">
        <v>989</v>
      </c>
      <c r="G54" s="377">
        <v>80001117</v>
      </c>
      <c r="H54" s="379" t="s">
        <v>2140</v>
      </c>
      <c r="I54" s="382">
        <v>2</v>
      </c>
      <c r="J54" s="382">
        <v>9</v>
      </c>
      <c r="K54" s="382">
        <v>4</v>
      </c>
      <c r="L54" s="382">
        <v>1</v>
      </c>
      <c r="M54" s="382">
        <v>2</v>
      </c>
      <c r="N54" s="168">
        <v>3</v>
      </c>
      <c r="O54" s="382">
        <v>5</v>
      </c>
      <c r="P54" s="382">
        <v>2</v>
      </c>
      <c r="Q54" s="382">
        <v>3</v>
      </c>
      <c r="R54" s="167">
        <v>0</v>
      </c>
      <c r="S54" s="161">
        <v>0</v>
      </c>
      <c r="T54" s="161">
        <v>0</v>
      </c>
      <c r="U54" s="383"/>
      <c r="V54" s="379">
        <v>3</v>
      </c>
      <c r="W54" s="377">
        <v>2</v>
      </c>
      <c r="X54" s="167">
        <v>3</v>
      </c>
      <c r="Y54" s="167">
        <v>2</v>
      </c>
      <c r="Z54" s="167">
        <v>8</v>
      </c>
      <c r="AA54" s="167">
        <v>7</v>
      </c>
      <c r="AB54" s="379"/>
      <c r="AC54" s="379"/>
      <c r="AD54" s="384"/>
      <c r="AE54" s="171"/>
      <c r="AF54" s="171" t="s">
        <v>1948</v>
      </c>
      <c r="AG54" s="171" t="s">
        <v>1728</v>
      </c>
      <c r="AH54" s="171" t="s">
        <v>74</v>
      </c>
      <c r="AI54" s="171"/>
      <c r="AJ54" s="171"/>
      <c r="AK54" s="171"/>
      <c r="AL54" s="171"/>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1"/>
      <c r="BN54" s="171"/>
      <c r="BO54" s="171"/>
      <c r="BP54" s="171"/>
      <c r="BQ54" s="171"/>
      <c r="BR54" s="171"/>
      <c r="BS54" s="171"/>
      <c r="BT54" s="171"/>
      <c r="BU54" s="171"/>
      <c r="BV54" s="171"/>
      <c r="BW54" s="171"/>
      <c r="BX54" s="171"/>
      <c r="BY54" s="171"/>
      <c r="BZ54" s="171"/>
      <c r="CA54" s="171"/>
      <c r="CB54" s="171"/>
      <c r="CC54" s="171"/>
      <c r="CD54" s="171"/>
      <c r="CE54" s="171"/>
      <c r="CF54" s="171"/>
      <c r="CG54" s="171"/>
      <c r="CH54" s="171"/>
      <c r="CI54" s="171"/>
      <c r="CJ54" s="171"/>
      <c r="CK54" s="171"/>
      <c r="CL54" s="171"/>
      <c r="CM54" s="171"/>
      <c r="CN54" s="171"/>
      <c r="CO54" s="171"/>
      <c r="CP54" s="171"/>
      <c r="CQ54" s="171"/>
      <c r="CR54" s="171"/>
      <c r="CS54" s="171"/>
      <c r="CT54" s="171"/>
      <c r="CU54" s="171"/>
      <c r="CV54" s="171"/>
      <c r="CW54" s="171"/>
      <c r="CX54" s="171"/>
      <c r="CY54" s="171"/>
      <c r="CZ54" s="171"/>
      <c r="DA54" s="171"/>
      <c r="DB54" s="171"/>
      <c r="DC54" s="171"/>
      <c r="DD54" s="171"/>
      <c r="DE54" s="171"/>
      <c r="DF54" s="171"/>
      <c r="DG54" s="171"/>
      <c r="DH54" s="171"/>
      <c r="DI54" s="171"/>
      <c r="DJ54" s="171"/>
      <c r="DK54" s="171"/>
      <c r="DL54" s="171"/>
      <c r="DM54" s="171"/>
      <c r="DN54" s="171"/>
      <c r="DO54" s="171"/>
      <c r="DP54" s="171"/>
      <c r="DQ54" s="171"/>
      <c r="DR54" s="171"/>
      <c r="DS54" s="171"/>
      <c r="DT54" s="171"/>
      <c r="DU54" s="171"/>
      <c r="DV54" s="171"/>
      <c r="DW54" s="171"/>
      <c r="DX54" s="171"/>
      <c r="DY54" s="171"/>
      <c r="DZ54" s="171"/>
      <c r="EA54" s="171"/>
      <c r="EB54" s="171"/>
      <c r="EC54" s="171"/>
      <c r="ED54" s="171"/>
      <c r="EE54" s="171"/>
      <c r="EF54" s="171"/>
      <c r="EG54" s="171"/>
      <c r="EH54" s="171"/>
      <c r="EI54" s="171"/>
      <c r="EJ54" s="171"/>
      <c r="EK54" s="171"/>
      <c r="EL54" s="171"/>
      <c r="EM54" s="171"/>
      <c r="EN54" s="171"/>
      <c r="EO54" s="171"/>
      <c r="EP54" s="171"/>
      <c r="EQ54" s="171"/>
      <c r="ER54" s="171"/>
      <c r="ES54" s="171"/>
      <c r="ET54" s="171"/>
    </row>
    <row r="55" spans="1:150" s="385" customFormat="1" ht="16.5" customHeight="1">
      <c r="A55" s="377">
        <v>46</v>
      </c>
      <c r="B55" s="378" t="s">
        <v>1513</v>
      </c>
      <c r="C55" s="379">
        <v>1</v>
      </c>
      <c r="D55" s="380" t="s">
        <v>997</v>
      </c>
      <c r="E55" s="381">
        <v>44721</v>
      </c>
      <c r="F55" s="378" t="s">
        <v>999</v>
      </c>
      <c r="G55" s="377">
        <v>80001826</v>
      </c>
      <c r="H55" s="379" t="s">
        <v>2140</v>
      </c>
      <c r="I55" s="382">
        <v>1</v>
      </c>
      <c r="J55" s="382">
        <v>5</v>
      </c>
      <c r="K55" s="382">
        <v>4</v>
      </c>
      <c r="L55" s="382">
        <v>2</v>
      </c>
      <c r="M55" s="382">
        <v>1</v>
      </c>
      <c r="N55" s="168">
        <v>3</v>
      </c>
      <c r="O55" s="382">
        <v>4</v>
      </c>
      <c r="P55" s="168">
        <v>3</v>
      </c>
      <c r="Q55" s="382">
        <v>1</v>
      </c>
      <c r="R55" s="167">
        <v>0</v>
      </c>
      <c r="S55" s="161">
        <v>0</v>
      </c>
      <c r="T55" s="161">
        <v>0</v>
      </c>
      <c r="U55" s="383"/>
      <c r="V55" s="167">
        <v>1</v>
      </c>
      <c r="W55" s="377">
        <v>1</v>
      </c>
      <c r="X55" s="167">
        <v>1</v>
      </c>
      <c r="Y55" s="379">
        <v>3</v>
      </c>
      <c r="Z55" s="167">
        <v>8</v>
      </c>
      <c r="AA55" s="379">
        <v>1</v>
      </c>
      <c r="AB55" s="379"/>
      <c r="AC55" s="379"/>
      <c r="AD55" s="384"/>
      <c r="AE55" s="171"/>
      <c r="AF55" s="171" t="s">
        <v>1831</v>
      </c>
      <c r="AG55" s="171" t="s">
        <v>1744</v>
      </c>
      <c r="AH55" s="171" t="s">
        <v>74</v>
      </c>
      <c r="AI55" s="171"/>
      <c r="AJ55" s="171"/>
      <c r="AK55" s="171"/>
      <c r="AL55" s="171"/>
      <c r="AM55" s="171"/>
      <c r="AN55" s="171"/>
      <c r="AO55" s="171"/>
      <c r="AP55" s="171"/>
      <c r="AQ55" s="171"/>
      <c r="AR55" s="171"/>
      <c r="AS55" s="171"/>
      <c r="AT55" s="171"/>
      <c r="AU55" s="171"/>
      <c r="AV55" s="171"/>
      <c r="AW55" s="171"/>
      <c r="AX55" s="171"/>
      <c r="AY55" s="171"/>
      <c r="AZ55" s="171"/>
      <c r="BA55" s="171"/>
      <c r="BB55" s="171"/>
      <c r="BC55" s="171"/>
      <c r="BD55" s="171"/>
      <c r="BE55" s="171"/>
      <c r="BF55" s="171"/>
      <c r="BG55" s="171"/>
      <c r="BH55" s="171"/>
      <c r="BI55" s="171"/>
      <c r="BJ55" s="171"/>
      <c r="BK55" s="171"/>
      <c r="BL55" s="171"/>
      <c r="BM55" s="171"/>
      <c r="BN55" s="171"/>
      <c r="BO55" s="171"/>
      <c r="BP55" s="171"/>
      <c r="BQ55" s="171"/>
      <c r="BR55" s="171"/>
      <c r="BS55" s="171"/>
      <c r="BT55" s="171"/>
      <c r="BU55" s="171"/>
      <c r="BV55" s="171"/>
      <c r="BW55" s="171"/>
      <c r="BX55" s="171"/>
      <c r="BY55" s="171"/>
      <c r="BZ55" s="171"/>
      <c r="CA55" s="171"/>
      <c r="CB55" s="171"/>
      <c r="CC55" s="171"/>
      <c r="CD55" s="171"/>
      <c r="CE55" s="171"/>
      <c r="CF55" s="171"/>
      <c r="CG55" s="171"/>
      <c r="CH55" s="171"/>
      <c r="CI55" s="171"/>
      <c r="CJ55" s="171"/>
      <c r="CK55" s="171"/>
      <c r="CL55" s="171"/>
      <c r="CM55" s="171"/>
      <c r="CN55" s="171"/>
      <c r="CO55" s="171"/>
      <c r="CP55" s="171"/>
      <c r="CQ55" s="171"/>
      <c r="CR55" s="171"/>
      <c r="CS55" s="171"/>
      <c r="CT55" s="171"/>
      <c r="CU55" s="171"/>
      <c r="CV55" s="171"/>
      <c r="CW55" s="171"/>
      <c r="CX55" s="171"/>
      <c r="CY55" s="171"/>
      <c r="CZ55" s="171"/>
      <c r="DA55" s="171"/>
      <c r="DB55" s="171"/>
      <c r="DC55" s="171"/>
      <c r="DD55" s="171"/>
      <c r="DE55" s="171"/>
      <c r="DF55" s="171"/>
      <c r="DG55" s="171"/>
      <c r="DH55" s="171"/>
      <c r="DI55" s="171"/>
      <c r="DJ55" s="171"/>
      <c r="DK55" s="171"/>
      <c r="DL55" s="171"/>
      <c r="DM55" s="171"/>
      <c r="DN55" s="171"/>
      <c r="DO55" s="171"/>
      <c r="DP55" s="171"/>
      <c r="DQ55" s="171"/>
      <c r="DR55" s="171"/>
      <c r="DS55" s="171"/>
      <c r="DT55" s="171"/>
      <c r="DU55" s="171"/>
      <c r="DV55" s="171"/>
      <c r="DW55" s="171"/>
      <c r="DX55" s="171"/>
      <c r="DY55" s="171"/>
      <c r="DZ55" s="171"/>
      <c r="EA55" s="171"/>
      <c r="EB55" s="171"/>
      <c r="EC55" s="171"/>
      <c r="ED55" s="171"/>
      <c r="EE55" s="171"/>
      <c r="EF55" s="171"/>
      <c r="EG55" s="171"/>
      <c r="EH55" s="171"/>
      <c r="EI55" s="171"/>
      <c r="EJ55" s="171"/>
      <c r="EK55" s="171"/>
      <c r="EL55" s="171"/>
      <c r="EM55" s="171"/>
      <c r="EN55" s="171"/>
      <c r="EO55" s="171"/>
      <c r="EP55" s="171"/>
      <c r="EQ55" s="171"/>
      <c r="ER55" s="171"/>
      <c r="ES55" s="171"/>
      <c r="ET55" s="171"/>
    </row>
    <row r="56" spans="1:150" s="385" customFormat="1" ht="16.5" customHeight="1">
      <c r="A56" s="377">
        <v>47</v>
      </c>
      <c r="B56" s="378" t="s">
        <v>1513</v>
      </c>
      <c r="C56" s="379">
        <v>1</v>
      </c>
      <c r="D56" s="380" t="s">
        <v>1022</v>
      </c>
      <c r="E56" s="381">
        <v>44723</v>
      </c>
      <c r="F56" s="378" t="s">
        <v>1024</v>
      </c>
      <c r="G56" s="377">
        <v>80002889</v>
      </c>
      <c r="H56" s="379" t="s">
        <v>2140</v>
      </c>
      <c r="I56" s="382">
        <v>1</v>
      </c>
      <c r="J56" s="382">
        <v>11</v>
      </c>
      <c r="K56" s="382">
        <v>6</v>
      </c>
      <c r="L56" s="382">
        <v>1</v>
      </c>
      <c r="M56" s="382">
        <v>1</v>
      </c>
      <c r="N56" s="382">
        <v>2</v>
      </c>
      <c r="O56" s="382">
        <v>5</v>
      </c>
      <c r="P56" s="168">
        <v>3</v>
      </c>
      <c r="Q56" s="382">
        <v>1</v>
      </c>
      <c r="R56" s="167">
        <v>0</v>
      </c>
      <c r="S56" s="161">
        <v>0</v>
      </c>
      <c r="T56" s="161">
        <v>0</v>
      </c>
      <c r="U56" s="383"/>
      <c r="V56" s="379">
        <v>3</v>
      </c>
      <c r="W56" s="377">
        <v>2</v>
      </c>
      <c r="X56" s="167">
        <v>1</v>
      </c>
      <c r="Y56" s="167">
        <v>2</v>
      </c>
      <c r="Z56" s="167">
        <v>8</v>
      </c>
      <c r="AA56" s="379">
        <v>3</v>
      </c>
      <c r="AB56" s="379">
        <v>6</v>
      </c>
      <c r="AC56" s="379"/>
      <c r="AD56" s="384"/>
      <c r="AE56" s="171"/>
      <c r="AF56" s="171" t="s">
        <v>1789</v>
      </c>
      <c r="AG56" s="171" t="s">
        <v>1744</v>
      </c>
      <c r="AH56" s="171" t="s">
        <v>75</v>
      </c>
      <c r="AI56" s="171"/>
      <c r="AJ56" s="171"/>
      <c r="AK56" s="171"/>
      <c r="AL56" s="171"/>
      <c r="AM56" s="171"/>
      <c r="AN56" s="171"/>
      <c r="AO56" s="171"/>
      <c r="AP56" s="171"/>
      <c r="AQ56" s="171"/>
      <c r="AR56" s="171"/>
      <c r="AS56" s="171"/>
      <c r="AT56" s="171"/>
      <c r="AU56" s="171"/>
      <c r="AV56" s="171"/>
      <c r="AW56" s="171"/>
      <c r="AX56" s="171"/>
      <c r="AY56" s="171"/>
      <c r="AZ56" s="171"/>
      <c r="BA56" s="171"/>
      <c r="BB56" s="171"/>
      <c r="BC56" s="171"/>
      <c r="BD56" s="171"/>
      <c r="BE56" s="171"/>
      <c r="BF56" s="171"/>
      <c r="BG56" s="171"/>
      <c r="BH56" s="171"/>
      <c r="BI56" s="171"/>
      <c r="BJ56" s="171"/>
      <c r="BK56" s="171"/>
      <c r="BL56" s="171"/>
      <c r="BM56" s="171"/>
      <c r="BN56" s="171"/>
      <c r="BO56" s="171"/>
      <c r="BP56" s="171"/>
      <c r="BQ56" s="171"/>
      <c r="BR56" s="171"/>
      <c r="BS56" s="171"/>
      <c r="BT56" s="171"/>
      <c r="BU56" s="171"/>
      <c r="BV56" s="171"/>
      <c r="BW56" s="171"/>
      <c r="BX56" s="171"/>
      <c r="BY56" s="171"/>
      <c r="BZ56" s="171"/>
      <c r="CA56" s="171"/>
      <c r="CB56" s="171"/>
      <c r="CC56" s="171"/>
      <c r="CD56" s="171"/>
      <c r="CE56" s="171"/>
      <c r="CF56" s="171"/>
      <c r="CG56" s="171"/>
      <c r="CH56" s="171"/>
      <c r="CI56" s="171"/>
      <c r="CJ56" s="171"/>
      <c r="CK56" s="171"/>
      <c r="CL56" s="171"/>
      <c r="CM56" s="171"/>
      <c r="CN56" s="171"/>
      <c r="CO56" s="171"/>
      <c r="CP56" s="171"/>
      <c r="CQ56" s="171"/>
      <c r="CR56" s="171"/>
      <c r="CS56" s="171"/>
      <c r="CT56" s="171"/>
      <c r="CU56" s="171"/>
      <c r="CV56" s="171"/>
      <c r="CW56" s="171"/>
      <c r="CX56" s="171"/>
      <c r="CY56" s="171"/>
      <c r="CZ56" s="171"/>
      <c r="DA56" s="171"/>
      <c r="DB56" s="171"/>
      <c r="DC56" s="171"/>
      <c r="DD56" s="171"/>
      <c r="DE56" s="171"/>
      <c r="DF56" s="171"/>
      <c r="DG56" s="171"/>
      <c r="DH56" s="171"/>
      <c r="DI56" s="171"/>
      <c r="DJ56" s="171"/>
      <c r="DK56" s="171"/>
      <c r="DL56" s="171"/>
      <c r="DM56" s="171"/>
      <c r="DN56" s="171"/>
      <c r="DO56" s="171"/>
      <c r="DP56" s="171"/>
      <c r="DQ56" s="171"/>
      <c r="DR56" s="171"/>
      <c r="DS56" s="171"/>
      <c r="DT56" s="171"/>
      <c r="DU56" s="171"/>
      <c r="DV56" s="171"/>
      <c r="DW56" s="171"/>
      <c r="DX56" s="171"/>
      <c r="DY56" s="171"/>
      <c r="DZ56" s="171"/>
      <c r="EA56" s="171"/>
      <c r="EB56" s="171"/>
      <c r="EC56" s="171"/>
      <c r="ED56" s="171"/>
      <c r="EE56" s="171"/>
      <c r="EF56" s="171"/>
      <c r="EG56" s="171"/>
      <c r="EH56" s="171"/>
      <c r="EI56" s="171"/>
      <c r="EJ56" s="171"/>
      <c r="EK56" s="171"/>
      <c r="EL56" s="171"/>
      <c r="EM56" s="171"/>
      <c r="EN56" s="171"/>
      <c r="EO56" s="171"/>
      <c r="EP56" s="171"/>
      <c r="EQ56" s="171"/>
      <c r="ER56" s="171"/>
      <c r="ES56" s="171"/>
      <c r="ET56" s="171"/>
    </row>
    <row r="57" spans="1:150" s="385" customFormat="1" ht="16.5" customHeight="1">
      <c r="A57" s="377">
        <v>48</v>
      </c>
      <c r="B57" s="378" t="s">
        <v>1513</v>
      </c>
      <c r="C57" s="379">
        <v>1</v>
      </c>
      <c r="D57" s="380" t="s">
        <v>1039</v>
      </c>
      <c r="E57" s="381">
        <v>44724</v>
      </c>
      <c r="F57" s="378" t="s">
        <v>1041</v>
      </c>
      <c r="G57" s="377">
        <v>80002889</v>
      </c>
      <c r="H57" s="379" t="s">
        <v>2140</v>
      </c>
      <c r="I57" s="382">
        <v>1</v>
      </c>
      <c r="J57" s="382">
        <v>8</v>
      </c>
      <c r="K57" s="382">
        <v>7</v>
      </c>
      <c r="L57" s="382">
        <v>1</v>
      </c>
      <c r="M57" s="382">
        <v>1</v>
      </c>
      <c r="N57" s="168">
        <v>3</v>
      </c>
      <c r="O57" s="382">
        <v>5</v>
      </c>
      <c r="P57" s="168">
        <v>3</v>
      </c>
      <c r="Q57" s="382">
        <v>1</v>
      </c>
      <c r="R57" s="167">
        <v>0</v>
      </c>
      <c r="S57" s="161">
        <v>0</v>
      </c>
      <c r="T57" s="161">
        <v>0</v>
      </c>
      <c r="U57" s="383"/>
      <c r="V57" s="167">
        <v>1</v>
      </c>
      <c r="W57" s="377">
        <v>1</v>
      </c>
      <c r="X57" s="167">
        <v>1</v>
      </c>
      <c r="Y57" s="167">
        <v>3</v>
      </c>
      <c r="Z57" s="167">
        <v>8</v>
      </c>
      <c r="AA57" s="167">
        <v>7</v>
      </c>
      <c r="AB57" s="379"/>
      <c r="AC57" s="379"/>
      <c r="AD57" s="384"/>
      <c r="AE57" s="171"/>
      <c r="AF57" s="171" t="s">
        <v>1745</v>
      </c>
      <c r="AG57" s="171" t="s">
        <v>1744</v>
      </c>
      <c r="AH57" s="171" t="s">
        <v>74</v>
      </c>
      <c r="AI57" s="171"/>
      <c r="AJ57" s="171"/>
      <c r="AK57" s="171"/>
      <c r="AL57" s="171"/>
      <c r="AM57" s="171"/>
      <c r="AN57" s="171"/>
      <c r="AO57" s="171"/>
      <c r="AP57" s="171"/>
      <c r="AQ57" s="171"/>
      <c r="AR57" s="171"/>
      <c r="AS57" s="171"/>
      <c r="AT57" s="171"/>
      <c r="AU57" s="171"/>
      <c r="AV57" s="171"/>
      <c r="AW57" s="171"/>
      <c r="AX57" s="171"/>
      <c r="AY57" s="171"/>
      <c r="AZ57" s="171"/>
      <c r="BA57" s="171"/>
      <c r="BB57" s="171"/>
      <c r="BC57" s="171"/>
      <c r="BD57" s="171"/>
      <c r="BE57" s="171"/>
      <c r="BF57" s="171"/>
      <c r="BG57" s="171"/>
      <c r="BH57" s="171"/>
      <c r="BI57" s="171"/>
      <c r="BJ57" s="171"/>
      <c r="BK57" s="171"/>
      <c r="BL57" s="171"/>
      <c r="BM57" s="171"/>
      <c r="BN57" s="171"/>
      <c r="BO57" s="171"/>
      <c r="BP57" s="171"/>
      <c r="BQ57" s="171"/>
      <c r="BR57" s="171"/>
      <c r="BS57" s="171"/>
      <c r="BT57" s="171"/>
      <c r="BU57" s="171"/>
      <c r="BV57" s="171"/>
      <c r="BW57" s="171"/>
      <c r="BX57" s="171"/>
      <c r="BY57" s="171"/>
      <c r="BZ57" s="171"/>
      <c r="CA57" s="171"/>
      <c r="CB57" s="171"/>
      <c r="CC57" s="171"/>
      <c r="CD57" s="171"/>
      <c r="CE57" s="171"/>
      <c r="CF57" s="171"/>
      <c r="CG57" s="171"/>
      <c r="CH57" s="171"/>
      <c r="CI57" s="171"/>
      <c r="CJ57" s="171"/>
      <c r="CK57" s="171"/>
      <c r="CL57" s="171"/>
      <c r="CM57" s="171"/>
      <c r="CN57" s="171"/>
      <c r="CO57" s="171"/>
      <c r="CP57" s="171"/>
      <c r="CQ57" s="171"/>
      <c r="CR57" s="171"/>
      <c r="CS57" s="171"/>
      <c r="CT57" s="171"/>
      <c r="CU57" s="171"/>
      <c r="CV57" s="171"/>
      <c r="CW57" s="171"/>
      <c r="CX57" s="171"/>
      <c r="CY57" s="171"/>
      <c r="CZ57" s="171"/>
      <c r="DA57" s="171"/>
      <c r="DB57" s="171"/>
      <c r="DC57" s="171"/>
      <c r="DD57" s="171"/>
      <c r="DE57" s="171"/>
      <c r="DF57" s="171"/>
      <c r="DG57" s="171"/>
      <c r="DH57" s="171"/>
      <c r="DI57" s="171"/>
      <c r="DJ57" s="171"/>
      <c r="DK57" s="171"/>
      <c r="DL57" s="171"/>
      <c r="DM57" s="171"/>
      <c r="DN57" s="171"/>
      <c r="DO57" s="171"/>
      <c r="DP57" s="171"/>
      <c r="DQ57" s="171"/>
      <c r="DR57" s="171"/>
      <c r="DS57" s="171"/>
      <c r="DT57" s="171"/>
      <c r="DU57" s="171"/>
      <c r="DV57" s="171"/>
      <c r="DW57" s="171"/>
      <c r="DX57" s="171"/>
      <c r="DY57" s="171"/>
      <c r="DZ57" s="171"/>
      <c r="EA57" s="171"/>
      <c r="EB57" s="171"/>
      <c r="EC57" s="171"/>
      <c r="ED57" s="171"/>
      <c r="EE57" s="171"/>
      <c r="EF57" s="171"/>
      <c r="EG57" s="171"/>
      <c r="EH57" s="171"/>
      <c r="EI57" s="171"/>
      <c r="EJ57" s="171"/>
      <c r="EK57" s="171"/>
      <c r="EL57" s="171"/>
      <c r="EM57" s="171"/>
      <c r="EN57" s="171"/>
      <c r="EO57" s="171"/>
      <c r="EP57" s="171"/>
      <c r="EQ57" s="171"/>
      <c r="ER57" s="171"/>
      <c r="ES57" s="171"/>
      <c r="ET57" s="171"/>
    </row>
    <row r="58" spans="1:150" s="385" customFormat="1" ht="16.5" customHeight="1">
      <c r="A58" s="377">
        <v>49</v>
      </c>
      <c r="B58" s="378" t="s">
        <v>1513</v>
      </c>
      <c r="C58" s="379">
        <v>1</v>
      </c>
      <c r="D58" s="380" t="s">
        <v>1061</v>
      </c>
      <c r="E58" s="381">
        <v>44724</v>
      </c>
      <c r="F58" s="378" t="s">
        <v>1063</v>
      </c>
      <c r="G58" s="377">
        <v>80003614</v>
      </c>
      <c r="H58" s="379" t="s">
        <v>2140</v>
      </c>
      <c r="I58" s="382">
        <v>1</v>
      </c>
      <c r="J58" s="382">
        <v>2</v>
      </c>
      <c r="K58" s="382">
        <v>7</v>
      </c>
      <c r="L58" s="382">
        <v>2</v>
      </c>
      <c r="M58" s="382">
        <v>1</v>
      </c>
      <c r="N58" s="168">
        <v>3</v>
      </c>
      <c r="O58" s="382">
        <v>2</v>
      </c>
      <c r="P58" s="382">
        <v>5</v>
      </c>
      <c r="Q58" s="382">
        <v>1</v>
      </c>
      <c r="R58" s="167">
        <v>0</v>
      </c>
      <c r="S58" s="161">
        <v>0</v>
      </c>
      <c r="T58" s="161">
        <v>0</v>
      </c>
      <c r="U58" s="383"/>
      <c r="V58" s="167">
        <v>1</v>
      </c>
      <c r="W58" s="377">
        <v>2</v>
      </c>
      <c r="X58" s="167">
        <v>1</v>
      </c>
      <c r="Y58" s="167">
        <v>3</v>
      </c>
      <c r="Z58" s="167">
        <v>8</v>
      </c>
      <c r="AA58" s="167">
        <v>7</v>
      </c>
      <c r="AB58" s="379"/>
      <c r="AC58" s="379"/>
      <c r="AD58" s="384"/>
      <c r="AE58" s="171"/>
      <c r="AF58" s="171" t="s">
        <v>1745</v>
      </c>
      <c r="AG58" s="171" t="s">
        <v>1744</v>
      </c>
      <c r="AH58" s="171" t="s">
        <v>74</v>
      </c>
      <c r="AI58" s="171"/>
      <c r="AJ58" s="171"/>
      <c r="AK58" s="171"/>
      <c r="AL58" s="171"/>
      <c r="AM58" s="171"/>
      <c r="AN58" s="171"/>
      <c r="AO58" s="171"/>
      <c r="AP58" s="171"/>
      <c r="AQ58" s="171"/>
      <c r="AR58" s="171"/>
      <c r="AS58" s="171"/>
      <c r="AT58" s="171"/>
      <c r="AU58" s="171"/>
      <c r="AV58" s="171"/>
      <c r="AW58" s="171"/>
      <c r="AX58" s="171"/>
      <c r="AY58" s="171"/>
      <c r="AZ58" s="171"/>
      <c r="BA58" s="171"/>
      <c r="BB58" s="171"/>
      <c r="BC58" s="171"/>
      <c r="BD58" s="171"/>
      <c r="BE58" s="171"/>
      <c r="BF58" s="171"/>
      <c r="BG58" s="171"/>
      <c r="BH58" s="171"/>
      <c r="BI58" s="171"/>
      <c r="BJ58" s="171"/>
      <c r="BK58" s="171"/>
      <c r="BL58" s="171"/>
      <c r="BM58" s="171"/>
      <c r="BN58" s="171"/>
      <c r="BO58" s="171"/>
      <c r="BP58" s="171"/>
      <c r="BQ58" s="171"/>
      <c r="BR58" s="171"/>
      <c r="BS58" s="171"/>
      <c r="BT58" s="171"/>
      <c r="BU58" s="171"/>
      <c r="BV58" s="171"/>
      <c r="BW58" s="171"/>
      <c r="BX58" s="171"/>
      <c r="BY58" s="171"/>
      <c r="BZ58" s="171"/>
      <c r="CA58" s="171"/>
      <c r="CB58" s="171"/>
      <c r="CC58" s="171"/>
      <c r="CD58" s="171"/>
      <c r="CE58" s="171"/>
      <c r="CF58" s="171"/>
      <c r="CG58" s="171"/>
      <c r="CH58" s="171"/>
      <c r="CI58" s="171"/>
      <c r="CJ58" s="171"/>
      <c r="CK58" s="171"/>
      <c r="CL58" s="171"/>
      <c r="CM58" s="171"/>
      <c r="CN58" s="171"/>
      <c r="CO58" s="171"/>
      <c r="CP58" s="171"/>
      <c r="CQ58" s="171"/>
      <c r="CR58" s="171"/>
      <c r="CS58" s="171"/>
      <c r="CT58" s="171"/>
      <c r="CU58" s="171"/>
      <c r="CV58" s="171"/>
      <c r="CW58" s="171"/>
      <c r="CX58" s="171"/>
      <c r="CY58" s="171"/>
      <c r="CZ58" s="171"/>
      <c r="DA58" s="171"/>
      <c r="DB58" s="171"/>
      <c r="DC58" s="171"/>
      <c r="DD58" s="171"/>
      <c r="DE58" s="171"/>
      <c r="DF58" s="171"/>
      <c r="DG58" s="171"/>
      <c r="DH58" s="171"/>
      <c r="DI58" s="171"/>
      <c r="DJ58" s="171"/>
      <c r="DK58" s="171"/>
      <c r="DL58" s="171"/>
      <c r="DM58" s="171"/>
      <c r="DN58" s="171"/>
      <c r="DO58" s="171"/>
      <c r="DP58" s="171"/>
      <c r="DQ58" s="171"/>
      <c r="DR58" s="171"/>
      <c r="DS58" s="171"/>
      <c r="DT58" s="171"/>
      <c r="DU58" s="171"/>
      <c r="DV58" s="171"/>
      <c r="DW58" s="171"/>
      <c r="DX58" s="171"/>
      <c r="DY58" s="171"/>
      <c r="DZ58" s="171"/>
      <c r="EA58" s="171"/>
      <c r="EB58" s="171"/>
      <c r="EC58" s="171"/>
      <c r="ED58" s="171"/>
      <c r="EE58" s="171"/>
      <c r="EF58" s="171"/>
      <c r="EG58" s="171"/>
      <c r="EH58" s="171"/>
      <c r="EI58" s="171"/>
      <c r="EJ58" s="171"/>
      <c r="EK58" s="171"/>
      <c r="EL58" s="171"/>
      <c r="EM58" s="171"/>
      <c r="EN58" s="171"/>
      <c r="EO58" s="171"/>
      <c r="EP58" s="171"/>
      <c r="EQ58" s="171"/>
      <c r="ER58" s="171"/>
      <c r="ES58" s="171"/>
      <c r="ET58" s="171"/>
    </row>
    <row r="59" spans="1:150" s="385" customFormat="1" ht="16.5" customHeight="1">
      <c r="A59" s="377">
        <v>50</v>
      </c>
      <c r="B59" s="378" t="s">
        <v>1513</v>
      </c>
      <c r="C59" s="379">
        <v>1</v>
      </c>
      <c r="D59" s="380" t="s">
        <v>1073</v>
      </c>
      <c r="E59" s="381">
        <v>44736</v>
      </c>
      <c r="F59" s="378" t="s">
        <v>1075</v>
      </c>
      <c r="G59" s="377" t="s">
        <v>2001</v>
      </c>
      <c r="H59" s="379" t="s">
        <v>2143</v>
      </c>
      <c r="I59" s="382">
        <v>3</v>
      </c>
      <c r="J59" s="382">
        <v>11</v>
      </c>
      <c r="K59" s="382">
        <v>5</v>
      </c>
      <c r="L59" s="382">
        <v>1</v>
      </c>
      <c r="M59" s="382">
        <v>1</v>
      </c>
      <c r="N59" s="382">
        <v>2</v>
      </c>
      <c r="O59" s="382">
        <v>5</v>
      </c>
      <c r="P59" s="168">
        <v>3</v>
      </c>
      <c r="Q59" s="382">
        <v>5</v>
      </c>
      <c r="R59" s="167">
        <v>0</v>
      </c>
      <c r="S59" s="161">
        <v>0</v>
      </c>
      <c r="T59" s="161">
        <v>0</v>
      </c>
      <c r="U59" s="383"/>
      <c r="V59" s="379">
        <v>5</v>
      </c>
      <c r="W59" s="377">
        <v>2</v>
      </c>
      <c r="X59" s="167">
        <v>10</v>
      </c>
      <c r="Y59" s="379">
        <v>3</v>
      </c>
      <c r="Z59" s="167">
        <v>8</v>
      </c>
      <c r="AA59" s="167">
        <v>7</v>
      </c>
      <c r="AB59" s="379">
        <v>4</v>
      </c>
      <c r="AC59" s="379"/>
      <c r="AD59" s="384"/>
      <c r="AE59" s="171"/>
      <c r="AF59" s="171" t="s">
        <v>2000</v>
      </c>
      <c r="AG59" s="171" t="s">
        <v>1697</v>
      </c>
      <c r="AH59" s="171" t="s">
        <v>74</v>
      </c>
      <c r="AI59" s="171"/>
      <c r="AJ59" s="171"/>
      <c r="AK59" s="171"/>
      <c r="AL59" s="171"/>
      <c r="AM59" s="171"/>
      <c r="AN59" s="171"/>
      <c r="AO59" s="171"/>
      <c r="AP59" s="171"/>
      <c r="AQ59" s="171"/>
      <c r="AR59" s="171"/>
      <c r="AS59" s="171"/>
      <c r="AT59" s="171"/>
      <c r="AU59" s="171"/>
      <c r="AV59" s="171"/>
      <c r="AW59" s="171"/>
      <c r="AX59" s="171"/>
      <c r="AY59" s="171"/>
      <c r="AZ59" s="171"/>
      <c r="BA59" s="171"/>
      <c r="BB59" s="171"/>
      <c r="BC59" s="171"/>
      <c r="BD59" s="171"/>
      <c r="BE59" s="171"/>
      <c r="BF59" s="171"/>
      <c r="BG59" s="171"/>
      <c r="BH59" s="171"/>
      <c r="BI59" s="171"/>
      <c r="BJ59" s="171"/>
      <c r="BK59" s="171"/>
      <c r="BL59" s="171"/>
      <c r="BM59" s="171"/>
      <c r="BN59" s="171"/>
      <c r="BO59" s="171"/>
      <c r="BP59" s="171"/>
      <c r="BQ59" s="171"/>
      <c r="BR59" s="171"/>
      <c r="BS59" s="171"/>
      <c r="BT59" s="171"/>
      <c r="BU59" s="171"/>
      <c r="BV59" s="171"/>
      <c r="BW59" s="171"/>
      <c r="BX59" s="171"/>
      <c r="BY59" s="171"/>
      <c r="BZ59" s="171"/>
      <c r="CA59" s="171"/>
      <c r="CB59" s="171"/>
      <c r="CC59" s="171"/>
      <c r="CD59" s="171"/>
      <c r="CE59" s="171"/>
      <c r="CF59" s="171"/>
      <c r="CG59" s="171"/>
      <c r="CH59" s="171"/>
      <c r="CI59" s="171"/>
      <c r="CJ59" s="171"/>
      <c r="CK59" s="171"/>
      <c r="CL59" s="171"/>
      <c r="CM59" s="171"/>
      <c r="CN59" s="171"/>
      <c r="CO59" s="171"/>
      <c r="CP59" s="171"/>
      <c r="CQ59" s="171"/>
      <c r="CR59" s="171"/>
      <c r="CS59" s="171"/>
      <c r="CT59" s="171"/>
      <c r="CU59" s="171"/>
      <c r="CV59" s="171"/>
      <c r="CW59" s="171"/>
      <c r="CX59" s="171"/>
      <c r="CY59" s="171"/>
      <c r="CZ59" s="171"/>
      <c r="DA59" s="171"/>
      <c r="DB59" s="171"/>
      <c r="DC59" s="171"/>
      <c r="DD59" s="171"/>
      <c r="DE59" s="171"/>
      <c r="DF59" s="171"/>
      <c r="DG59" s="171"/>
      <c r="DH59" s="171"/>
      <c r="DI59" s="171"/>
      <c r="DJ59" s="171"/>
      <c r="DK59" s="171"/>
      <c r="DL59" s="171"/>
      <c r="DM59" s="171"/>
      <c r="DN59" s="171"/>
      <c r="DO59" s="171"/>
      <c r="DP59" s="171"/>
      <c r="DQ59" s="171"/>
      <c r="DR59" s="171"/>
      <c r="DS59" s="171"/>
      <c r="DT59" s="171"/>
      <c r="DU59" s="171"/>
      <c r="DV59" s="171"/>
      <c r="DW59" s="171"/>
      <c r="DX59" s="171"/>
      <c r="DY59" s="171"/>
      <c r="DZ59" s="171"/>
      <c r="EA59" s="171"/>
      <c r="EB59" s="171"/>
      <c r="EC59" s="171"/>
      <c r="ED59" s="171"/>
      <c r="EE59" s="171"/>
      <c r="EF59" s="171"/>
      <c r="EG59" s="171"/>
      <c r="EH59" s="171"/>
      <c r="EI59" s="171"/>
      <c r="EJ59" s="171"/>
      <c r="EK59" s="171"/>
      <c r="EL59" s="171"/>
      <c r="EM59" s="171"/>
      <c r="EN59" s="171"/>
      <c r="EO59" s="171"/>
      <c r="EP59" s="171"/>
      <c r="EQ59" s="171"/>
      <c r="ER59" s="171"/>
      <c r="ES59" s="171"/>
      <c r="ET59" s="171"/>
    </row>
    <row r="60" spans="1:150" s="385" customFormat="1" ht="16.5" customHeight="1">
      <c r="A60" s="377">
        <v>51</v>
      </c>
      <c r="B60" s="378" t="s">
        <v>1513</v>
      </c>
      <c r="C60" s="379">
        <v>1</v>
      </c>
      <c r="D60" s="380" t="s">
        <v>1096</v>
      </c>
      <c r="E60" s="381">
        <v>44738</v>
      </c>
      <c r="F60" s="378" t="s">
        <v>1098</v>
      </c>
      <c r="G60" s="377">
        <v>80001108</v>
      </c>
      <c r="H60" s="379" t="s">
        <v>2140</v>
      </c>
      <c r="I60" s="382">
        <v>2</v>
      </c>
      <c r="J60" s="382">
        <v>2</v>
      </c>
      <c r="K60" s="382">
        <v>7</v>
      </c>
      <c r="L60" s="382">
        <v>2</v>
      </c>
      <c r="M60" s="382">
        <v>2</v>
      </c>
      <c r="N60" s="382">
        <v>5</v>
      </c>
      <c r="O60" s="382">
        <v>4</v>
      </c>
      <c r="P60" s="382">
        <v>2</v>
      </c>
      <c r="Q60" s="382">
        <v>3</v>
      </c>
      <c r="R60" s="167">
        <v>0</v>
      </c>
      <c r="S60" s="161">
        <v>0</v>
      </c>
      <c r="T60" s="161">
        <v>0</v>
      </c>
      <c r="U60" s="383"/>
      <c r="V60" s="167">
        <v>1</v>
      </c>
      <c r="W60" s="377">
        <v>1</v>
      </c>
      <c r="X60" s="167">
        <v>1</v>
      </c>
      <c r="Y60" s="379">
        <v>3</v>
      </c>
      <c r="Z60" s="167">
        <v>8</v>
      </c>
      <c r="AA60" s="379">
        <v>1</v>
      </c>
      <c r="AB60" s="379"/>
      <c r="AC60" s="379"/>
      <c r="AD60" s="384"/>
      <c r="AE60" s="171"/>
      <c r="AF60" s="171" t="s">
        <v>1831</v>
      </c>
      <c r="AG60" s="171" t="s">
        <v>1744</v>
      </c>
      <c r="AH60" s="171" t="s">
        <v>74</v>
      </c>
      <c r="AI60" s="171"/>
      <c r="AJ60" s="171"/>
      <c r="AK60" s="171"/>
      <c r="AL60" s="171"/>
      <c r="AM60" s="171"/>
      <c r="AN60" s="171"/>
      <c r="AO60" s="171"/>
      <c r="AP60" s="171"/>
      <c r="AQ60" s="171"/>
      <c r="AR60" s="171"/>
      <c r="AS60" s="171"/>
      <c r="AT60" s="171"/>
      <c r="AU60" s="171"/>
      <c r="AV60" s="171"/>
      <c r="AW60" s="171"/>
      <c r="AX60" s="171"/>
      <c r="AY60" s="171"/>
      <c r="AZ60" s="171"/>
      <c r="BA60" s="171"/>
      <c r="BB60" s="171"/>
      <c r="BC60" s="171"/>
      <c r="BD60" s="171"/>
      <c r="BE60" s="171"/>
      <c r="BF60" s="171"/>
      <c r="BG60" s="171"/>
      <c r="BH60" s="171"/>
      <c r="BI60" s="171"/>
      <c r="BJ60" s="171"/>
      <c r="BK60" s="171"/>
      <c r="BL60" s="171"/>
      <c r="BM60" s="171"/>
      <c r="BN60" s="171"/>
      <c r="BO60" s="171"/>
      <c r="BP60" s="171"/>
      <c r="BQ60" s="171"/>
      <c r="BR60" s="171"/>
      <c r="BS60" s="171"/>
      <c r="BT60" s="171"/>
      <c r="BU60" s="171"/>
      <c r="BV60" s="171"/>
      <c r="BW60" s="171"/>
      <c r="BX60" s="171"/>
      <c r="BY60" s="171"/>
      <c r="BZ60" s="171"/>
      <c r="CA60" s="171"/>
      <c r="CB60" s="171"/>
      <c r="CC60" s="171"/>
      <c r="CD60" s="171"/>
      <c r="CE60" s="171"/>
      <c r="CF60" s="171"/>
      <c r="CG60" s="171"/>
      <c r="CH60" s="171"/>
      <c r="CI60" s="171"/>
      <c r="CJ60" s="171"/>
      <c r="CK60" s="171"/>
      <c r="CL60" s="171"/>
      <c r="CM60" s="171"/>
      <c r="CN60" s="171"/>
      <c r="CO60" s="171"/>
      <c r="CP60" s="171"/>
      <c r="CQ60" s="171"/>
      <c r="CR60" s="171"/>
      <c r="CS60" s="171"/>
      <c r="CT60" s="171"/>
      <c r="CU60" s="171"/>
      <c r="CV60" s="171"/>
      <c r="CW60" s="171"/>
      <c r="CX60" s="171"/>
      <c r="CY60" s="171"/>
      <c r="CZ60" s="171"/>
      <c r="DA60" s="171"/>
      <c r="DB60" s="171"/>
      <c r="DC60" s="171"/>
      <c r="DD60" s="171"/>
      <c r="DE60" s="171"/>
      <c r="DF60" s="171"/>
      <c r="DG60" s="171"/>
      <c r="DH60" s="171"/>
      <c r="DI60" s="171"/>
      <c r="DJ60" s="171"/>
      <c r="DK60" s="171"/>
      <c r="DL60" s="171"/>
      <c r="DM60" s="171"/>
      <c r="DN60" s="171"/>
      <c r="DO60" s="171"/>
      <c r="DP60" s="171"/>
      <c r="DQ60" s="171"/>
      <c r="DR60" s="171"/>
      <c r="DS60" s="171"/>
      <c r="DT60" s="171"/>
      <c r="DU60" s="171"/>
      <c r="DV60" s="171"/>
      <c r="DW60" s="171"/>
      <c r="DX60" s="171"/>
      <c r="DY60" s="171"/>
      <c r="DZ60" s="171"/>
      <c r="EA60" s="171"/>
      <c r="EB60" s="171"/>
      <c r="EC60" s="171"/>
      <c r="ED60" s="171"/>
      <c r="EE60" s="171"/>
      <c r="EF60" s="171"/>
      <c r="EG60" s="171"/>
      <c r="EH60" s="171"/>
      <c r="EI60" s="171"/>
      <c r="EJ60" s="171"/>
      <c r="EK60" s="171"/>
      <c r="EL60" s="171"/>
      <c r="EM60" s="171"/>
      <c r="EN60" s="171"/>
      <c r="EO60" s="171"/>
      <c r="EP60" s="171"/>
      <c r="EQ60" s="171"/>
      <c r="ER60" s="171"/>
      <c r="ES60" s="171"/>
      <c r="ET60" s="171"/>
    </row>
    <row r="61" spans="1:150" s="385" customFormat="1" ht="16.5" customHeight="1">
      <c r="A61" s="377">
        <v>52</v>
      </c>
      <c r="B61" s="378" t="s">
        <v>1513</v>
      </c>
      <c r="C61" s="379">
        <v>1</v>
      </c>
      <c r="D61" s="380" t="s">
        <v>1114</v>
      </c>
      <c r="E61" s="381">
        <v>44749</v>
      </c>
      <c r="F61" s="378" t="s">
        <v>1116</v>
      </c>
      <c r="G61" s="377">
        <v>80002254</v>
      </c>
      <c r="H61" s="379" t="s">
        <v>2143</v>
      </c>
      <c r="I61" s="382">
        <v>4</v>
      </c>
      <c r="J61" s="382">
        <v>23</v>
      </c>
      <c r="K61" s="382">
        <v>4</v>
      </c>
      <c r="L61" s="382">
        <v>2</v>
      </c>
      <c r="M61" s="382">
        <v>3</v>
      </c>
      <c r="N61" s="382">
        <v>2</v>
      </c>
      <c r="O61" s="382">
        <v>2</v>
      </c>
      <c r="P61" s="382">
        <v>1</v>
      </c>
      <c r="Q61" s="382">
        <v>4</v>
      </c>
      <c r="R61" s="379">
        <v>2</v>
      </c>
      <c r="S61" s="161">
        <v>0</v>
      </c>
      <c r="T61" s="161">
        <v>0</v>
      </c>
      <c r="U61" s="383"/>
      <c r="V61" s="379">
        <v>4</v>
      </c>
      <c r="W61" s="377">
        <v>2</v>
      </c>
      <c r="X61" s="379">
        <v>11</v>
      </c>
      <c r="Y61" s="379">
        <v>7</v>
      </c>
      <c r="Z61" s="167">
        <v>3</v>
      </c>
      <c r="AA61" s="167">
        <v>7</v>
      </c>
      <c r="AB61" s="379">
        <v>4</v>
      </c>
      <c r="AC61" s="379"/>
      <c r="AD61" s="384"/>
      <c r="AE61" s="171"/>
      <c r="AF61" s="171" t="s">
        <v>2010</v>
      </c>
      <c r="AG61" s="171" t="s">
        <v>1841</v>
      </c>
      <c r="AH61" s="171" t="s">
        <v>74</v>
      </c>
      <c r="AI61" s="171"/>
      <c r="AJ61" s="171"/>
      <c r="AK61" s="171"/>
      <c r="AL61" s="171"/>
      <c r="AM61" s="171"/>
      <c r="AN61" s="171"/>
      <c r="AO61" s="171"/>
      <c r="AP61" s="171"/>
      <c r="AQ61" s="171"/>
      <c r="AR61" s="171"/>
      <c r="AS61" s="171"/>
      <c r="AT61" s="171"/>
      <c r="AU61" s="171"/>
      <c r="AV61" s="171"/>
      <c r="AW61" s="171"/>
      <c r="AX61" s="171"/>
      <c r="AY61" s="171"/>
      <c r="AZ61" s="171"/>
      <c r="BA61" s="171"/>
      <c r="BB61" s="171"/>
      <c r="BC61" s="171"/>
      <c r="BD61" s="171"/>
      <c r="BE61" s="171"/>
      <c r="BF61" s="171"/>
      <c r="BG61" s="171"/>
      <c r="BH61" s="171"/>
      <c r="BI61" s="171"/>
      <c r="BJ61" s="171"/>
      <c r="BK61" s="171"/>
      <c r="BL61" s="171"/>
      <c r="BM61" s="171"/>
      <c r="BN61" s="171"/>
      <c r="BO61" s="171"/>
      <c r="BP61" s="171"/>
      <c r="BQ61" s="171"/>
      <c r="BR61" s="171"/>
      <c r="BS61" s="171"/>
      <c r="BT61" s="171"/>
      <c r="BU61" s="171"/>
      <c r="BV61" s="171"/>
      <c r="BW61" s="171"/>
      <c r="BX61" s="171"/>
      <c r="BY61" s="171"/>
      <c r="BZ61" s="171"/>
      <c r="CA61" s="171"/>
      <c r="CB61" s="171"/>
      <c r="CC61" s="171"/>
      <c r="CD61" s="171"/>
      <c r="CE61" s="171"/>
      <c r="CF61" s="171"/>
      <c r="CG61" s="171"/>
      <c r="CH61" s="171"/>
      <c r="CI61" s="171"/>
      <c r="CJ61" s="171"/>
      <c r="CK61" s="171"/>
      <c r="CL61" s="171"/>
      <c r="CM61" s="171"/>
      <c r="CN61" s="171"/>
      <c r="CO61" s="171"/>
      <c r="CP61" s="171"/>
      <c r="CQ61" s="171"/>
      <c r="CR61" s="171"/>
      <c r="CS61" s="171"/>
      <c r="CT61" s="171"/>
      <c r="CU61" s="171"/>
      <c r="CV61" s="171"/>
      <c r="CW61" s="171"/>
      <c r="CX61" s="171"/>
      <c r="CY61" s="171"/>
      <c r="CZ61" s="171"/>
      <c r="DA61" s="171"/>
      <c r="DB61" s="171"/>
      <c r="DC61" s="171"/>
      <c r="DD61" s="171"/>
      <c r="DE61" s="171"/>
      <c r="DF61" s="171"/>
      <c r="DG61" s="171"/>
      <c r="DH61" s="171"/>
      <c r="DI61" s="171"/>
      <c r="DJ61" s="171"/>
      <c r="DK61" s="171"/>
      <c r="DL61" s="171"/>
      <c r="DM61" s="171"/>
      <c r="DN61" s="171"/>
      <c r="DO61" s="171"/>
      <c r="DP61" s="171"/>
      <c r="DQ61" s="171"/>
      <c r="DR61" s="171"/>
      <c r="DS61" s="171"/>
      <c r="DT61" s="171"/>
      <c r="DU61" s="171"/>
      <c r="DV61" s="171"/>
      <c r="DW61" s="171"/>
      <c r="DX61" s="171"/>
      <c r="DY61" s="171"/>
      <c r="DZ61" s="171"/>
      <c r="EA61" s="171"/>
      <c r="EB61" s="171"/>
      <c r="EC61" s="171"/>
      <c r="ED61" s="171"/>
      <c r="EE61" s="171"/>
      <c r="EF61" s="171"/>
      <c r="EG61" s="171"/>
      <c r="EH61" s="171"/>
      <c r="EI61" s="171"/>
      <c r="EJ61" s="171"/>
      <c r="EK61" s="171"/>
      <c r="EL61" s="171"/>
      <c r="EM61" s="171"/>
      <c r="EN61" s="171"/>
      <c r="EO61" s="171"/>
      <c r="EP61" s="171"/>
      <c r="EQ61" s="171"/>
      <c r="ER61" s="171"/>
      <c r="ES61" s="171"/>
      <c r="ET61" s="171"/>
    </row>
    <row r="62" spans="1:150" s="385" customFormat="1" ht="16.5" customHeight="1">
      <c r="A62" s="377">
        <v>53</v>
      </c>
      <c r="B62" s="378" t="s">
        <v>1513</v>
      </c>
      <c r="C62" s="379">
        <v>1</v>
      </c>
      <c r="D62" s="380" t="s">
        <v>1141</v>
      </c>
      <c r="E62" s="381">
        <v>44749</v>
      </c>
      <c r="F62" s="378" t="s">
        <v>1143</v>
      </c>
      <c r="G62" s="377">
        <v>80003024</v>
      </c>
      <c r="H62" s="379" t="s">
        <v>2140</v>
      </c>
      <c r="I62" s="382">
        <v>1</v>
      </c>
      <c r="J62" s="382">
        <v>1</v>
      </c>
      <c r="K62" s="382">
        <v>4</v>
      </c>
      <c r="L62" s="382">
        <v>2</v>
      </c>
      <c r="M62" s="382">
        <v>1</v>
      </c>
      <c r="N62" s="168">
        <v>3</v>
      </c>
      <c r="O62" s="382">
        <v>3</v>
      </c>
      <c r="P62" s="168">
        <v>3</v>
      </c>
      <c r="Q62" s="382">
        <v>1</v>
      </c>
      <c r="R62" s="167">
        <v>0</v>
      </c>
      <c r="S62" s="161">
        <v>0</v>
      </c>
      <c r="T62" s="161">
        <v>0</v>
      </c>
      <c r="U62" s="383"/>
      <c r="V62" s="167">
        <v>1</v>
      </c>
      <c r="W62" s="377">
        <v>1</v>
      </c>
      <c r="X62" s="167">
        <v>2</v>
      </c>
      <c r="Y62" s="379">
        <v>3</v>
      </c>
      <c r="Z62" s="167">
        <v>8</v>
      </c>
      <c r="AA62" s="167">
        <v>7</v>
      </c>
      <c r="AB62" s="379"/>
      <c r="AC62" s="379"/>
      <c r="AD62" s="384"/>
      <c r="AE62" s="171"/>
      <c r="AF62" s="171" t="s">
        <v>1745</v>
      </c>
      <c r="AG62" s="171" t="s">
        <v>2016</v>
      </c>
      <c r="AH62" s="171" t="s">
        <v>74</v>
      </c>
      <c r="AI62" s="171"/>
      <c r="AJ62" s="171"/>
      <c r="AK62" s="171"/>
      <c r="AL62" s="171"/>
      <c r="AM62" s="171"/>
      <c r="AN62" s="171"/>
      <c r="AO62" s="171"/>
      <c r="AP62" s="171"/>
      <c r="AQ62" s="171"/>
      <c r="AR62" s="171"/>
      <c r="AS62" s="171"/>
      <c r="AT62" s="171"/>
      <c r="AU62" s="171"/>
      <c r="AV62" s="171"/>
      <c r="AW62" s="171"/>
      <c r="AX62" s="171"/>
      <c r="AY62" s="171"/>
      <c r="AZ62" s="171"/>
      <c r="BA62" s="171"/>
      <c r="BB62" s="171"/>
      <c r="BC62" s="171"/>
      <c r="BD62" s="171"/>
      <c r="BE62" s="171"/>
      <c r="BF62" s="171"/>
      <c r="BG62" s="171"/>
      <c r="BH62" s="171"/>
      <c r="BI62" s="171"/>
      <c r="BJ62" s="171"/>
      <c r="BK62" s="171"/>
      <c r="BL62" s="171"/>
      <c r="BM62" s="171"/>
      <c r="BN62" s="171"/>
      <c r="BO62" s="171"/>
      <c r="BP62" s="171"/>
      <c r="BQ62" s="171"/>
      <c r="BR62" s="171"/>
      <c r="BS62" s="171"/>
      <c r="BT62" s="171"/>
      <c r="BU62" s="171"/>
      <c r="BV62" s="171"/>
      <c r="BW62" s="171"/>
      <c r="BX62" s="171"/>
      <c r="BY62" s="171"/>
      <c r="BZ62" s="171"/>
      <c r="CA62" s="171"/>
      <c r="CB62" s="171"/>
      <c r="CC62" s="171"/>
      <c r="CD62" s="171"/>
      <c r="CE62" s="171"/>
      <c r="CF62" s="171"/>
      <c r="CG62" s="171"/>
      <c r="CH62" s="171"/>
      <c r="CI62" s="171"/>
      <c r="CJ62" s="171"/>
      <c r="CK62" s="171"/>
      <c r="CL62" s="171"/>
      <c r="CM62" s="171"/>
      <c r="CN62" s="171"/>
      <c r="CO62" s="171"/>
      <c r="CP62" s="171"/>
      <c r="CQ62" s="171"/>
      <c r="CR62" s="171"/>
      <c r="CS62" s="171"/>
      <c r="CT62" s="171"/>
      <c r="CU62" s="171"/>
      <c r="CV62" s="171"/>
      <c r="CW62" s="171"/>
      <c r="CX62" s="171"/>
      <c r="CY62" s="171"/>
      <c r="CZ62" s="171"/>
      <c r="DA62" s="171"/>
      <c r="DB62" s="171"/>
      <c r="DC62" s="171"/>
      <c r="DD62" s="171"/>
      <c r="DE62" s="171"/>
      <c r="DF62" s="171"/>
      <c r="DG62" s="171"/>
      <c r="DH62" s="171"/>
      <c r="DI62" s="171"/>
      <c r="DJ62" s="171"/>
      <c r="DK62" s="171"/>
      <c r="DL62" s="171"/>
      <c r="DM62" s="171"/>
      <c r="DN62" s="171"/>
      <c r="DO62" s="171"/>
      <c r="DP62" s="171"/>
      <c r="DQ62" s="171"/>
      <c r="DR62" s="171"/>
      <c r="DS62" s="171"/>
      <c r="DT62" s="171"/>
      <c r="DU62" s="171"/>
      <c r="DV62" s="171"/>
      <c r="DW62" s="171"/>
      <c r="DX62" s="171"/>
      <c r="DY62" s="171"/>
      <c r="DZ62" s="171"/>
      <c r="EA62" s="171"/>
      <c r="EB62" s="171"/>
      <c r="EC62" s="171"/>
      <c r="ED62" s="171"/>
      <c r="EE62" s="171"/>
      <c r="EF62" s="171"/>
      <c r="EG62" s="171"/>
      <c r="EH62" s="171"/>
      <c r="EI62" s="171"/>
      <c r="EJ62" s="171"/>
      <c r="EK62" s="171"/>
      <c r="EL62" s="171"/>
      <c r="EM62" s="171"/>
      <c r="EN62" s="171"/>
      <c r="EO62" s="171"/>
      <c r="EP62" s="171"/>
      <c r="EQ62" s="171"/>
      <c r="ER62" s="171"/>
      <c r="ES62" s="171"/>
      <c r="ET62" s="171"/>
    </row>
    <row r="63" spans="1:150" s="385" customFormat="1" ht="16.5" customHeight="1">
      <c r="A63" s="377">
        <v>54</v>
      </c>
      <c r="B63" s="378" t="s">
        <v>1513</v>
      </c>
      <c r="C63" s="379">
        <v>1</v>
      </c>
      <c r="D63" s="380" t="s">
        <v>1157</v>
      </c>
      <c r="E63" s="381">
        <v>44754</v>
      </c>
      <c r="F63" s="378" t="s">
        <v>1159</v>
      </c>
      <c r="G63" s="377">
        <v>80000502</v>
      </c>
      <c r="H63" s="379" t="s">
        <v>2140</v>
      </c>
      <c r="I63" s="382">
        <v>1</v>
      </c>
      <c r="J63" s="382">
        <v>4</v>
      </c>
      <c r="K63" s="382">
        <v>3</v>
      </c>
      <c r="L63" s="382">
        <v>2</v>
      </c>
      <c r="M63" s="382">
        <v>1</v>
      </c>
      <c r="N63" s="168">
        <v>3</v>
      </c>
      <c r="O63" s="382">
        <v>4</v>
      </c>
      <c r="P63" s="168">
        <v>3</v>
      </c>
      <c r="Q63" s="382">
        <v>1</v>
      </c>
      <c r="R63" s="167">
        <v>0</v>
      </c>
      <c r="S63" s="161">
        <v>0</v>
      </c>
      <c r="T63" s="161">
        <v>0</v>
      </c>
      <c r="U63" s="383"/>
      <c r="V63" s="167">
        <v>1</v>
      </c>
      <c r="W63" s="377">
        <v>2</v>
      </c>
      <c r="X63" s="167">
        <v>2</v>
      </c>
      <c r="Y63" s="379">
        <v>16</v>
      </c>
      <c r="Z63" s="167">
        <v>8</v>
      </c>
      <c r="AA63" s="167">
        <v>7</v>
      </c>
      <c r="AB63" s="379"/>
      <c r="AC63" s="379"/>
      <c r="AD63" s="384"/>
      <c r="AE63" s="171"/>
      <c r="AF63" s="171" t="s">
        <v>2021</v>
      </c>
      <c r="AG63" s="171" t="s">
        <v>1818</v>
      </c>
      <c r="AH63" s="171" t="s">
        <v>74</v>
      </c>
      <c r="AI63" s="171"/>
      <c r="AJ63" s="171"/>
      <c r="AK63" s="171"/>
      <c r="AL63" s="171"/>
      <c r="AM63" s="171"/>
      <c r="AN63" s="171"/>
      <c r="AO63" s="171"/>
      <c r="AP63" s="171"/>
      <c r="AQ63" s="171"/>
      <c r="AR63" s="171"/>
      <c r="AS63" s="171"/>
      <c r="AT63" s="171"/>
      <c r="AU63" s="171"/>
      <c r="AV63" s="171"/>
      <c r="AW63" s="171"/>
      <c r="AX63" s="171"/>
      <c r="AY63" s="171"/>
      <c r="AZ63" s="171"/>
      <c r="BA63" s="171"/>
      <c r="BB63" s="171"/>
      <c r="BC63" s="171"/>
      <c r="BD63" s="171"/>
      <c r="BE63" s="171"/>
      <c r="BF63" s="171"/>
      <c r="BG63" s="171"/>
      <c r="BH63" s="171"/>
      <c r="BI63" s="171"/>
      <c r="BJ63" s="171"/>
      <c r="BK63" s="171"/>
      <c r="BL63" s="171"/>
      <c r="BM63" s="171"/>
      <c r="BN63" s="171"/>
      <c r="BO63" s="171"/>
      <c r="BP63" s="171"/>
      <c r="BQ63" s="171"/>
      <c r="BR63" s="171"/>
      <c r="BS63" s="171"/>
      <c r="BT63" s="171"/>
      <c r="BU63" s="171"/>
      <c r="BV63" s="171"/>
      <c r="BW63" s="171"/>
      <c r="BX63" s="171"/>
      <c r="BY63" s="171"/>
      <c r="BZ63" s="171"/>
      <c r="CA63" s="171"/>
      <c r="CB63" s="171"/>
      <c r="CC63" s="171"/>
      <c r="CD63" s="171"/>
      <c r="CE63" s="171"/>
      <c r="CF63" s="171"/>
      <c r="CG63" s="171"/>
      <c r="CH63" s="171"/>
      <c r="CI63" s="171"/>
      <c r="CJ63" s="171"/>
      <c r="CK63" s="171"/>
      <c r="CL63" s="171"/>
      <c r="CM63" s="171"/>
      <c r="CN63" s="171"/>
      <c r="CO63" s="171"/>
      <c r="CP63" s="171"/>
      <c r="CQ63" s="171"/>
      <c r="CR63" s="171"/>
      <c r="CS63" s="171"/>
      <c r="CT63" s="171"/>
      <c r="CU63" s="171"/>
      <c r="CV63" s="171"/>
      <c r="CW63" s="171"/>
      <c r="CX63" s="171"/>
      <c r="CY63" s="171"/>
      <c r="CZ63" s="171"/>
      <c r="DA63" s="171"/>
      <c r="DB63" s="171"/>
      <c r="DC63" s="171"/>
      <c r="DD63" s="171"/>
      <c r="DE63" s="171"/>
      <c r="DF63" s="171"/>
      <c r="DG63" s="171"/>
      <c r="DH63" s="171"/>
      <c r="DI63" s="171"/>
      <c r="DJ63" s="171"/>
      <c r="DK63" s="171"/>
      <c r="DL63" s="171"/>
      <c r="DM63" s="171"/>
      <c r="DN63" s="171"/>
      <c r="DO63" s="171"/>
      <c r="DP63" s="171"/>
      <c r="DQ63" s="171"/>
      <c r="DR63" s="171"/>
      <c r="DS63" s="171"/>
      <c r="DT63" s="171"/>
      <c r="DU63" s="171"/>
      <c r="DV63" s="171"/>
      <c r="DW63" s="171"/>
      <c r="DX63" s="171"/>
      <c r="DY63" s="171"/>
      <c r="DZ63" s="171"/>
      <c r="EA63" s="171"/>
      <c r="EB63" s="171"/>
      <c r="EC63" s="171"/>
      <c r="ED63" s="171"/>
      <c r="EE63" s="171"/>
      <c r="EF63" s="171"/>
      <c r="EG63" s="171"/>
      <c r="EH63" s="171"/>
      <c r="EI63" s="171"/>
      <c r="EJ63" s="171"/>
      <c r="EK63" s="171"/>
      <c r="EL63" s="171"/>
      <c r="EM63" s="171"/>
      <c r="EN63" s="171"/>
      <c r="EO63" s="171"/>
      <c r="EP63" s="171"/>
      <c r="EQ63" s="171"/>
      <c r="ER63" s="171"/>
      <c r="ES63" s="171"/>
      <c r="ET63" s="171"/>
    </row>
    <row r="64" spans="1:150" s="385" customFormat="1" ht="16.5" customHeight="1">
      <c r="A64" s="377">
        <f>A63+1</f>
        <v>55</v>
      </c>
      <c r="B64" s="378" t="s">
        <v>1513</v>
      </c>
      <c r="C64" s="379">
        <v>1</v>
      </c>
      <c r="D64" s="380" t="s">
        <v>1173</v>
      </c>
      <c r="E64" s="381">
        <v>44758</v>
      </c>
      <c r="F64" s="378" t="s">
        <v>1175</v>
      </c>
      <c r="G64" s="377">
        <v>80002361</v>
      </c>
      <c r="H64" s="379" t="s">
        <v>2140</v>
      </c>
      <c r="I64" s="382">
        <v>1</v>
      </c>
      <c r="J64" s="382">
        <v>20</v>
      </c>
      <c r="K64" s="382">
        <v>6</v>
      </c>
      <c r="L64" s="382">
        <v>2</v>
      </c>
      <c r="M64" s="382">
        <v>1</v>
      </c>
      <c r="N64" s="382">
        <v>2</v>
      </c>
      <c r="O64" s="382">
        <v>3</v>
      </c>
      <c r="P64" s="168">
        <v>3</v>
      </c>
      <c r="Q64" s="382">
        <v>1</v>
      </c>
      <c r="R64" s="379">
        <v>2</v>
      </c>
      <c r="S64" s="161">
        <v>0</v>
      </c>
      <c r="T64" s="161">
        <v>0</v>
      </c>
      <c r="U64" s="383"/>
      <c r="V64" s="379">
        <v>4</v>
      </c>
      <c r="W64" s="377">
        <v>1</v>
      </c>
      <c r="X64" s="167">
        <v>2</v>
      </c>
      <c r="Y64" s="379">
        <v>4</v>
      </c>
      <c r="Z64" s="167">
        <v>8</v>
      </c>
      <c r="AA64" s="167">
        <v>7</v>
      </c>
      <c r="AB64" s="379"/>
      <c r="AC64" s="379"/>
      <c r="AD64" s="384"/>
      <c r="AE64" s="171"/>
      <c r="AF64" s="171" t="s">
        <v>1850</v>
      </c>
      <c r="AG64" s="171" t="s">
        <v>1818</v>
      </c>
      <c r="AH64" s="171" t="s">
        <v>74</v>
      </c>
      <c r="AI64" s="171"/>
      <c r="AJ64" s="171"/>
      <c r="AK64" s="171"/>
      <c r="AL64" s="171"/>
      <c r="AM64" s="171"/>
      <c r="AN64" s="171"/>
      <c r="AO64" s="171"/>
      <c r="AP64" s="171"/>
      <c r="AQ64" s="171"/>
      <c r="AR64" s="171"/>
      <c r="AS64" s="171"/>
      <c r="AT64" s="171"/>
      <c r="AU64" s="171"/>
      <c r="AV64" s="171"/>
      <c r="AW64" s="171"/>
      <c r="AX64" s="171"/>
      <c r="AY64" s="171"/>
      <c r="AZ64" s="171"/>
      <c r="BA64" s="171"/>
      <c r="BB64" s="171"/>
      <c r="BC64" s="171"/>
      <c r="BD64" s="171"/>
      <c r="BE64" s="171"/>
      <c r="BF64" s="171"/>
      <c r="BG64" s="171"/>
      <c r="BH64" s="171"/>
      <c r="BI64" s="171"/>
      <c r="BJ64" s="171"/>
      <c r="BK64" s="171"/>
      <c r="BL64" s="171"/>
      <c r="BM64" s="171"/>
      <c r="BN64" s="171"/>
      <c r="BO64" s="171"/>
      <c r="BP64" s="171"/>
      <c r="BQ64" s="171"/>
      <c r="BR64" s="171"/>
      <c r="BS64" s="171"/>
      <c r="BT64" s="171"/>
      <c r="BU64" s="171"/>
      <c r="BV64" s="171"/>
      <c r="BW64" s="171"/>
      <c r="BX64" s="171"/>
      <c r="BY64" s="171"/>
      <c r="BZ64" s="171"/>
      <c r="CA64" s="171"/>
      <c r="CB64" s="171"/>
      <c r="CC64" s="171"/>
      <c r="CD64" s="171"/>
      <c r="CE64" s="171"/>
      <c r="CF64" s="171"/>
      <c r="CG64" s="171"/>
      <c r="CH64" s="171"/>
      <c r="CI64" s="171"/>
      <c r="CJ64" s="171"/>
      <c r="CK64" s="171"/>
      <c r="CL64" s="171"/>
      <c r="CM64" s="171"/>
      <c r="CN64" s="171"/>
      <c r="CO64" s="171"/>
      <c r="CP64" s="171"/>
      <c r="CQ64" s="171"/>
      <c r="CR64" s="171"/>
      <c r="CS64" s="171"/>
      <c r="CT64" s="171"/>
      <c r="CU64" s="171"/>
      <c r="CV64" s="171"/>
      <c r="CW64" s="171"/>
      <c r="CX64" s="171"/>
      <c r="CY64" s="171"/>
      <c r="CZ64" s="171"/>
      <c r="DA64" s="171"/>
      <c r="DB64" s="171"/>
      <c r="DC64" s="171"/>
      <c r="DD64" s="171"/>
      <c r="DE64" s="171"/>
      <c r="DF64" s="171"/>
      <c r="DG64" s="171"/>
      <c r="DH64" s="171"/>
      <c r="DI64" s="171"/>
      <c r="DJ64" s="171"/>
      <c r="DK64" s="171"/>
      <c r="DL64" s="171"/>
      <c r="DM64" s="171"/>
      <c r="DN64" s="171"/>
      <c r="DO64" s="171"/>
      <c r="DP64" s="171"/>
      <c r="DQ64" s="171"/>
      <c r="DR64" s="171"/>
      <c r="DS64" s="171"/>
      <c r="DT64" s="171"/>
      <c r="DU64" s="171"/>
      <c r="DV64" s="171"/>
      <c r="DW64" s="171"/>
      <c r="DX64" s="171"/>
      <c r="DY64" s="171"/>
      <c r="DZ64" s="171"/>
      <c r="EA64" s="171"/>
      <c r="EB64" s="171"/>
      <c r="EC64" s="171"/>
      <c r="ED64" s="171"/>
      <c r="EE64" s="171"/>
      <c r="EF64" s="171"/>
      <c r="EG64" s="171"/>
      <c r="EH64" s="171"/>
      <c r="EI64" s="171"/>
      <c r="EJ64" s="171"/>
      <c r="EK64" s="171"/>
      <c r="EL64" s="171"/>
      <c r="EM64" s="171"/>
      <c r="EN64" s="171"/>
      <c r="EO64" s="171"/>
      <c r="EP64" s="171"/>
      <c r="EQ64" s="171"/>
      <c r="ER64" s="171"/>
      <c r="ES64" s="171"/>
      <c r="ET64" s="171"/>
    </row>
    <row r="65" spans="1:150" s="385" customFormat="1" ht="16.5" customHeight="1">
      <c r="A65" s="377">
        <f>A64+1</f>
        <v>56</v>
      </c>
      <c r="B65" s="378" t="s">
        <v>1513</v>
      </c>
      <c r="C65" s="379">
        <v>1</v>
      </c>
      <c r="D65" s="380" t="s">
        <v>1206</v>
      </c>
      <c r="E65" s="381">
        <v>44763</v>
      </c>
      <c r="F65" s="378" t="s">
        <v>886</v>
      </c>
      <c r="G65" s="377">
        <v>91221043</v>
      </c>
      <c r="H65" s="379" t="s">
        <v>2140</v>
      </c>
      <c r="I65" s="382">
        <v>1</v>
      </c>
      <c r="J65" s="382">
        <v>9</v>
      </c>
      <c r="K65" s="382">
        <v>4</v>
      </c>
      <c r="L65" s="382">
        <v>1</v>
      </c>
      <c r="M65" s="382">
        <v>1</v>
      </c>
      <c r="N65" s="382">
        <v>4</v>
      </c>
      <c r="O65" s="382">
        <v>2</v>
      </c>
      <c r="P65" s="382">
        <v>4</v>
      </c>
      <c r="Q65" s="382">
        <v>1</v>
      </c>
      <c r="R65" s="167">
        <v>0</v>
      </c>
      <c r="S65" s="161">
        <v>0</v>
      </c>
      <c r="T65" s="161">
        <v>0</v>
      </c>
      <c r="U65" s="383"/>
      <c r="V65" s="167">
        <v>1</v>
      </c>
      <c r="W65" s="377">
        <v>1</v>
      </c>
      <c r="X65" s="167">
        <v>2</v>
      </c>
      <c r="Y65" s="379">
        <v>3</v>
      </c>
      <c r="Z65" s="167">
        <v>8</v>
      </c>
      <c r="AA65" s="167">
        <v>4</v>
      </c>
      <c r="AB65" s="379"/>
      <c r="AC65" s="379"/>
      <c r="AD65" s="384"/>
      <c r="AE65" s="171"/>
      <c r="AF65" s="171" t="s">
        <v>1745</v>
      </c>
      <c r="AG65" s="171" t="s">
        <v>1818</v>
      </c>
      <c r="AH65" s="171" t="s">
        <v>71</v>
      </c>
      <c r="AI65" s="171"/>
      <c r="AJ65" s="171"/>
      <c r="AK65" s="171"/>
      <c r="AL65" s="171"/>
      <c r="AM65" s="171"/>
      <c r="AN65" s="171"/>
      <c r="AO65" s="171"/>
      <c r="AP65" s="171"/>
      <c r="AQ65" s="171"/>
      <c r="AR65" s="171"/>
      <c r="AS65" s="171"/>
      <c r="AT65" s="171"/>
      <c r="AU65" s="171"/>
      <c r="AV65" s="171"/>
      <c r="AW65" s="171"/>
      <c r="AX65" s="171"/>
      <c r="AY65" s="171"/>
      <c r="AZ65" s="171"/>
      <c r="BA65" s="171"/>
      <c r="BB65" s="171"/>
      <c r="BC65" s="171"/>
      <c r="BD65" s="171"/>
      <c r="BE65" s="171"/>
      <c r="BF65" s="171"/>
      <c r="BG65" s="171"/>
      <c r="BH65" s="171"/>
      <c r="BI65" s="171"/>
      <c r="BJ65" s="171"/>
      <c r="BK65" s="171"/>
      <c r="BL65" s="171"/>
      <c r="BM65" s="171"/>
      <c r="BN65" s="171"/>
      <c r="BO65" s="171"/>
      <c r="BP65" s="171"/>
      <c r="BQ65" s="171"/>
      <c r="BR65" s="171"/>
      <c r="BS65" s="171"/>
      <c r="BT65" s="171"/>
      <c r="BU65" s="171"/>
      <c r="BV65" s="171"/>
      <c r="BW65" s="171"/>
      <c r="BX65" s="171"/>
      <c r="BY65" s="171"/>
      <c r="BZ65" s="171"/>
      <c r="CA65" s="171"/>
      <c r="CB65" s="171"/>
      <c r="CC65" s="171"/>
      <c r="CD65" s="171"/>
      <c r="CE65" s="171"/>
      <c r="CF65" s="171"/>
      <c r="CG65" s="171"/>
      <c r="CH65" s="171"/>
      <c r="CI65" s="171"/>
      <c r="CJ65" s="171"/>
      <c r="CK65" s="171"/>
      <c r="CL65" s="171"/>
      <c r="CM65" s="171"/>
      <c r="CN65" s="171"/>
      <c r="CO65" s="171"/>
      <c r="CP65" s="171"/>
      <c r="CQ65" s="171"/>
      <c r="CR65" s="171"/>
      <c r="CS65" s="171"/>
      <c r="CT65" s="171"/>
      <c r="CU65" s="171"/>
      <c r="CV65" s="171"/>
      <c r="CW65" s="171"/>
      <c r="CX65" s="171"/>
      <c r="CY65" s="171"/>
      <c r="CZ65" s="171"/>
      <c r="DA65" s="171"/>
      <c r="DB65" s="171"/>
      <c r="DC65" s="171"/>
      <c r="DD65" s="171"/>
      <c r="DE65" s="171"/>
      <c r="DF65" s="171"/>
      <c r="DG65" s="171"/>
      <c r="DH65" s="171"/>
      <c r="DI65" s="171"/>
      <c r="DJ65" s="171"/>
      <c r="DK65" s="171"/>
      <c r="DL65" s="171"/>
      <c r="DM65" s="171"/>
      <c r="DN65" s="171"/>
      <c r="DO65" s="171"/>
      <c r="DP65" s="171"/>
      <c r="DQ65" s="171"/>
      <c r="DR65" s="171"/>
      <c r="DS65" s="171"/>
      <c r="DT65" s="171"/>
      <c r="DU65" s="171"/>
      <c r="DV65" s="171"/>
      <c r="DW65" s="171"/>
      <c r="DX65" s="171"/>
      <c r="DY65" s="171"/>
      <c r="DZ65" s="171"/>
      <c r="EA65" s="171"/>
      <c r="EB65" s="171"/>
      <c r="EC65" s="171"/>
      <c r="ED65" s="171"/>
      <c r="EE65" s="171"/>
      <c r="EF65" s="171"/>
      <c r="EG65" s="171"/>
      <c r="EH65" s="171"/>
      <c r="EI65" s="171"/>
      <c r="EJ65" s="171"/>
      <c r="EK65" s="171"/>
      <c r="EL65" s="171"/>
      <c r="EM65" s="171"/>
      <c r="EN65" s="171"/>
      <c r="EO65" s="171"/>
      <c r="EP65" s="171"/>
      <c r="EQ65" s="171"/>
      <c r="ER65" s="171"/>
      <c r="ES65" s="171"/>
      <c r="ET65" s="171"/>
    </row>
    <row r="66" spans="1:150" s="385" customFormat="1" ht="16.5" customHeight="1">
      <c r="A66" s="377">
        <f>A65+1</f>
        <v>57</v>
      </c>
      <c r="B66" s="378" t="s">
        <v>1513</v>
      </c>
      <c r="C66" s="379">
        <v>1</v>
      </c>
      <c r="D66" s="380" t="s">
        <v>1219</v>
      </c>
      <c r="E66" s="381">
        <v>44764</v>
      </c>
      <c r="F66" s="378" t="s">
        <v>1221</v>
      </c>
      <c r="G66" s="377">
        <v>80002614</v>
      </c>
      <c r="H66" s="379" t="s">
        <v>2140</v>
      </c>
      <c r="I66" s="382">
        <v>1</v>
      </c>
      <c r="J66" s="382">
        <v>16</v>
      </c>
      <c r="K66" s="382">
        <v>5</v>
      </c>
      <c r="L66" s="382">
        <v>1</v>
      </c>
      <c r="M66" s="382">
        <v>1</v>
      </c>
      <c r="N66" s="382">
        <v>2</v>
      </c>
      <c r="O66" s="382">
        <v>4</v>
      </c>
      <c r="P66" s="168">
        <v>3</v>
      </c>
      <c r="Q66" s="382">
        <v>1</v>
      </c>
      <c r="R66" s="167">
        <v>0</v>
      </c>
      <c r="S66" s="161">
        <v>0</v>
      </c>
      <c r="T66" s="161">
        <v>0</v>
      </c>
      <c r="U66" s="383"/>
      <c r="V66" s="379">
        <v>3</v>
      </c>
      <c r="W66" s="377">
        <v>2</v>
      </c>
      <c r="X66" s="167">
        <v>3</v>
      </c>
      <c r="Y66" s="379">
        <v>4</v>
      </c>
      <c r="Z66" s="167">
        <v>8</v>
      </c>
      <c r="AA66" s="167">
        <v>7</v>
      </c>
      <c r="AB66" s="379"/>
      <c r="AC66" s="379"/>
      <c r="AD66" s="384"/>
      <c r="AE66" s="171"/>
      <c r="AF66" s="171" t="s">
        <v>1850</v>
      </c>
      <c r="AG66" s="171" t="s">
        <v>1728</v>
      </c>
      <c r="AH66" s="171" t="s">
        <v>74</v>
      </c>
      <c r="AI66" s="171"/>
      <c r="AJ66" s="171"/>
      <c r="AK66" s="171"/>
      <c r="AL66" s="171"/>
      <c r="AM66" s="171"/>
      <c r="AN66" s="171"/>
      <c r="AO66" s="171"/>
      <c r="AP66" s="171"/>
      <c r="AQ66" s="171"/>
      <c r="AR66" s="171"/>
      <c r="AS66" s="171"/>
      <c r="AT66" s="171"/>
      <c r="AU66" s="171"/>
      <c r="AV66" s="171"/>
      <c r="AW66" s="171"/>
      <c r="AX66" s="171"/>
      <c r="AY66" s="171"/>
      <c r="AZ66" s="171"/>
      <c r="BA66" s="171"/>
      <c r="BB66" s="171"/>
      <c r="BC66" s="171"/>
      <c r="BD66" s="171"/>
      <c r="BE66" s="171"/>
      <c r="BF66" s="171"/>
      <c r="BG66" s="171"/>
      <c r="BH66" s="171"/>
      <c r="BI66" s="171"/>
      <c r="BJ66" s="171"/>
      <c r="BK66" s="171"/>
      <c r="BL66" s="171"/>
      <c r="BM66" s="171"/>
      <c r="BN66" s="171"/>
      <c r="BO66" s="171"/>
      <c r="BP66" s="171"/>
      <c r="BQ66" s="171"/>
      <c r="BR66" s="171"/>
      <c r="BS66" s="171"/>
      <c r="BT66" s="171"/>
      <c r="BU66" s="171"/>
      <c r="BV66" s="171"/>
      <c r="BW66" s="171"/>
      <c r="BX66" s="171"/>
      <c r="BY66" s="171"/>
      <c r="BZ66" s="171"/>
      <c r="CA66" s="171"/>
      <c r="CB66" s="171"/>
      <c r="CC66" s="171"/>
      <c r="CD66" s="171"/>
      <c r="CE66" s="171"/>
      <c r="CF66" s="171"/>
      <c r="CG66" s="171"/>
      <c r="CH66" s="171"/>
      <c r="CI66" s="171"/>
      <c r="CJ66" s="171"/>
      <c r="CK66" s="171"/>
      <c r="CL66" s="171"/>
      <c r="CM66" s="171"/>
      <c r="CN66" s="171"/>
      <c r="CO66" s="171"/>
      <c r="CP66" s="171"/>
      <c r="CQ66" s="171"/>
      <c r="CR66" s="171"/>
      <c r="CS66" s="171"/>
      <c r="CT66" s="171"/>
      <c r="CU66" s="171"/>
      <c r="CV66" s="171"/>
      <c r="CW66" s="171"/>
      <c r="CX66" s="171"/>
      <c r="CY66" s="171"/>
      <c r="CZ66" s="171"/>
      <c r="DA66" s="171"/>
      <c r="DB66" s="171"/>
      <c r="DC66" s="171"/>
      <c r="DD66" s="171"/>
      <c r="DE66" s="171"/>
      <c r="DF66" s="171"/>
      <c r="DG66" s="171"/>
      <c r="DH66" s="171"/>
      <c r="DI66" s="171"/>
      <c r="DJ66" s="171"/>
      <c r="DK66" s="171"/>
      <c r="DL66" s="171"/>
      <c r="DM66" s="171"/>
      <c r="DN66" s="171"/>
      <c r="DO66" s="171"/>
      <c r="DP66" s="171"/>
      <c r="DQ66" s="171"/>
      <c r="DR66" s="171"/>
      <c r="DS66" s="171"/>
      <c r="DT66" s="171"/>
      <c r="DU66" s="171"/>
      <c r="DV66" s="171"/>
      <c r="DW66" s="171"/>
      <c r="DX66" s="171"/>
      <c r="DY66" s="171"/>
      <c r="DZ66" s="171"/>
      <c r="EA66" s="171"/>
      <c r="EB66" s="171"/>
      <c r="EC66" s="171"/>
      <c r="ED66" s="171"/>
      <c r="EE66" s="171"/>
      <c r="EF66" s="171"/>
      <c r="EG66" s="171"/>
      <c r="EH66" s="171"/>
      <c r="EI66" s="171"/>
      <c r="EJ66" s="171"/>
      <c r="EK66" s="171"/>
      <c r="EL66" s="171"/>
      <c r="EM66" s="171"/>
      <c r="EN66" s="171"/>
      <c r="EO66" s="171"/>
      <c r="EP66" s="171"/>
      <c r="EQ66" s="171"/>
      <c r="ER66" s="171"/>
      <c r="ES66" s="171"/>
      <c r="ET66" s="171"/>
    </row>
    <row r="67" spans="1:150" s="385" customFormat="1" ht="16.5" customHeight="1">
      <c r="A67" s="377">
        <f t="shared" ref="A67" si="0">A66+1</f>
        <v>58</v>
      </c>
      <c r="B67" s="378" t="s">
        <v>1513</v>
      </c>
      <c r="C67" s="379">
        <v>1</v>
      </c>
      <c r="D67" s="380" t="s">
        <v>1234</v>
      </c>
      <c r="E67" s="381">
        <v>44770</v>
      </c>
      <c r="F67" s="378" t="s">
        <v>1236</v>
      </c>
      <c r="G67" s="377">
        <v>80004593</v>
      </c>
      <c r="H67" s="379" t="s">
        <v>141</v>
      </c>
      <c r="I67" s="382">
        <v>11</v>
      </c>
      <c r="J67" s="382">
        <v>9</v>
      </c>
      <c r="K67" s="382">
        <v>4</v>
      </c>
      <c r="L67" s="382">
        <v>1</v>
      </c>
      <c r="M67" s="382">
        <v>5</v>
      </c>
      <c r="N67" s="382">
        <v>1</v>
      </c>
      <c r="O67" s="382">
        <v>3</v>
      </c>
      <c r="P67" s="168">
        <v>3</v>
      </c>
      <c r="Q67" s="382">
        <v>5</v>
      </c>
      <c r="R67" s="167">
        <v>0</v>
      </c>
      <c r="S67" s="161">
        <v>0</v>
      </c>
      <c r="T67" s="161">
        <v>0</v>
      </c>
      <c r="U67" s="383"/>
      <c r="V67" s="379">
        <v>5</v>
      </c>
      <c r="W67" s="377">
        <v>2</v>
      </c>
      <c r="X67" s="167">
        <v>10</v>
      </c>
      <c r="Y67" s="167">
        <v>2</v>
      </c>
      <c r="Z67" s="167">
        <v>8</v>
      </c>
      <c r="AA67" s="167">
        <v>7</v>
      </c>
      <c r="AB67" s="379">
        <v>4</v>
      </c>
      <c r="AC67" s="379"/>
      <c r="AD67" s="384"/>
      <c r="AE67" s="171"/>
      <c r="AF67" s="171" t="s">
        <v>1757</v>
      </c>
      <c r="AG67" s="171" t="s">
        <v>1697</v>
      </c>
      <c r="AH67" s="171" t="s">
        <v>74</v>
      </c>
      <c r="AI67" s="171"/>
      <c r="AJ67" s="171"/>
      <c r="AK67" s="171"/>
      <c r="AL67" s="171"/>
      <c r="AM67" s="171"/>
      <c r="AN67" s="171"/>
      <c r="AO67" s="171"/>
      <c r="AP67" s="171"/>
      <c r="AQ67" s="171"/>
      <c r="AR67" s="171"/>
      <c r="AS67" s="171"/>
      <c r="AT67" s="171"/>
      <c r="AU67" s="171"/>
      <c r="AV67" s="171"/>
      <c r="AW67" s="171"/>
      <c r="AX67" s="171"/>
      <c r="AY67" s="171"/>
      <c r="AZ67" s="171"/>
      <c r="BA67" s="171"/>
      <c r="BB67" s="171"/>
      <c r="BC67" s="171"/>
      <c r="BD67" s="171"/>
      <c r="BE67" s="171"/>
      <c r="BF67" s="171"/>
      <c r="BG67" s="171"/>
      <c r="BH67" s="171"/>
      <c r="BI67" s="171"/>
      <c r="BJ67" s="171"/>
      <c r="BK67" s="171"/>
      <c r="BL67" s="171"/>
      <c r="BM67" s="171"/>
      <c r="BN67" s="171"/>
      <c r="BO67" s="171"/>
      <c r="BP67" s="171"/>
      <c r="BQ67" s="171"/>
      <c r="BR67" s="171"/>
      <c r="BS67" s="171"/>
      <c r="BT67" s="171"/>
      <c r="BU67" s="171"/>
      <c r="BV67" s="171"/>
      <c r="BW67" s="171"/>
      <c r="BX67" s="171"/>
      <c r="BY67" s="171"/>
      <c r="BZ67" s="171"/>
      <c r="CA67" s="171"/>
      <c r="CB67" s="171"/>
      <c r="CC67" s="171"/>
      <c r="CD67" s="171"/>
      <c r="CE67" s="171"/>
      <c r="CF67" s="171"/>
      <c r="CG67" s="171"/>
      <c r="CH67" s="171"/>
      <c r="CI67" s="171"/>
      <c r="CJ67" s="171"/>
      <c r="CK67" s="171"/>
      <c r="CL67" s="171"/>
      <c r="CM67" s="171"/>
      <c r="CN67" s="171"/>
      <c r="CO67" s="171"/>
      <c r="CP67" s="171"/>
      <c r="CQ67" s="171"/>
      <c r="CR67" s="171"/>
      <c r="CS67" s="171"/>
      <c r="CT67" s="171"/>
      <c r="CU67" s="171"/>
      <c r="CV67" s="171"/>
      <c r="CW67" s="171"/>
      <c r="CX67" s="171"/>
      <c r="CY67" s="171"/>
      <c r="CZ67" s="171"/>
      <c r="DA67" s="171"/>
      <c r="DB67" s="171"/>
      <c r="DC67" s="171"/>
      <c r="DD67" s="171"/>
      <c r="DE67" s="171"/>
      <c r="DF67" s="171"/>
      <c r="DG67" s="171"/>
      <c r="DH67" s="171"/>
      <c r="DI67" s="171"/>
      <c r="DJ67" s="171"/>
      <c r="DK67" s="171"/>
      <c r="DL67" s="171"/>
      <c r="DM67" s="171"/>
      <c r="DN67" s="171"/>
      <c r="DO67" s="171"/>
      <c r="DP67" s="171"/>
      <c r="DQ67" s="171"/>
      <c r="DR67" s="171"/>
      <c r="DS67" s="171"/>
      <c r="DT67" s="171"/>
      <c r="DU67" s="171"/>
      <c r="DV67" s="171"/>
      <c r="DW67" s="171"/>
      <c r="DX67" s="171"/>
      <c r="DY67" s="171"/>
      <c r="DZ67" s="171"/>
      <c r="EA67" s="171"/>
      <c r="EB67" s="171"/>
      <c r="EC67" s="171"/>
      <c r="ED67" s="171"/>
      <c r="EE67" s="171"/>
      <c r="EF67" s="171"/>
      <c r="EG67" s="171"/>
      <c r="EH67" s="171"/>
      <c r="EI67" s="171"/>
      <c r="EJ67" s="171"/>
      <c r="EK67" s="171"/>
      <c r="EL67" s="171"/>
      <c r="EM67" s="171"/>
      <c r="EN67" s="171"/>
      <c r="EO67" s="171"/>
      <c r="EP67" s="171"/>
      <c r="EQ67" s="171"/>
      <c r="ER67" s="171"/>
      <c r="ES67" s="171"/>
      <c r="ET67" s="171"/>
    </row>
    <row r="68" spans="1:150" s="385" customFormat="1" ht="16.5" customHeight="1">
      <c r="A68" s="377">
        <f t="shared" ref="A68:A83" si="1">A67+1</f>
        <v>59</v>
      </c>
      <c r="B68" s="378" t="s">
        <v>1541</v>
      </c>
      <c r="C68" s="379">
        <v>3</v>
      </c>
      <c r="D68" s="380" t="s">
        <v>1248</v>
      </c>
      <c r="E68" s="381">
        <v>44777</v>
      </c>
      <c r="F68" s="378" t="s">
        <v>1250</v>
      </c>
      <c r="G68" s="377">
        <v>222431</v>
      </c>
      <c r="H68" s="379" t="s">
        <v>2140</v>
      </c>
      <c r="I68" s="382">
        <v>1</v>
      </c>
      <c r="J68" s="382">
        <v>18</v>
      </c>
      <c r="K68" s="382">
        <v>4</v>
      </c>
      <c r="L68" s="382">
        <v>1</v>
      </c>
      <c r="M68" s="382">
        <v>1</v>
      </c>
      <c r="N68" s="382">
        <v>1</v>
      </c>
      <c r="O68" s="382">
        <v>4</v>
      </c>
      <c r="P68" s="382">
        <v>2</v>
      </c>
      <c r="Q68" s="382">
        <v>1</v>
      </c>
      <c r="R68" s="167">
        <v>0</v>
      </c>
      <c r="S68" s="161">
        <v>0</v>
      </c>
      <c r="T68" s="161">
        <v>0</v>
      </c>
      <c r="U68" s="383"/>
      <c r="V68" s="379">
        <v>3</v>
      </c>
      <c r="W68" s="377">
        <v>2</v>
      </c>
      <c r="X68" s="167">
        <v>1</v>
      </c>
      <c r="Y68" s="167">
        <v>3</v>
      </c>
      <c r="Z68" s="167">
        <v>8</v>
      </c>
      <c r="AA68" s="167">
        <v>7</v>
      </c>
      <c r="AB68" s="379"/>
      <c r="AC68" s="379"/>
      <c r="AD68" s="384"/>
      <c r="AE68" s="171"/>
      <c r="AF68" s="171" t="s">
        <v>1745</v>
      </c>
      <c r="AG68" s="171" t="s">
        <v>1744</v>
      </c>
      <c r="AH68" s="171" t="s">
        <v>74</v>
      </c>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c r="BM68" s="171"/>
      <c r="BN68" s="171"/>
      <c r="BO68" s="171"/>
      <c r="BP68" s="171"/>
      <c r="BQ68" s="171"/>
      <c r="BR68" s="171"/>
      <c r="BS68" s="171"/>
      <c r="BT68" s="171"/>
      <c r="BU68" s="171"/>
      <c r="BV68" s="171"/>
      <c r="BW68" s="171"/>
      <c r="BX68" s="171"/>
      <c r="BY68" s="171"/>
      <c r="BZ68" s="171"/>
      <c r="CA68" s="171"/>
      <c r="CB68" s="171"/>
      <c r="CC68" s="171"/>
      <c r="CD68" s="171"/>
      <c r="CE68" s="171"/>
      <c r="CF68" s="171"/>
      <c r="CG68" s="171"/>
      <c r="CH68" s="171"/>
      <c r="CI68" s="171"/>
      <c r="CJ68" s="171"/>
      <c r="CK68" s="171"/>
      <c r="CL68" s="171"/>
      <c r="CM68" s="171"/>
      <c r="CN68" s="171"/>
      <c r="CO68" s="171"/>
      <c r="CP68" s="171"/>
      <c r="CQ68" s="171"/>
      <c r="CR68" s="171"/>
      <c r="CS68" s="171"/>
      <c r="CT68" s="171"/>
      <c r="CU68" s="171"/>
      <c r="CV68" s="171"/>
      <c r="CW68" s="171"/>
      <c r="CX68" s="171"/>
      <c r="CY68" s="171"/>
      <c r="CZ68" s="171"/>
      <c r="DA68" s="171"/>
      <c r="DB68" s="171"/>
      <c r="DC68" s="171"/>
      <c r="DD68" s="171"/>
      <c r="DE68" s="171"/>
      <c r="DF68" s="171"/>
      <c r="DG68" s="171"/>
      <c r="DH68" s="171"/>
      <c r="DI68" s="171"/>
      <c r="DJ68" s="171"/>
      <c r="DK68" s="171"/>
      <c r="DL68" s="171"/>
      <c r="DM68" s="171"/>
      <c r="DN68" s="171"/>
      <c r="DO68" s="171"/>
      <c r="DP68" s="171"/>
      <c r="DQ68" s="171"/>
      <c r="DR68" s="171"/>
      <c r="DS68" s="171"/>
      <c r="DT68" s="171"/>
      <c r="DU68" s="171"/>
      <c r="DV68" s="171"/>
      <c r="DW68" s="171"/>
      <c r="DX68" s="171"/>
      <c r="DY68" s="171"/>
      <c r="DZ68" s="171"/>
      <c r="EA68" s="171"/>
      <c r="EB68" s="171"/>
      <c r="EC68" s="171"/>
      <c r="ED68" s="171"/>
      <c r="EE68" s="171"/>
      <c r="EF68" s="171"/>
      <c r="EG68" s="171"/>
      <c r="EH68" s="171"/>
      <c r="EI68" s="171"/>
      <c r="EJ68" s="171"/>
      <c r="EK68" s="171"/>
      <c r="EL68" s="171"/>
      <c r="EM68" s="171"/>
      <c r="EN68" s="171"/>
      <c r="EO68" s="171"/>
      <c r="EP68" s="171"/>
      <c r="EQ68" s="171"/>
      <c r="ER68" s="171"/>
      <c r="ES68" s="171"/>
      <c r="ET68" s="171"/>
    </row>
    <row r="69" spans="1:150" s="385" customFormat="1" ht="16.5" customHeight="1">
      <c r="A69" s="377">
        <f t="shared" si="1"/>
        <v>60</v>
      </c>
      <c r="B69" s="378" t="s">
        <v>1513</v>
      </c>
      <c r="C69" s="379">
        <v>1</v>
      </c>
      <c r="D69" s="380" t="s">
        <v>1266</v>
      </c>
      <c r="E69" s="381">
        <v>44780</v>
      </c>
      <c r="F69" s="378" t="s">
        <v>2045</v>
      </c>
      <c r="G69" s="377">
        <v>80002480</v>
      </c>
      <c r="H69" s="379" t="s">
        <v>2140</v>
      </c>
      <c r="I69" s="382">
        <v>1</v>
      </c>
      <c r="J69" s="382">
        <v>8</v>
      </c>
      <c r="K69" s="382">
        <v>7</v>
      </c>
      <c r="L69" s="382">
        <v>1</v>
      </c>
      <c r="M69" s="382">
        <v>1</v>
      </c>
      <c r="N69" s="382">
        <v>2</v>
      </c>
      <c r="O69" s="382">
        <v>4</v>
      </c>
      <c r="P69" s="382">
        <v>4</v>
      </c>
      <c r="Q69" s="382">
        <v>1</v>
      </c>
      <c r="R69" s="167">
        <v>0</v>
      </c>
      <c r="S69" s="161">
        <v>0</v>
      </c>
      <c r="T69" s="161">
        <v>0</v>
      </c>
      <c r="U69" s="383"/>
      <c r="V69" s="379">
        <v>3</v>
      </c>
      <c r="W69" s="377">
        <v>2</v>
      </c>
      <c r="X69" s="379">
        <v>11</v>
      </c>
      <c r="Y69" s="167">
        <v>2</v>
      </c>
      <c r="Z69" s="167">
        <v>8</v>
      </c>
      <c r="AA69" s="379">
        <v>3</v>
      </c>
      <c r="AB69" s="379">
        <v>4</v>
      </c>
      <c r="AC69" s="379"/>
      <c r="AD69" s="384"/>
      <c r="AE69" s="171"/>
      <c r="AF69" s="171" t="s">
        <v>1757</v>
      </c>
      <c r="AG69" s="171" t="s">
        <v>2044</v>
      </c>
      <c r="AH69" s="171" t="s">
        <v>73</v>
      </c>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c r="BM69" s="171"/>
      <c r="BN69" s="171"/>
      <c r="BO69" s="171"/>
      <c r="BP69" s="171"/>
      <c r="BQ69" s="171"/>
      <c r="BR69" s="171"/>
      <c r="BS69" s="171"/>
      <c r="BT69" s="171"/>
      <c r="BU69" s="171"/>
      <c r="BV69" s="171"/>
      <c r="BW69" s="171"/>
      <c r="BX69" s="171"/>
      <c r="BY69" s="171"/>
      <c r="BZ69" s="171"/>
      <c r="CA69" s="171"/>
      <c r="CB69" s="171"/>
      <c r="CC69" s="171"/>
      <c r="CD69" s="171"/>
      <c r="CE69" s="171"/>
      <c r="CF69" s="171"/>
      <c r="CG69" s="171"/>
      <c r="CH69" s="171"/>
      <c r="CI69" s="171"/>
      <c r="CJ69" s="171"/>
      <c r="CK69" s="171"/>
      <c r="CL69" s="171"/>
      <c r="CM69" s="171"/>
      <c r="CN69" s="171"/>
      <c r="CO69" s="171"/>
      <c r="CP69" s="171"/>
      <c r="CQ69" s="171"/>
      <c r="CR69" s="171"/>
      <c r="CS69" s="171"/>
      <c r="CT69" s="171"/>
      <c r="CU69" s="171"/>
      <c r="CV69" s="171"/>
      <c r="CW69" s="171"/>
      <c r="CX69" s="171"/>
      <c r="CY69" s="171"/>
      <c r="CZ69" s="171"/>
      <c r="DA69" s="171"/>
      <c r="DB69" s="171"/>
      <c r="DC69" s="171"/>
      <c r="DD69" s="171"/>
      <c r="DE69" s="171"/>
      <c r="DF69" s="171"/>
      <c r="DG69" s="171"/>
      <c r="DH69" s="171"/>
      <c r="DI69" s="171"/>
      <c r="DJ69" s="171"/>
      <c r="DK69" s="171"/>
      <c r="DL69" s="171"/>
      <c r="DM69" s="171"/>
      <c r="DN69" s="171"/>
      <c r="DO69" s="171"/>
      <c r="DP69" s="171"/>
      <c r="DQ69" s="171"/>
      <c r="DR69" s="171"/>
      <c r="DS69" s="171"/>
      <c r="DT69" s="171"/>
      <c r="DU69" s="171"/>
      <c r="DV69" s="171"/>
      <c r="DW69" s="171"/>
      <c r="DX69" s="171"/>
      <c r="DY69" s="171"/>
      <c r="DZ69" s="171"/>
      <c r="EA69" s="171"/>
      <c r="EB69" s="171"/>
      <c r="EC69" s="171"/>
      <c r="ED69" s="171"/>
      <c r="EE69" s="171"/>
      <c r="EF69" s="171"/>
      <c r="EG69" s="171"/>
      <c r="EH69" s="171"/>
      <c r="EI69" s="171"/>
      <c r="EJ69" s="171"/>
      <c r="EK69" s="171"/>
      <c r="EL69" s="171"/>
      <c r="EM69" s="171"/>
      <c r="EN69" s="171"/>
      <c r="EO69" s="171"/>
      <c r="EP69" s="171"/>
      <c r="EQ69" s="171"/>
      <c r="ER69" s="171"/>
      <c r="ES69" s="171"/>
      <c r="ET69" s="171"/>
    </row>
    <row r="70" spans="1:150" s="385" customFormat="1" ht="16.5" customHeight="1">
      <c r="A70" s="377">
        <f t="shared" si="1"/>
        <v>61</v>
      </c>
      <c r="B70" s="378" t="s">
        <v>1513</v>
      </c>
      <c r="C70" s="379">
        <v>1</v>
      </c>
      <c r="D70" s="380" t="s">
        <v>1279</v>
      </c>
      <c r="E70" s="381">
        <v>44787</v>
      </c>
      <c r="F70" s="378" t="s">
        <v>1281</v>
      </c>
      <c r="G70" s="377">
        <v>80003199</v>
      </c>
      <c r="H70" s="379" t="s">
        <v>141</v>
      </c>
      <c r="I70" s="382">
        <v>11</v>
      </c>
      <c r="J70" s="382">
        <v>11</v>
      </c>
      <c r="K70" s="382">
        <v>7</v>
      </c>
      <c r="L70" s="382">
        <v>1</v>
      </c>
      <c r="M70" s="382">
        <v>5</v>
      </c>
      <c r="N70" s="168">
        <v>3</v>
      </c>
      <c r="O70" s="382">
        <v>3</v>
      </c>
      <c r="P70" s="168">
        <v>3</v>
      </c>
      <c r="Q70" s="382">
        <v>1</v>
      </c>
      <c r="R70" s="167">
        <v>0</v>
      </c>
      <c r="S70" s="161">
        <v>0</v>
      </c>
      <c r="T70" s="161">
        <v>0</v>
      </c>
      <c r="U70" s="383"/>
      <c r="V70" s="379">
        <v>3</v>
      </c>
      <c r="W70" s="377">
        <v>2</v>
      </c>
      <c r="X70" s="167">
        <v>3</v>
      </c>
      <c r="Y70" s="167">
        <v>2</v>
      </c>
      <c r="Z70" s="167">
        <v>8</v>
      </c>
      <c r="AA70" s="379">
        <v>3</v>
      </c>
      <c r="AB70" s="379">
        <v>6</v>
      </c>
      <c r="AC70" s="379"/>
      <c r="AD70" s="384"/>
      <c r="AE70" s="171"/>
      <c r="AF70" s="171" t="s">
        <v>1729</v>
      </c>
      <c r="AG70" s="171" t="s">
        <v>1728</v>
      </c>
      <c r="AH70" s="171" t="s">
        <v>75</v>
      </c>
      <c r="AI70" s="171"/>
      <c r="AJ70" s="171"/>
      <c r="AK70" s="171"/>
      <c r="AL70" s="171"/>
      <c r="AM70" s="171"/>
      <c r="AN70" s="171"/>
      <c r="AO70" s="171"/>
      <c r="AP70" s="171"/>
      <c r="AQ70" s="171"/>
      <c r="AR70" s="171"/>
      <c r="AS70" s="171"/>
      <c r="AT70" s="171"/>
      <c r="AU70" s="171"/>
      <c r="AV70" s="171"/>
      <c r="AW70" s="171"/>
      <c r="AX70" s="171"/>
      <c r="AY70" s="171"/>
      <c r="AZ70" s="171"/>
      <c r="BA70" s="171"/>
      <c r="BB70" s="171"/>
      <c r="BC70" s="171"/>
      <c r="BD70" s="171"/>
      <c r="BE70" s="171"/>
      <c r="BF70" s="171"/>
      <c r="BG70" s="171"/>
      <c r="BH70" s="171"/>
      <c r="BI70" s="171"/>
      <c r="BJ70" s="171"/>
      <c r="BK70" s="171"/>
      <c r="BL70" s="171"/>
      <c r="BM70" s="171"/>
      <c r="BN70" s="171"/>
      <c r="BO70" s="171"/>
      <c r="BP70" s="171"/>
      <c r="BQ70" s="171"/>
      <c r="BR70" s="171"/>
      <c r="BS70" s="171"/>
      <c r="BT70" s="171"/>
      <c r="BU70" s="171"/>
      <c r="BV70" s="171"/>
      <c r="BW70" s="171"/>
      <c r="BX70" s="171"/>
      <c r="BY70" s="171"/>
      <c r="BZ70" s="171"/>
      <c r="CA70" s="171"/>
      <c r="CB70" s="171"/>
      <c r="CC70" s="171"/>
      <c r="CD70" s="171"/>
      <c r="CE70" s="171"/>
      <c r="CF70" s="171"/>
      <c r="CG70" s="171"/>
      <c r="CH70" s="171"/>
      <c r="CI70" s="171"/>
      <c r="CJ70" s="171"/>
      <c r="CK70" s="171"/>
      <c r="CL70" s="171"/>
      <c r="CM70" s="171"/>
      <c r="CN70" s="171"/>
      <c r="CO70" s="171"/>
      <c r="CP70" s="171"/>
      <c r="CQ70" s="171"/>
      <c r="CR70" s="171"/>
      <c r="CS70" s="171"/>
      <c r="CT70" s="171"/>
      <c r="CU70" s="171"/>
      <c r="CV70" s="171"/>
      <c r="CW70" s="171"/>
      <c r="CX70" s="171"/>
      <c r="CY70" s="171"/>
      <c r="CZ70" s="171"/>
      <c r="DA70" s="171"/>
      <c r="DB70" s="171"/>
      <c r="DC70" s="171"/>
      <c r="DD70" s="171"/>
      <c r="DE70" s="171"/>
      <c r="DF70" s="171"/>
      <c r="DG70" s="171"/>
      <c r="DH70" s="171"/>
      <c r="DI70" s="171"/>
      <c r="DJ70" s="171"/>
      <c r="DK70" s="171"/>
      <c r="DL70" s="171"/>
      <c r="DM70" s="171"/>
      <c r="DN70" s="171"/>
      <c r="DO70" s="171"/>
      <c r="DP70" s="171"/>
      <c r="DQ70" s="171"/>
      <c r="DR70" s="171"/>
      <c r="DS70" s="171"/>
      <c r="DT70" s="171"/>
      <c r="DU70" s="171"/>
      <c r="DV70" s="171"/>
      <c r="DW70" s="171"/>
      <c r="DX70" s="171"/>
      <c r="DY70" s="171"/>
      <c r="DZ70" s="171"/>
      <c r="EA70" s="171"/>
      <c r="EB70" s="171"/>
      <c r="EC70" s="171"/>
      <c r="ED70" s="171"/>
      <c r="EE70" s="171"/>
      <c r="EF70" s="171"/>
      <c r="EG70" s="171"/>
      <c r="EH70" s="171"/>
      <c r="EI70" s="171"/>
      <c r="EJ70" s="171"/>
      <c r="EK70" s="171"/>
      <c r="EL70" s="171"/>
      <c r="EM70" s="171"/>
      <c r="EN70" s="171"/>
      <c r="EO70" s="171"/>
      <c r="EP70" s="171"/>
      <c r="EQ70" s="171"/>
      <c r="ER70" s="171"/>
      <c r="ES70" s="171"/>
      <c r="ET70" s="171"/>
    </row>
    <row r="71" spans="1:150" s="385" customFormat="1" ht="16.5" customHeight="1">
      <c r="A71" s="377">
        <f t="shared" si="1"/>
        <v>62</v>
      </c>
      <c r="B71" s="378" t="s">
        <v>1513</v>
      </c>
      <c r="C71" s="379">
        <v>1</v>
      </c>
      <c r="D71" s="380" t="s">
        <v>1287</v>
      </c>
      <c r="E71" s="381">
        <v>44788</v>
      </c>
      <c r="F71" s="378" t="s">
        <v>1288</v>
      </c>
      <c r="G71" s="377">
        <v>800021819</v>
      </c>
      <c r="H71" s="379" t="s">
        <v>2140</v>
      </c>
      <c r="I71" s="382">
        <v>1</v>
      </c>
      <c r="J71" s="382">
        <v>16</v>
      </c>
      <c r="K71" s="382">
        <v>1</v>
      </c>
      <c r="L71" s="382">
        <v>1</v>
      </c>
      <c r="M71" s="382">
        <v>5</v>
      </c>
      <c r="N71" s="168">
        <v>3</v>
      </c>
      <c r="O71" s="382">
        <v>2</v>
      </c>
      <c r="P71" s="168">
        <v>3</v>
      </c>
      <c r="Q71" s="382">
        <v>1</v>
      </c>
      <c r="R71" s="167">
        <v>0</v>
      </c>
      <c r="S71" s="161">
        <v>0</v>
      </c>
      <c r="T71" s="161">
        <v>0</v>
      </c>
      <c r="U71" s="383"/>
      <c r="V71" s="379">
        <v>3</v>
      </c>
      <c r="W71" s="377">
        <v>2</v>
      </c>
      <c r="X71" s="167">
        <v>3</v>
      </c>
      <c r="Y71" s="167">
        <v>3</v>
      </c>
      <c r="Z71" s="167">
        <v>8</v>
      </c>
      <c r="AA71" s="167">
        <v>4</v>
      </c>
      <c r="AB71" s="379"/>
      <c r="AC71" s="379"/>
      <c r="AD71" s="384"/>
      <c r="AE71" s="171"/>
      <c r="AF71" s="171" t="s">
        <v>1745</v>
      </c>
      <c r="AG71" s="171" t="s">
        <v>1728</v>
      </c>
      <c r="AH71" s="171" t="s">
        <v>71</v>
      </c>
      <c r="AI71" s="171"/>
      <c r="AJ71" s="171"/>
      <c r="AK71" s="171"/>
      <c r="AL71" s="171"/>
      <c r="AM71" s="171"/>
      <c r="AN71" s="171"/>
      <c r="AO71" s="171"/>
      <c r="AP71" s="171"/>
      <c r="AQ71" s="171"/>
      <c r="AR71" s="171"/>
      <c r="AS71" s="171"/>
      <c r="AT71" s="171"/>
      <c r="AU71" s="171"/>
      <c r="AV71" s="171"/>
      <c r="AW71" s="171"/>
      <c r="AX71" s="171"/>
      <c r="AY71" s="171"/>
      <c r="AZ71" s="171"/>
      <c r="BA71" s="171"/>
      <c r="BB71" s="171"/>
      <c r="BC71" s="171"/>
      <c r="BD71" s="171"/>
      <c r="BE71" s="171"/>
      <c r="BF71" s="171"/>
      <c r="BG71" s="171"/>
      <c r="BH71" s="171"/>
      <c r="BI71" s="171"/>
      <c r="BJ71" s="171"/>
      <c r="BK71" s="171"/>
      <c r="BL71" s="171"/>
      <c r="BM71" s="171"/>
      <c r="BN71" s="171"/>
      <c r="BO71" s="171"/>
      <c r="BP71" s="171"/>
      <c r="BQ71" s="171"/>
      <c r="BR71" s="171"/>
      <c r="BS71" s="171"/>
      <c r="BT71" s="171"/>
      <c r="BU71" s="171"/>
      <c r="BV71" s="171"/>
      <c r="BW71" s="171"/>
      <c r="BX71" s="171"/>
      <c r="BY71" s="171"/>
      <c r="BZ71" s="171"/>
      <c r="CA71" s="171"/>
      <c r="CB71" s="171"/>
      <c r="CC71" s="171"/>
      <c r="CD71" s="171"/>
      <c r="CE71" s="171"/>
      <c r="CF71" s="171"/>
      <c r="CG71" s="171"/>
      <c r="CH71" s="171"/>
      <c r="CI71" s="171"/>
      <c r="CJ71" s="171"/>
      <c r="CK71" s="171"/>
      <c r="CL71" s="171"/>
      <c r="CM71" s="171"/>
      <c r="CN71" s="171"/>
      <c r="CO71" s="171"/>
      <c r="CP71" s="171"/>
      <c r="CQ71" s="171"/>
      <c r="CR71" s="171"/>
      <c r="CS71" s="171"/>
      <c r="CT71" s="171"/>
      <c r="CU71" s="171"/>
      <c r="CV71" s="171"/>
      <c r="CW71" s="171"/>
      <c r="CX71" s="171"/>
      <c r="CY71" s="171"/>
      <c r="CZ71" s="171"/>
      <c r="DA71" s="171"/>
      <c r="DB71" s="171"/>
      <c r="DC71" s="171"/>
      <c r="DD71" s="171"/>
      <c r="DE71" s="171"/>
      <c r="DF71" s="171"/>
      <c r="DG71" s="171"/>
      <c r="DH71" s="171"/>
      <c r="DI71" s="171"/>
      <c r="DJ71" s="171"/>
      <c r="DK71" s="171"/>
      <c r="DL71" s="171"/>
      <c r="DM71" s="171"/>
      <c r="DN71" s="171"/>
      <c r="DO71" s="171"/>
      <c r="DP71" s="171"/>
      <c r="DQ71" s="171"/>
      <c r="DR71" s="171"/>
      <c r="DS71" s="171"/>
      <c r="DT71" s="171"/>
      <c r="DU71" s="171"/>
      <c r="DV71" s="171"/>
      <c r="DW71" s="171"/>
      <c r="DX71" s="171"/>
      <c r="DY71" s="171"/>
      <c r="DZ71" s="171"/>
      <c r="EA71" s="171"/>
      <c r="EB71" s="171"/>
      <c r="EC71" s="171"/>
      <c r="ED71" s="171"/>
      <c r="EE71" s="171"/>
      <c r="EF71" s="171"/>
      <c r="EG71" s="171"/>
      <c r="EH71" s="171"/>
      <c r="EI71" s="171"/>
      <c r="EJ71" s="171"/>
      <c r="EK71" s="171"/>
      <c r="EL71" s="171"/>
      <c r="EM71" s="171"/>
      <c r="EN71" s="171"/>
      <c r="EO71" s="171"/>
      <c r="EP71" s="171"/>
      <c r="EQ71" s="171"/>
      <c r="ER71" s="171"/>
      <c r="ES71" s="171"/>
      <c r="ET71" s="171"/>
    </row>
    <row r="72" spans="1:150" s="385" customFormat="1" ht="16.5" customHeight="1">
      <c r="A72" s="377">
        <f t="shared" si="1"/>
        <v>63</v>
      </c>
      <c r="B72" s="378" t="s">
        <v>2061</v>
      </c>
      <c r="C72" s="379">
        <v>7</v>
      </c>
      <c r="D72" s="380" t="s">
        <v>1297</v>
      </c>
      <c r="E72" s="381">
        <v>44794</v>
      </c>
      <c r="F72" s="378" t="s">
        <v>1299</v>
      </c>
      <c r="G72" s="377" t="s">
        <v>2064</v>
      </c>
      <c r="H72" s="379" t="s">
        <v>2140</v>
      </c>
      <c r="I72" s="382">
        <v>1</v>
      </c>
      <c r="J72" s="382">
        <v>6</v>
      </c>
      <c r="K72" s="382">
        <v>7</v>
      </c>
      <c r="L72" s="382">
        <v>1</v>
      </c>
      <c r="M72" s="382">
        <v>4</v>
      </c>
      <c r="N72" s="382">
        <v>1</v>
      </c>
      <c r="O72" s="382">
        <v>5</v>
      </c>
      <c r="P72" s="382">
        <v>5</v>
      </c>
      <c r="Q72" s="382">
        <v>5</v>
      </c>
      <c r="R72" s="167">
        <v>0</v>
      </c>
      <c r="S72" s="161">
        <v>0</v>
      </c>
      <c r="T72" s="161">
        <v>0</v>
      </c>
      <c r="U72" s="383"/>
      <c r="V72" s="379">
        <v>5</v>
      </c>
      <c r="W72" s="377">
        <v>2</v>
      </c>
      <c r="X72" s="167">
        <v>10</v>
      </c>
      <c r="Y72" s="379">
        <v>17</v>
      </c>
      <c r="Z72" s="167">
        <v>8</v>
      </c>
      <c r="AA72" s="379">
        <v>3</v>
      </c>
      <c r="AB72" s="379">
        <v>4</v>
      </c>
      <c r="AC72" s="379"/>
      <c r="AD72" s="384"/>
      <c r="AE72" s="171"/>
      <c r="AF72" s="171" t="s">
        <v>2063</v>
      </c>
      <c r="AG72" s="171" t="s">
        <v>1697</v>
      </c>
      <c r="AH72" s="171" t="s">
        <v>73</v>
      </c>
      <c r="AI72" s="171"/>
      <c r="AJ72" s="171"/>
      <c r="AK72" s="171"/>
      <c r="AL72" s="171"/>
      <c r="AM72" s="171"/>
      <c r="AN72" s="171"/>
      <c r="AO72" s="171"/>
      <c r="AP72" s="171"/>
      <c r="AQ72" s="171"/>
      <c r="AR72" s="171"/>
      <c r="AS72" s="171"/>
      <c r="AT72" s="171"/>
      <c r="AU72" s="171"/>
      <c r="AV72" s="171"/>
      <c r="AW72" s="171"/>
      <c r="AX72" s="171"/>
      <c r="AY72" s="171"/>
      <c r="AZ72" s="171"/>
      <c r="BA72" s="171"/>
      <c r="BB72" s="171"/>
      <c r="BC72" s="171"/>
      <c r="BD72" s="171"/>
      <c r="BE72" s="171"/>
      <c r="BF72" s="171"/>
      <c r="BG72" s="171"/>
      <c r="BH72" s="171"/>
      <c r="BI72" s="171"/>
      <c r="BJ72" s="171"/>
      <c r="BK72" s="171"/>
      <c r="BL72" s="171"/>
      <c r="BM72" s="171"/>
      <c r="BN72" s="171"/>
      <c r="BO72" s="171"/>
      <c r="BP72" s="171"/>
      <c r="BQ72" s="171"/>
      <c r="BR72" s="171"/>
      <c r="BS72" s="171"/>
      <c r="BT72" s="171"/>
      <c r="BU72" s="171"/>
      <c r="BV72" s="171"/>
      <c r="BW72" s="171"/>
      <c r="BX72" s="171"/>
      <c r="BY72" s="171"/>
      <c r="BZ72" s="171"/>
      <c r="CA72" s="171"/>
      <c r="CB72" s="171"/>
      <c r="CC72" s="171"/>
      <c r="CD72" s="171"/>
      <c r="CE72" s="171"/>
      <c r="CF72" s="171"/>
      <c r="CG72" s="171"/>
      <c r="CH72" s="171"/>
      <c r="CI72" s="171"/>
      <c r="CJ72" s="171"/>
      <c r="CK72" s="171"/>
      <c r="CL72" s="171"/>
      <c r="CM72" s="171"/>
      <c r="CN72" s="171"/>
      <c r="CO72" s="171"/>
      <c r="CP72" s="171"/>
      <c r="CQ72" s="171"/>
      <c r="CR72" s="171"/>
      <c r="CS72" s="171"/>
      <c r="CT72" s="171"/>
      <c r="CU72" s="171"/>
      <c r="CV72" s="171"/>
      <c r="CW72" s="171"/>
      <c r="CX72" s="171"/>
      <c r="CY72" s="171"/>
      <c r="CZ72" s="171"/>
      <c r="DA72" s="171"/>
      <c r="DB72" s="171"/>
      <c r="DC72" s="171"/>
      <c r="DD72" s="171"/>
      <c r="DE72" s="171"/>
      <c r="DF72" s="171"/>
      <c r="DG72" s="171"/>
      <c r="DH72" s="171"/>
      <c r="DI72" s="171"/>
      <c r="DJ72" s="171"/>
      <c r="DK72" s="171"/>
      <c r="DL72" s="171"/>
      <c r="DM72" s="171"/>
      <c r="DN72" s="171"/>
      <c r="DO72" s="171"/>
      <c r="DP72" s="171"/>
      <c r="DQ72" s="171"/>
      <c r="DR72" s="171"/>
      <c r="DS72" s="171"/>
      <c r="DT72" s="171"/>
      <c r="DU72" s="171"/>
      <c r="DV72" s="171"/>
      <c r="DW72" s="171"/>
      <c r="DX72" s="171"/>
      <c r="DY72" s="171"/>
      <c r="DZ72" s="171"/>
      <c r="EA72" s="171"/>
      <c r="EB72" s="171"/>
      <c r="EC72" s="171"/>
      <c r="ED72" s="171"/>
      <c r="EE72" s="171"/>
      <c r="EF72" s="171"/>
      <c r="EG72" s="171"/>
      <c r="EH72" s="171"/>
      <c r="EI72" s="171"/>
      <c r="EJ72" s="171"/>
      <c r="EK72" s="171"/>
      <c r="EL72" s="171"/>
      <c r="EM72" s="171"/>
      <c r="EN72" s="171"/>
      <c r="EO72" s="171"/>
      <c r="EP72" s="171"/>
      <c r="EQ72" s="171"/>
      <c r="ER72" s="171"/>
      <c r="ES72" s="171"/>
      <c r="ET72" s="171"/>
    </row>
    <row r="73" spans="1:150" s="385" customFormat="1" ht="16.5" customHeight="1">
      <c r="A73" s="377">
        <f t="shared" si="1"/>
        <v>64</v>
      </c>
      <c r="B73" s="378" t="s">
        <v>1513</v>
      </c>
      <c r="C73" s="379">
        <v>1</v>
      </c>
      <c r="D73" s="380" t="s">
        <v>1310</v>
      </c>
      <c r="E73" s="381">
        <v>44796</v>
      </c>
      <c r="F73" s="378" t="s">
        <v>1312</v>
      </c>
      <c r="G73" s="377" t="s">
        <v>2069</v>
      </c>
      <c r="H73" s="379" t="s">
        <v>2143</v>
      </c>
      <c r="I73" s="382">
        <v>4</v>
      </c>
      <c r="J73" s="382">
        <v>17</v>
      </c>
      <c r="K73" s="382">
        <v>2</v>
      </c>
      <c r="L73" s="382">
        <v>1</v>
      </c>
      <c r="M73" s="382">
        <v>3</v>
      </c>
      <c r="N73" s="382">
        <v>2</v>
      </c>
      <c r="O73" s="382">
        <v>3</v>
      </c>
      <c r="P73" s="382">
        <v>1</v>
      </c>
      <c r="Q73" s="382">
        <v>1</v>
      </c>
      <c r="R73" s="167">
        <v>0</v>
      </c>
      <c r="S73" s="161">
        <v>0</v>
      </c>
      <c r="T73" s="161">
        <v>0</v>
      </c>
      <c r="U73" s="383"/>
      <c r="V73" s="379">
        <v>3</v>
      </c>
      <c r="W73" s="377">
        <v>2</v>
      </c>
      <c r="X73" s="167">
        <v>3</v>
      </c>
      <c r="Y73" s="167">
        <v>3</v>
      </c>
      <c r="Z73" s="167">
        <v>8</v>
      </c>
      <c r="AA73" s="379">
        <v>3</v>
      </c>
      <c r="AB73" s="379"/>
      <c r="AC73" s="379"/>
      <c r="AD73" s="384"/>
      <c r="AE73" s="171"/>
      <c r="AF73" s="171" t="s">
        <v>1745</v>
      </c>
      <c r="AG73" s="171" t="s">
        <v>1728</v>
      </c>
      <c r="AH73" s="171" t="s">
        <v>73</v>
      </c>
      <c r="AI73" s="171"/>
      <c r="AJ73" s="171"/>
      <c r="AK73" s="171"/>
      <c r="AL73" s="171"/>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c r="BM73" s="171"/>
      <c r="BN73" s="171"/>
      <c r="BO73" s="171"/>
      <c r="BP73" s="171"/>
      <c r="BQ73" s="171"/>
      <c r="BR73" s="171"/>
      <c r="BS73" s="171"/>
      <c r="BT73" s="171"/>
      <c r="BU73" s="171"/>
      <c r="BV73" s="171"/>
      <c r="BW73" s="171"/>
      <c r="BX73" s="171"/>
      <c r="BY73" s="171"/>
      <c r="BZ73" s="171"/>
      <c r="CA73" s="171"/>
      <c r="CB73" s="171"/>
      <c r="CC73" s="171"/>
      <c r="CD73" s="171"/>
      <c r="CE73" s="171"/>
      <c r="CF73" s="171"/>
      <c r="CG73" s="171"/>
      <c r="CH73" s="171"/>
      <c r="CI73" s="171"/>
      <c r="CJ73" s="171"/>
      <c r="CK73" s="171"/>
      <c r="CL73" s="171"/>
      <c r="CM73" s="171"/>
      <c r="CN73" s="171"/>
      <c r="CO73" s="171"/>
      <c r="CP73" s="171"/>
      <c r="CQ73" s="171"/>
      <c r="CR73" s="171"/>
      <c r="CS73" s="171"/>
      <c r="CT73" s="171"/>
      <c r="CU73" s="171"/>
      <c r="CV73" s="171"/>
      <c r="CW73" s="171"/>
      <c r="CX73" s="171"/>
      <c r="CY73" s="171"/>
      <c r="CZ73" s="171"/>
      <c r="DA73" s="171"/>
      <c r="DB73" s="171"/>
      <c r="DC73" s="171"/>
      <c r="DD73" s="171"/>
      <c r="DE73" s="171"/>
      <c r="DF73" s="171"/>
      <c r="DG73" s="171"/>
      <c r="DH73" s="171"/>
      <c r="DI73" s="171"/>
      <c r="DJ73" s="171"/>
      <c r="DK73" s="171"/>
      <c r="DL73" s="171"/>
      <c r="DM73" s="171"/>
      <c r="DN73" s="171"/>
      <c r="DO73" s="171"/>
      <c r="DP73" s="171"/>
      <c r="DQ73" s="171"/>
      <c r="DR73" s="171"/>
      <c r="DS73" s="171"/>
      <c r="DT73" s="171"/>
      <c r="DU73" s="171"/>
      <c r="DV73" s="171"/>
      <c r="DW73" s="171"/>
      <c r="DX73" s="171"/>
      <c r="DY73" s="171"/>
      <c r="DZ73" s="171"/>
      <c r="EA73" s="171"/>
      <c r="EB73" s="171"/>
      <c r="EC73" s="171"/>
      <c r="ED73" s="171"/>
      <c r="EE73" s="171"/>
      <c r="EF73" s="171"/>
      <c r="EG73" s="171"/>
      <c r="EH73" s="171"/>
      <c r="EI73" s="171"/>
      <c r="EJ73" s="171"/>
      <c r="EK73" s="171"/>
      <c r="EL73" s="171"/>
      <c r="EM73" s="171"/>
      <c r="EN73" s="171"/>
      <c r="EO73" s="171"/>
      <c r="EP73" s="171"/>
      <c r="EQ73" s="171"/>
      <c r="ER73" s="171"/>
      <c r="ES73" s="171"/>
      <c r="ET73" s="171"/>
    </row>
    <row r="74" spans="1:150" s="385" customFormat="1" ht="16.5" customHeight="1">
      <c r="A74" s="377">
        <f t="shared" si="1"/>
        <v>65</v>
      </c>
      <c r="B74" s="378" t="s">
        <v>1513</v>
      </c>
      <c r="C74" s="379">
        <v>1</v>
      </c>
      <c r="D74" s="380" t="s">
        <v>1323</v>
      </c>
      <c r="E74" s="381">
        <v>44797</v>
      </c>
      <c r="F74" s="378" t="s">
        <v>1325</v>
      </c>
      <c r="G74" s="377">
        <v>80003008</v>
      </c>
      <c r="H74" s="379" t="s">
        <v>2140</v>
      </c>
      <c r="I74" s="379">
        <v>1</v>
      </c>
      <c r="J74" s="382">
        <v>15</v>
      </c>
      <c r="K74" s="382">
        <v>3</v>
      </c>
      <c r="L74" s="382">
        <v>1</v>
      </c>
      <c r="M74" s="382">
        <v>1</v>
      </c>
      <c r="N74" s="382">
        <v>4</v>
      </c>
      <c r="O74" s="382">
        <v>3</v>
      </c>
      <c r="P74" s="168">
        <v>3</v>
      </c>
      <c r="Q74" s="382">
        <v>1</v>
      </c>
      <c r="R74" s="167">
        <v>0</v>
      </c>
      <c r="S74" s="161">
        <v>0</v>
      </c>
      <c r="T74" s="161">
        <v>0</v>
      </c>
      <c r="U74" s="383"/>
      <c r="V74" s="167">
        <v>1</v>
      </c>
      <c r="W74" s="377">
        <v>1</v>
      </c>
      <c r="X74" s="167">
        <v>1</v>
      </c>
      <c r="Y74" s="379"/>
      <c r="Z74" s="167"/>
      <c r="AA74" s="379"/>
      <c r="AB74" s="379"/>
      <c r="AC74" s="379"/>
      <c r="AD74" s="384"/>
      <c r="AE74" s="171"/>
      <c r="AF74" s="171" t="s">
        <v>2144</v>
      </c>
      <c r="AG74" s="171" t="s">
        <v>1744</v>
      </c>
      <c r="AH74" s="171"/>
      <c r="AI74" s="171"/>
      <c r="AJ74" s="171"/>
      <c r="AK74" s="171"/>
      <c r="AL74" s="171"/>
      <c r="AM74" s="171"/>
      <c r="AN74" s="171"/>
      <c r="AO74" s="171"/>
      <c r="AP74" s="171"/>
      <c r="AQ74" s="171"/>
      <c r="AR74" s="171"/>
      <c r="AS74" s="171"/>
      <c r="AT74" s="171"/>
      <c r="AU74" s="171"/>
      <c r="AV74" s="171"/>
      <c r="AW74" s="171"/>
      <c r="AX74" s="171"/>
      <c r="AY74" s="171"/>
      <c r="AZ74" s="171"/>
      <c r="BA74" s="171"/>
      <c r="BB74" s="171"/>
      <c r="BC74" s="171"/>
      <c r="BD74" s="171"/>
      <c r="BE74" s="171"/>
      <c r="BF74" s="171"/>
      <c r="BG74" s="171"/>
      <c r="BH74" s="171"/>
      <c r="BI74" s="171"/>
      <c r="BJ74" s="171"/>
      <c r="BK74" s="171"/>
      <c r="BL74" s="171"/>
      <c r="BM74" s="171"/>
      <c r="BN74" s="171"/>
      <c r="BO74" s="171"/>
      <c r="BP74" s="171"/>
      <c r="BQ74" s="171"/>
      <c r="BR74" s="171"/>
      <c r="BS74" s="171"/>
      <c r="BT74" s="171"/>
      <c r="BU74" s="171"/>
      <c r="BV74" s="171"/>
      <c r="BW74" s="171"/>
      <c r="BX74" s="171"/>
      <c r="BY74" s="171"/>
      <c r="BZ74" s="171"/>
      <c r="CA74" s="171"/>
      <c r="CB74" s="171"/>
      <c r="CC74" s="171"/>
      <c r="CD74" s="171"/>
      <c r="CE74" s="171"/>
      <c r="CF74" s="171"/>
      <c r="CG74" s="171"/>
      <c r="CH74" s="171"/>
      <c r="CI74" s="171"/>
      <c r="CJ74" s="171"/>
      <c r="CK74" s="171"/>
      <c r="CL74" s="171"/>
      <c r="CM74" s="171"/>
      <c r="CN74" s="171"/>
      <c r="CO74" s="171"/>
      <c r="CP74" s="171"/>
      <c r="CQ74" s="171"/>
      <c r="CR74" s="171"/>
      <c r="CS74" s="171"/>
      <c r="CT74" s="171"/>
      <c r="CU74" s="171"/>
      <c r="CV74" s="171"/>
      <c r="CW74" s="171"/>
      <c r="CX74" s="171"/>
      <c r="CY74" s="171"/>
      <c r="CZ74" s="171"/>
      <c r="DA74" s="171"/>
      <c r="DB74" s="171"/>
      <c r="DC74" s="171"/>
      <c r="DD74" s="171"/>
      <c r="DE74" s="171"/>
      <c r="DF74" s="171"/>
      <c r="DG74" s="171"/>
      <c r="DH74" s="171"/>
      <c r="DI74" s="171"/>
      <c r="DJ74" s="171"/>
      <c r="DK74" s="171"/>
      <c r="DL74" s="171"/>
      <c r="DM74" s="171"/>
      <c r="DN74" s="171"/>
      <c r="DO74" s="171"/>
      <c r="DP74" s="171"/>
      <c r="DQ74" s="171"/>
      <c r="DR74" s="171"/>
      <c r="DS74" s="171"/>
      <c r="DT74" s="171"/>
      <c r="DU74" s="171"/>
      <c r="DV74" s="171"/>
      <c r="DW74" s="171"/>
      <c r="DX74" s="171"/>
      <c r="DY74" s="171"/>
      <c r="DZ74" s="171"/>
      <c r="EA74" s="171"/>
      <c r="EB74" s="171"/>
      <c r="EC74" s="171"/>
      <c r="ED74" s="171"/>
      <c r="EE74" s="171"/>
      <c r="EF74" s="171"/>
      <c r="EG74" s="171"/>
      <c r="EH74" s="171"/>
      <c r="EI74" s="171"/>
      <c r="EJ74" s="171"/>
      <c r="EK74" s="171"/>
      <c r="EL74" s="171"/>
      <c r="EM74" s="171"/>
      <c r="EN74" s="171"/>
      <c r="EO74" s="171"/>
      <c r="EP74" s="171"/>
      <c r="EQ74" s="171"/>
      <c r="ER74" s="171"/>
      <c r="ES74" s="171"/>
      <c r="ET74" s="171"/>
    </row>
    <row r="75" spans="1:150" s="385" customFormat="1" ht="16.5" customHeight="1">
      <c r="A75" s="377">
        <f t="shared" si="1"/>
        <v>66</v>
      </c>
      <c r="B75" s="378" t="s">
        <v>1513</v>
      </c>
      <c r="C75" s="379">
        <v>1</v>
      </c>
      <c r="D75" s="380" t="s">
        <v>1327</v>
      </c>
      <c r="E75" s="381">
        <v>44799</v>
      </c>
      <c r="F75" s="378" t="s">
        <v>1329</v>
      </c>
      <c r="G75" s="377">
        <v>80002352</v>
      </c>
      <c r="H75" s="379" t="s">
        <v>2140</v>
      </c>
      <c r="I75" s="379">
        <v>1</v>
      </c>
      <c r="J75" s="382">
        <v>20</v>
      </c>
      <c r="K75" s="382">
        <v>5</v>
      </c>
      <c r="L75" s="382">
        <v>2</v>
      </c>
      <c r="M75" s="382">
        <v>1</v>
      </c>
      <c r="N75" s="382">
        <v>2</v>
      </c>
      <c r="O75" s="382">
        <v>3</v>
      </c>
      <c r="P75" s="168">
        <v>3</v>
      </c>
      <c r="Q75" s="382">
        <v>1</v>
      </c>
      <c r="R75" s="167">
        <v>0</v>
      </c>
      <c r="S75" s="161">
        <v>0</v>
      </c>
      <c r="T75" s="161">
        <v>0</v>
      </c>
      <c r="U75" s="383"/>
      <c r="V75" s="167">
        <v>1</v>
      </c>
      <c r="W75" s="377">
        <v>2</v>
      </c>
      <c r="X75" s="167">
        <v>1</v>
      </c>
      <c r="Y75" s="379"/>
      <c r="Z75" s="167"/>
      <c r="AA75" s="379"/>
      <c r="AB75" s="379"/>
      <c r="AC75" s="379"/>
      <c r="AD75" s="384"/>
      <c r="AE75" s="171"/>
      <c r="AF75" s="171" t="s">
        <v>2144</v>
      </c>
      <c r="AG75" s="171" t="s">
        <v>1744</v>
      </c>
      <c r="AH75" s="171"/>
      <c r="AI75" s="171"/>
      <c r="AJ75" s="171"/>
      <c r="AK75" s="171"/>
      <c r="AL75" s="171"/>
      <c r="AM75" s="171"/>
      <c r="AN75" s="171"/>
      <c r="AO75" s="171"/>
      <c r="AP75" s="171"/>
      <c r="AQ75" s="171"/>
      <c r="AR75" s="171"/>
      <c r="AS75" s="171"/>
      <c r="AT75" s="171"/>
      <c r="AU75" s="171"/>
      <c r="AV75" s="171"/>
      <c r="AW75" s="171"/>
      <c r="AX75" s="171"/>
      <c r="AY75" s="171"/>
      <c r="AZ75" s="171"/>
      <c r="BA75" s="171"/>
      <c r="BB75" s="171"/>
      <c r="BC75" s="171"/>
      <c r="BD75" s="171"/>
      <c r="BE75" s="171"/>
      <c r="BF75" s="171"/>
      <c r="BG75" s="171"/>
      <c r="BH75" s="171"/>
      <c r="BI75" s="171"/>
      <c r="BJ75" s="171"/>
      <c r="BK75" s="171"/>
      <c r="BL75" s="171"/>
      <c r="BM75" s="171"/>
      <c r="BN75" s="171"/>
      <c r="BO75" s="171"/>
      <c r="BP75" s="171"/>
      <c r="BQ75" s="171"/>
      <c r="BR75" s="171"/>
      <c r="BS75" s="171"/>
      <c r="BT75" s="171"/>
      <c r="BU75" s="171"/>
      <c r="BV75" s="171"/>
      <c r="BW75" s="171"/>
      <c r="BX75" s="171"/>
      <c r="BY75" s="171"/>
      <c r="BZ75" s="171"/>
      <c r="CA75" s="171"/>
      <c r="CB75" s="171"/>
      <c r="CC75" s="171"/>
      <c r="CD75" s="171"/>
      <c r="CE75" s="171"/>
      <c r="CF75" s="171"/>
      <c r="CG75" s="171"/>
      <c r="CH75" s="171"/>
      <c r="CI75" s="171"/>
      <c r="CJ75" s="171"/>
      <c r="CK75" s="171"/>
      <c r="CL75" s="171"/>
      <c r="CM75" s="171"/>
      <c r="CN75" s="171"/>
      <c r="CO75" s="171"/>
      <c r="CP75" s="171"/>
      <c r="CQ75" s="171"/>
      <c r="CR75" s="171"/>
      <c r="CS75" s="171"/>
      <c r="CT75" s="171"/>
      <c r="CU75" s="171"/>
      <c r="CV75" s="171"/>
      <c r="CW75" s="171"/>
      <c r="CX75" s="171"/>
      <c r="CY75" s="171"/>
      <c r="CZ75" s="171"/>
      <c r="DA75" s="171"/>
      <c r="DB75" s="171"/>
      <c r="DC75" s="171"/>
      <c r="DD75" s="171"/>
      <c r="DE75" s="171"/>
      <c r="DF75" s="171"/>
      <c r="DG75" s="171"/>
      <c r="DH75" s="171"/>
      <c r="DI75" s="171"/>
      <c r="DJ75" s="171"/>
      <c r="DK75" s="171"/>
      <c r="DL75" s="171"/>
      <c r="DM75" s="171"/>
      <c r="DN75" s="171"/>
      <c r="DO75" s="171"/>
      <c r="DP75" s="171"/>
      <c r="DQ75" s="171"/>
      <c r="DR75" s="171"/>
      <c r="DS75" s="171"/>
      <c r="DT75" s="171"/>
      <c r="DU75" s="171"/>
      <c r="DV75" s="171"/>
      <c r="DW75" s="171"/>
      <c r="DX75" s="171"/>
      <c r="DY75" s="171"/>
      <c r="DZ75" s="171"/>
      <c r="EA75" s="171"/>
      <c r="EB75" s="171"/>
      <c r="EC75" s="171"/>
      <c r="ED75" s="171"/>
      <c r="EE75" s="171"/>
      <c r="EF75" s="171"/>
      <c r="EG75" s="171"/>
      <c r="EH75" s="171"/>
      <c r="EI75" s="171"/>
      <c r="EJ75" s="171"/>
      <c r="EK75" s="171"/>
      <c r="EL75" s="171"/>
      <c r="EM75" s="171"/>
      <c r="EN75" s="171"/>
      <c r="EO75" s="171"/>
      <c r="EP75" s="171"/>
      <c r="EQ75" s="171"/>
      <c r="ER75" s="171"/>
      <c r="ES75" s="171"/>
      <c r="ET75" s="171"/>
    </row>
    <row r="76" spans="1:150" s="385" customFormat="1" ht="16.5" customHeight="1">
      <c r="A76" s="377">
        <f t="shared" si="1"/>
        <v>67</v>
      </c>
      <c r="B76" s="378" t="s">
        <v>1513</v>
      </c>
      <c r="C76" s="379">
        <v>1</v>
      </c>
      <c r="D76" s="380" t="s">
        <v>1331</v>
      </c>
      <c r="E76" s="381">
        <v>44800</v>
      </c>
      <c r="F76" s="378" t="s">
        <v>1333</v>
      </c>
      <c r="G76" s="377">
        <v>80002649</v>
      </c>
      <c r="H76" s="379" t="s">
        <v>2140</v>
      </c>
      <c r="I76" s="379">
        <v>1</v>
      </c>
      <c r="J76" s="382">
        <v>8</v>
      </c>
      <c r="K76" s="382">
        <v>6</v>
      </c>
      <c r="L76" s="382">
        <v>1</v>
      </c>
      <c r="M76" s="382">
        <v>1</v>
      </c>
      <c r="N76" s="382">
        <v>2</v>
      </c>
      <c r="O76" s="382">
        <v>2</v>
      </c>
      <c r="P76" s="168">
        <v>3</v>
      </c>
      <c r="Q76" s="382">
        <v>1</v>
      </c>
      <c r="R76" s="167">
        <v>0</v>
      </c>
      <c r="S76" s="161">
        <v>0</v>
      </c>
      <c r="T76" s="161">
        <v>0</v>
      </c>
      <c r="U76" s="383"/>
      <c r="V76" s="167">
        <v>1</v>
      </c>
      <c r="W76" s="377">
        <v>1</v>
      </c>
      <c r="X76" s="167">
        <v>2</v>
      </c>
      <c r="Y76" s="379"/>
      <c r="Z76" s="167"/>
      <c r="AA76" s="379"/>
      <c r="AB76" s="379"/>
      <c r="AC76" s="379"/>
      <c r="AD76" s="1230"/>
      <c r="AE76" s="171"/>
      <c r="AF76" s="171" t="s">
        <v>2144</v>
      </c>
      <c r="AG76" s="171" t="s">
        <v>1818</v>
      </c>
      <c r="AH76" s="171"/>
      <c r="AI76" s="171"/>
      <c r="AJ76" s="171"/>
      <c r="AK76" s="171"/>
      <c r="AL76" s="171"/>
      <c r="AM76" s="171"/>
      <c r="AN76" s="171"/>
      <c r="AO76" s="171"/>
      <c r="AP76" s="171"/>
      <c r="AQ76" s="171"/>
      <c r="AR76" s="171"/>
      <c r="AS76" s="171"/>
      <c r="AT76" s="171"/>
      <c r="AU76" s="171"/>
      <c r="AV76" s="171"/>
      <c r="AW76" s="171"/>
      <c r="AX76" s="171"/>
      <c r="AY76" s="171"/>
      <c r="AZ76" s="171"/>
      <c r="BA76" s="171"/>
      <c r="BB76" s="171"/>
      <c r="BC76" s="171"/>
      <c r="BD76" s="171"/>
      <c r="BE76" s="171"/>
      <c r="BF76" s="171"/>
      <c r="BG76" s="171"/>
      <c r="BH76" s="171"/>
      <c r="BI76" s="171"/>
      <c r="BJ76" s="171"/>
      <c r="BK76" s="171"/>
      <c r="BL76" s="171"/>
      <c r="BM76" s="171"/>
      <c r="BN76" s="171"/>
      <c r="BO76" s="171"/>
      <c r="BP76" s="171"/>
      <c r="BQ76" s="171"/>
      <c r="BR76" s="171"/>
      <c r="BS76" s="171"/>
      <c r="BT76" s="171"/>
      <c r="BU76" s="171"/>
      <c r="BV76" s="171"/>
      <c r="BW76" s="171"/>
      <c r="BX76" s="171"/>
      <c r="BY76" s="171"/>
      <c r="BZ76" s="171"/>
      <c r="CA76" s="171"/>
      <c r="CB76" s="171"/>
      <c r="CC76" s="171"/>
      <c r="CD76" s="171"/>
      <c r="CE76" s="171"/>
      <c r="CF76" s="171"/>
      <c r="CG76" s="171"/>
      <c r="CH76" s="171"/>
      <c r="CI76" s="171"/>
      <c r="CJ76" s="171"/>
      <c r="CK76" s="171"/>
      <c r="CL76" s="171"/>
      <c r="CM76" s="171"/>
      <c r="CN76" s="171"/>
      <c r="CO76" s="171"/>
      <c r="CP76" s="171"/>
      <c r="CQ76" s="171"/>
      <c r="CR76" s="171"/>
      <c r="CS76" s="171"/>
      <c r="CT76" s="171"/>
      <c r="CU76" s="171"/>
      <c r="CV76" s="171"/>
      <c r="CW76" s="171"/>
      <c r="CX76" s="171"/>
      <c r="CY76" s="171"/>
      <c r="CZ76" s="171"/>
      <c r="DA76" s="171"/>
      <c r="DB76" s="171"/>
      <c r="DC76" s="171"/>
      <c r="DD76" s="171"/>
      <c r="DE76" s="171"/>
      <c r="DF76" s="171"/>
      <c r="DG76" s="171"/>
      <c r="DH76" s="171"/>
      <c r="DI76" s="171"/>
      <c r="DJ76" s="171"/>
      <c r="DK76" s="171"/>
      <c r="DL76" s="171"/>
      <c r="DM76" s="171"/>
      <c r="DN76" s="171"/>
      <c r="DO76" s="171"/>
      <c r="DP76" s="171"/>
      <c r="DQ76" s="171"/>
      <c r="DR76" s="171"/>
      <c r="DS76" s="171"/>
      <c r="DT76" s="171"/>
      <c r="DU76" s="171"/>
      <c r="DV76" s="171"/>
      <c r="DW76" s="171"/>
      <c r="DX76" s="171"/>
      <c r="DY76" s="171"/>
      <c r="DZ76" s="171"/>
      <c r="EA76" s="171"/>
      <c r="EB76" s="171"/>
      <c r="EC76" s="171"/>
      <c r="ED76" s="171"/>
      <c r="EE76" s="171"/>
      <c r="EF76" s="171"/>
      <c r="EG76" s="171"/>
      <c r="EH76" s="171"/>
      <c r="EI76" s="171"/>
      <c r="EJ76" s="171"/>
      <c r="EK76" s="171"/>
      <c r="EL76" s="171"/>
      <c r="EM76" s="171"/>
      <c r="EN76" s="171"/>
      <c r="EO76" s="171"/>
      <c r="EP76" s="171"/>
      <c r="EQ76" s="171"/>
      <c r="ER76" s="171"/>
      <c r="ES76" s="171"/>
      <c r="ET76" s="171"/>
    </row>
    <row r="77" spans="1:150" s="385" customFormat="1" ht="16.5" customHeight="1">
      <c r="A77" s="377">
        <f t="shared" si="1"/>
        <v>68</v>
      </c>
      <c r="B77" s="378" t="s">
        <v>2088</v>
      </c>
      <c r="C77" s="379">
        <v>1</v>
      </c>
      <c r="D77" s="380" t="s">
        <v>2093</v>
      </c>
      <c r="E77" s="381">
        <v>44826</v>
      </c>
      <c r="F77" s="378" t="s">
        <v>2094</v>
      </c>
      <c r="G77" s="377">
        <v>80005328</v>
      </c>
      <c r="H77" s="379" t="s">
        <v>2140</v>
      </c>
      <c r="I77" s="379">
        <v>1</v>
      </c>
      <c r="J77" s="379">
        <v>10</v>
      </c>
      <c r="K77" s="379">
        <v>4</v>
      </c>
      <c r="L77" s="379">
        <v>1</v>
      </c>
      <c r="M77" s="379">
        <v>4</v>
      </c>
      <c r="N77" s="379">
        <v>1</v>
      </c>
      <c r="O77" s="379">
        <v>4</v>
      </c>
      <c r="P77" s="167">
        <v>2</v>
      </c>
      <c r="Q77" s="379">
        <v>3</v>
      </c>
      <c r="R77" s="167">
        <v>0</v>
      </c>
      <c r="S77" s="161">
        <v>0</v>
      </c>
      <c r="T77" s="161">
        <v>0</v>
      </c>
      <c r="U77" s="383"/>
      <c r="V77" s="167">
        <v>1</v>
      </c>
      <c r="W77" s="377">
        <v>2</v>
      </c>
      <c r="X77" s="167">
        <v>1</v>
      </c>
      <c r="Y77" s="379">
        <v>13</v>
      </c>
      <c r="Z77" s="167">
        <v>5</v>
      </c>
      <c r="AA77" s="379">
        <v>3</v>
      </c>
      <c r="AB77" s="379">
        <v>1</v>
      </c>
      <c r="AC77" s="379">
        <v>4</v>
      </c>
      <c r="AD77" s="1088"/>
      <c r="AE77" s="171"/>
      <c r="AF77" s="171"/>
      <c r="AG77" s="171"/>
      <c r="AH77" s="171"/>
      <c r="AI77" s="171"/>
      <c r="AJ77" s="171"/>
      <c r="AK77" s="171"/>
      <c r="AL77" s="171"/>
      <c r="AM77" s="171"/>
      <c r="AN77" s="171"/>
      <c r="AO77" s="171"/>
      <c r="AP77" s="171"/>
      <c r="AQ77" s="171"/>
      <c r="AR77" s="171"/>
      <c r="AS77" s="171"/>
      <c r="AT77" s="171"/>
      <c r="AU77" s="171"/>
      <c r="AV77" s="171"/>
      <c r="AW77" s="171"/>
      <c r="AX77" s="171"/>
      <c r="AY77" s="171"/>
      <c r="AZ77" s="171"/>
      <c r="BA77" s="171"/>
      <c r="BB77" s="171"/>
      <c r="BC77" s="171"/>
      <c r="BD77" s="171"/>
      <c r="BE77" s="171"/>
      <c r="BF77" s="171"/>
      <c r="BG77" s="171"/>
      <c r="BH77" s="171"/>
      <c r="BI77" s="171"/>
      <c r="BJ77" s="171"/>
      <c r="BK77" s="171"/>
      <c r="BL77" s="171"/>
      <c r="BM77" s="171"/>
      <c r="BN77" s="171"/>
      <c r="BO77" s="171"/>
      <c r="BP77" s="171"/>
      <c r="BQ77" s="171"/>
      <c r="BR77" s="171"/>
      <c r="BS77" s="171"/>
      <c r="BT77" s="171"/>
      <c r="BU77" s="171"/>
      <c r="BV77" s="171"/>
      <c r="BW77" s="171"/>
      <c r="BX77" s="171"/>
      <c r="BY77" s="171"/>
      <c r="BZ77" s="171"/>
      <c r="CA77" s="171"/>
      <c r="CB77" s="171"/>
      <c r="CC77" s="171"/>
      <c r="CD77" s="171"/>
      <c r="CE77" s="171"/>
      <c r="CF77" s="171"/>
      <c r="CG77" s="171"/>
      <c r="CH77" s="171"/>
      <c r="CI77" s="171"/>
      <c r="CJ77" s="171"/>
      <c r="CK77" s="171"/>
      <c r="CL77" s="171"/>
      <c r="CM77" s="171"/>
      <c r="CN77" s="171"/>
      <c r="CO77" s="171"/>
      <c r="CP77" s="171"/>
      <c r="CQ77" s="171"/>
      <c r="CR77" s="171"/>
      <c r="CS77" s="171"/>
      <c r="CT77" s="171"/>
      <c r="CU77" s="171"/>
      <c r="CV77" s="171"/>
      <c r="CW77" s="171"/>
      <c r="CX77" s="171"/>
      <c r="CY77" s="171"/>
      <c r="CZ77" s="171"/>
      <c r="DA77" s="171"/>
      <c r="DB77" s="171"/>
      <c r="DC77" s="171"/>
      <c r="DD77" s="171"/>
      <c r="DE77" s="171"/>
      <c r="DF77" s="171"/>
      <c r="DG77" s="171"/>
      <c r="DH77" s="171"/>
      <c r="DI77" s="171"/>
      <c r="DJ77" s="171"/>
      <c r="DK77" s="171"/>
      <c r="DL77" s="171"/>
      <c r="DM77" s="171"/>
      <c r="DN77" s="171"/>
      <c r="DO77" s="171"/>
      <c r="DP77" s="171"/>
      <c r="DQ77" s="171"/>
      <c r="DR77" s="171"/>
      <c r="DS77" s="171"/>
      <c r="DT77" s="171"/>
      <c r="DU77" s="171"/>
      <c r="DV77" s="171"/>
      <c r="DW77" s="171"/>
      <c r="DX77" s="171"/>
      <c r="DY77" s="171"/>
      <c r="DZ77" s="171"/>
      <c r="EA77" s="171"/>
      <c r="EB77" s="171"/>
      <c r="EC77" s="171"/>
      <c r="ED77" s="171"/>
      <c r="EE77" s="171"/>
      <c r="EF77" s="171"/>
      <c r="EG77" s="171"/>
      <c r="EH77" s="171"/>
      <c r="EI77" s="171"/>
      <c r="EJ77" s="171"/>
      <c r="EK77" s="171"/>
      <c r="EL77" s="171"/>
      <c r="EM77" s="171"/>
      <c r="EN77" s="171"/>
      <c r="EO77" s="171"/>
      <c r="EP77" s="171"/>
      <c r="EQ77" s="171"/>
      <c r="ER77" s="171"/>
      <c r="ES77" s="171"/>
      <c r="ET77" s="171"/>
    </row>
    <row r="78" spans="1:150" s="385" customFormat="1" ht="16.5" customHeight="1">
      <c r="A78" s="377">
        <f t="shared" si="1"/>
        <v>69</v>
      </c>
      <c r="B78" s="378" t="s">
        <v>1513</v>
      </c>
      <c r="C78" s="379">
        <v>1</v>
      </c>
      <c r="D78" s="380" t="s">
        <v>2100</v>
      </c>
      <c r="E78" s="381">
        <v>44831</v>
      </c>
      <c r="F78" s="378" t="s">
        <v>1367</v>
      </c>
      <c r="G78" s="377">
        <v>80003780</v>
      </c>
      <c r="H78" s="379" t="s">
        <v>2140</v>
      </c>
      <c r="I78" s="379">
        <v>1</v>
      </c>
      <c r="J78" s="379">
        <v>4</v>
      </c>
      <c r="K78" s="382">
        <v>1</v>
      </c>
      <c r="L78" s="382">
        <v>2</v>
      </c>
      <c r="M78" s="382">
        <v>1</v>
      </c>
      <c r="N78" s="382">
        <v>4</v>
      </c>
      <c r="O78" s="382">
        <v>4</v>
      </c>
      <c r="P78" s="168">
        <v>3</v>
      </c>
      <c r="Q78" s="382">
        <v>1</v>
      </c>
      <c r="R78" s="167">
        <v>0</v>
      </c>
      <c r="S78" s="161">
        <v>0</v>
      </c>
      <c r="T78" s="161">
        <v>0</v>
      </c>
      <c r="U78" s="383"/>
      <c r="V78" s="167">
        <v>1</v>
      </c>
      <c r="W78" s="377">
        <v>1</v>
      </c>
      <c r="X78" s="167">
        <v>1</v>
      </c>
      <c r="Y78" s="379"/>
      <c r="Z78" s="167"/>
      <c r="AA78" s="379"/>
      <c r="AB78" s="379"/>
      <c r="AC78" s="379"/>
      <c r="AD78" s="1230"/>
      <c r="AE78" s="171"/>
      <c r="AF78" s="171"/>
      <c r="AG78" s="171"/>
      <c r="AH78" s="171"/>
      <c r="AI78" s="171"/>
      <c r="AJ78" s="171"/>
      <c r="AK78" s="171"/>
      <c r="AL78" s="171"/>
      <c r="AM78" s="171"/>
      <c r="AN78" s="171"/>
      <c r="AO78" s="171"/>
      <c r="AP78" s="171"/>
      <c r="AQ78" s="171"/>
      <c r="AR78" s="171"/>
      <c r="AS78" s="171"/>
      <c r="AT78" s="171"/>
      <c r="AU78" s="171"/>
      <c r="AV78" s="171"/>
      <c r="AW78" s="171"/>
      <c r="AX78" s="171"/>
      <c r="AY78" s="171"/>
      <c r="AZ78" s="171"/>
      <c r="BA78" s="171"/>
      <c r="BB78" s="171"/>
      <c r="BC78" s="171"/>
      <c r="BD78" s="171"/>
      <c r="BE78" s="171"/>
      <c r="BF78" s="171"/>
      <c r="BG78" s="171"/>
      <c r="BH78" s="171"/>
      <c r="BI78" s="171"/>
      <c r="BJ78" s="171"/>
      <c r="BK78" s="171"/>
      <c r="BL78" s="171"/>
      <c r="BM78" s="171"/>
      <c r="BN78" s="171"/>
      <c r="BO78" s="171"/>
      <c r="BP78" s="171"/>
      <c r="BQ78" s="171"/>
      <c r="BR78" s="171"/>
      <c r="BS78" s="171"/>
      <c r="BT78" s="171"/>
      <c r="BU78" s="171"/>
      <c r="BV78" s="171"/>
      <c r="BW78" s="171"/>
      <c r="BX78" s="171"/>
      <c r="BY78" s="171"/>
      <c r="BZ78" s="171"/>
      <c r="CA78" s="171"/>
      <c r="CB78" s="171"/>
      <c r="CC78" s="171"/>
      <c r="CD78" s="171"/>
      <c r="CE78" s="171"/>
      <c r="CF78" s="171"/>
      <c r="CG78" s="171"/>
      <c r="CH78" s="171"/>
      <c r="CI78" s="171"/>
      <c r="CJ78" s="171"/>
      <c r="CK78" s="171"/>
      <c r="CL78" s="171"/>
      <c r="CM78" s="171"/>
      <c r="CN78" s="171"/>
      <c r="CO78" s="171"/>
      <c r="CP78" s="171"/>
      <c r="CQ78" s="171"/>
      <c r="CR78" s="171"/>
      <c r="CS78" s="171"/>
      <c r="CT78" s="171"/>
      <c r="CU78" s="171"/>
      <c r="CV78" s="171"/>
      <c r="CW78" s="171"/>
      <c r="CX78" s="171"/>
      <c r="CY78" s="171"/>
      <c r="CZ78" s="171"/>
      <c r="DA78" s="171"/>
      <c r="DB78" s="171"/>
      <c r="DC78" s="171"/>
      <c r="DD78" s="171"/>
      <c r="DE78" s="171"/>
      <c r="DF78" s="171"/>
      <c r="DG78" s="171"/>
      <c r="DH78" s="171"/>
      <c r="DI78" s="171"/>
      <c r="DJ78" s="171"/>
      <c r="DK78" s="171"/>
      <c r="DL78" s="171"/>
      <c r="DM78" s="171"/>
      <c r="DN78" s="171"/>
      <c r="DO78" s="171"/>
      <c r="DP78" s="171"/>
      <c r="DQ78" s="171"/>
      <c r="DR78" s="171"/>
      <c r="DS78" s="171"/>
      <c r="DT78" s="171"/>
      <c r="DU78" s="171"/>
      <c r="DV78" s="171"/>
      <c r="DW78" s="171"/>
      <c r="DX78" s="171"/>
      <c r="DY78" s="171"/>
      <c r="DZ78" s="171"/>
      <c r="EA78" s="171"/>
      <c r="EB78" s="171"/>
      <c r="EC78" s="171"/>
      <c r="ED78" s="171"/>
      <c r="EE78" s="171"/>
      <c r="EF78" s="171"/>
      <c r="EG78" s="171"/>
      <c r="EH78" s="171"/>
      <c r="EI78" s="171"/>
      <c r="EJ78" s="171"/>
      <c r="EK78" s="171"/>
      <c r="EL78" s="171"/>
      <c r="EM78" s="171"/>
      <c r="EN78" s="171"/>
      <c r="EO78" s="171"/>
      <c r="EP78" s="171"/>
      <c r="EQ78" s="171"/>
      <c r="ER78" s="171"/>
      <c r="ES78" s="171"/>
      <c r="ET78" s="171"/>
    </row>
    <row r="79" spans="1:150" s="385" customFormat="1" ht="16.5" customHeight="1">
      <c r="A79" s="377">
        <f t="shared" si="1"/>
        <v>70</v>
      </c>
      <c r="B79" s="378" t="s">
        <v>2088</v>
      </c>
      <c r="C79" s="379">
        <v>1</v>
      </c>
      <c r="D79" s="380" t="s">
        <v>2106</v>
      </c>
      <c r="E79" s="381">
        <v>44829</v>
      </c>
      <c r="F79" s="378" t="s">
        <v>1379</v>
      </c>
      <c r="G79" s="377">
        <v>80003780</v>
      </c>
      <c r="H79" s="379" t="s">
        <v>2140</v>
      </c>
      <c r="I79" s="379">
        <v>1</v>
      </c>
      <c r="J79" s="379">
        <v>15</v>
      </c>
      <c r="K79" s="379">
        <v>7</v>
      </c>
      <c r="L79" s="379">
        <v>1</v>
      </c>
      <c r="M79" s="379">
        <v>1</v>
      </c>
      <c r="N79" s="379">
        <v>2</v>
      </c>
      <c r="O79" s="379">
        <v>3</v>
      </c>
      <c r="P79" s="167">
        <v>3</v>
      </c>
      <c r="Q79" s="379">
        <v>1</v>
      </c>
      <c r="R79" s="167">
        <v>0</v>
      </c>
      <c r="S79" s="161">
        <v>0</v>
      </c>
      <c r="T79" s="161">
        <v>0</v>
      </c>
      <c r="U79" s="383"/>
      <c r="V79" s="167">
        <v>3</v>
      </c>
      <c r="W79" s="377">
        <v>2</v>
      </c>
      <c r="X79" s="167">
        <v>7</v>
      </c>
      <c r="Y79" s="379">
        <v>4</v>
      </c>
      <c r="Z79" s="167">
        <v>3</v>
      </c>
      <c r="AA79" s="379">
        <v>7</v>
      </c>
      <c r="AB79" s="379">
        <v>6</v>
      </c>
      <c r="AC79" s="379"/>
      <c r="AD79" s="1088"/>
      <c r="AE79" s="171"/>
      <c r="AF79" s="171"/>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c r="BC79" s="171"/>
      <c r="BD79" s="171"/>
      <c r="BE79" s="171"/>
      <c r="BF79" s="171"/>
      <c r="BG79" s="171"/>
      <c r="BH79" s="171"/>
      <c r="BI79" s="171"/>
      <c r="BJ79" s="171"/>
      <c r="BK79" s="171"/>
      <c r="BL79" s="171"/>
      <c r="BM79" s="171"/>
      <c r="BN79" s="171"/>
      <c r="BO79" s="171"/>
      <c r="BP79" s="171"/>
      <c r="BQ79" s="171"/>
      <c r="BR79" s="171"/>
      <c r="BS79" s="171"/>
      <c r="BT79" s="171"/>
      <c r="BU79" s="171"/>
      <c r="BV79" s="171"/>
      <c r="BW79" s="171"/>
      <c r="BX79" s="171"/>
      <c r="BY79" s="171"/>
      <c r="BZ79" s="171"/>
      <c r="CA79" s="171"/>
      <c r="CB79" s="171"/>
      <c r="CC79" s="171"/>
      <c r="CD79" s="171"/>
      <c r="CE79" s="171"/>
      <c r="CF79" s="171"/>
      <c r="CG79" s="171"/>
      <c r="CH79" s="171"/>
      <c r="CI79" s="171"/>
      <c r="CJ79" s="171"/>
      <c r="CK79" s="171"/>
      <c r="CL79" s="171"/>
      <c r="CM79" s="171"/>
      <c r="CN79" s="171"/>
      <c r="CO79" s="171"/>
      <c r="CP79" s="171"/>
      <c r="CQ79" s="171"/>
      <c r="CR79" s="171"/>
      <c r="CS79" s="171"/>
      <c r="CT79" s="171"/>
      <c r="CU79" s="171"/>
      <c r="CV79" s="171"/>
      <c r="CW79" s="171"/>
      <c r="CX79" s="171"/>
      <c r="CY79" s="171"/>
      <c r="CZ79" s="171"/>
      <c r="DA79" s="171"/>
      <c r="DB79" s="171"/>
      <c r="DC79" s="171"/>
      <c r="DD79" s="171"/>
      <c r="DE79" s="171"/>
      <c r="DF79" s="171"/>
      <c r="DG79" s="171"/>
      <c r="DH79" s="171"/>
      <c r="DI79" s="171"/>
      <c r="DJ79" s="171"/>
      <c r="DK79" s="171"/>
      <c r="DL79" s="171"/>
      <c r="DM79" s="171"/>
      <c r="DN79" s="171"/>
      <c r="DO79" s="171"/>
      <c r="DP79" s="171"/>
      <c r="DQ79" s="171"/>
      <c r="DR79" s="171"/>
      <c r="DS79" s="171"/>
      <c r="DT79" s="171"/>
      <c r="DU79" s="171"/>
      <c r="DV79" s="171"/>
      <c r="DW79" s="171"/>
      <c r="DX79" s="171"/>
      <c r="DY79" s="171"/>
      <c r="DZ79" s="171"/>
      <c r="EA79" s="171"/>
      <c r="EB79" s="171"/>
      <c r="EC79" s="171"/>
      <c r="ED79" s="171"/>
      <c r="EE79" s="171"/>
      <c r="EF79" s="171"/>
      <c r="EG79" s="171"/>
      <c r="EH79" s="171"/>
      <c r="EI79" s="171"/>
      <c r="EJ79" s="171"/>
      <c r="EK79" s="171"/>
      <c r="EL79" s="171"/>
      <c r="EM79" s="171"/>
      <c r="EN79" s="171"/>
      <c r="EO79" s="171"/>
      <c r="EP79" s="171"/>
      <c r="EQ79" s="171"/>
      <c r="ER79" s="171"/>
      <c r="ES79" s="171"/>
      <c r="ET79" s="171"/>
    </row>
    <row r="80" spans="1:150" s="385" customFormat="1" ht="16.5" customHeight="1">
      <c r="A80" s="377">
        <f t="shared" si="1"/>
        <v>71</v>
      </c>
      <c r="B80" s="378" t="s">
        <v>2088</v>
      </c>
      <c r="C80" s="379">
        <v>1</v>
      </c>
      <c r="D80" s="380" t="s">
        <v>1396</v>
      </c>
      <c r="E80" s="381">
        <v>44842</v>
      </c>
      <c r="F80" s="378" t="s">
        <v>620</v>
      </c>
      <c r="G80" s="377">
        <v>80003035</v>
      </c>
      <c r="H80" s="379" t="s">
        <v>2140</v>
      </c>
      <c r="I80" s="379"/>
      <c r="J80" s="379"/>
      <c r="K80" s="379"/>
      <c r="L80" s="379"/>
      <c r="M80" s="379"/>
      <c r="N80" s="379"/>
      <c r="O80" s="379"/>
      <c r="P80" s="167"/>
      <c r="Q80" s="379"/>
      <c r="R80" s="167"/>
      <c r="S80" s="161"/>
      <c r="T80" s="161"/>
      <c r="U80" s="383"/>
      <c r="V80" s="167"/>
      <c r="W80" s="377"/>
      <c r="X80" s="167"/>
      <c r="Y80" s="379"/>
      <c r="Z80" s="167"/>
      <c r="AA80" s="379"/>
      <c r="AB80" s="379"/>
      <c r="AC80" s="379"/>
      <c r="AD80" s="1088"/>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c r="BM80" s="171"/>
      <c r="BN80" s="171"/>
      <c r="BO80" s="171"/>
      <c r="BP80" s="171"/>
      <c r="BQ80" s="171"/>
      <c r="BR80" s="171"/>
      <c r="BS80" s="171"/>
      <c r="BT80" s="171"/>
      <c r="BU80" s="171"/>
      <c r="BV80" s="171"/>
      <c r="BW80" s="171"/>
      <c r="BX80" s="171"/>
      <c r="BY80" s="171"/>
      <c r="BZ80" s="171"/>
      <c r="CA80" s="171"/>
      <c r="CB80" s="171"/>
      <c r="CC80" s="171"/>
      <c r="CD80" s="171"/>
      <c r="CE80" s="171"/>
      <c r="CF80" s="171"/>
      <c r="CG80" s="171"/>
      <c r="CH80" s="171"/>
      <c r="CI80" s="171"/>
      <c r="CJ80" s="171"/>
      <c r="CK80" s="171"/>
      <c r="CL80" s="171"/>
      <c r="CM80" s="171"/>
      <c r="CN80" s="171"/>
      <c r="CO80" s="171"/>
      <c r="CP80" s="171"/>
      <c r="CQ80" s="171"/>
      <c r="CR80" s="171"/>
      <c r="CS80" s="171"/>
      <c r="CT80" s="171"/>
      <c r="CU80" s="171"/>
      <c r="CV80" s="171"/>
      <c r="CW80" s="171"/>
      <c r="CX80" s="171"/>
      <c r="CY80" s="171"/>
      <c r="CZ80" s="171"/>
      <c r="DA80" s="171"/>
      <c r="DB80" s="171"/>
      <c r="DC80" s="171"/>
      <c r="DD80" s="171"/>
      <c r="DE80" s="171"/>
      <c r="DF80" s="171"/>
      <c r="DG80" s="171"/>
      <c r="DH80" s="171"/>
      <c r="DI80" s="171"/>
      <c r="DJ80" s="171"/>
      <c r="DK80" s="171"/>
      <c r="DL80" s="171"/>
      <c r="DM80" s="171"/>
      <c r="DN80" s="171"/>
      <c r="DO80" s="171"/>
      <c r="DP80" s="171"/>
      <c r="DQ80" s="171"/>
      <c r="DR80" s="171"/>
      <c r="DS80" s="171"/>
      <c r="DT80" s="171"/>
      <c r="DU80" s="171"/>
      <c r="DV80" s="171"/>
      <c r="DW80" s="171"/>
      <c r="DX80" s="171"/>
      <c r="DY80" s="171"/>
      <c r="DZ80" s="171"/>
      <c r="EA80" s="171"/>
      <c r="EB80" s="171"/>
      <c r="EC80" s="171"/>
      <c r="ED80" s="171"/>
      <c r="EE80" s="171"/>
      <c r="EF80" s="171"/>
      <c r="EG80" s="171"/>
      <c r="EH80" s="171"/>
      <c r="EI80" s="171"/>
      <c r="EJ80" s="171"/>
      <c r="EK80" s="171"/>
      <c r="EL80" s="171"/>
      <c r="EM80" s="171"/>
      <c r="EN80" s="171"/>
      <c r="EO80" s="171"/>
      <c r="EP80" s="171"/>
      <c r="EQ80" s="171"/>
      <c r="ER80" s="171"/>
      <c r="ES80" s="171"/>
      <c r="ET80" s="171"/>
    </row>
    <row r="81" spans="1:150" s="385" customFormat="1" ht="16.5" customHeight="1">
      <c r="A81" s="377">
        <f t="shared" si="1"/>
        <v>72</v>
      </c>
      <c r="B81" s="378" t="s">
        <v>2088</v>
      </c>
      <c r="C81" s="379">
        <v>1</v>
      </c>
      <c r="D81" s="380" t="s">
        <v>1399</v>
      </c>
      <c r="E81" s="381">
        <v>44845</v>
      </c>
      <c r="F81" s="378" t="s">
        <v>1401</v>
      </c>
      <c r="G81" s="377">
        <v>80000429</v>
      </c>
      <c r="H81" s="379" t="s">
        <v>2143</v>
      </c>
      <c r="I81" s="379"/>
      <c r="J81" s="379"/>
      <c r="K81" s="379"/>
      <c r="L81" s="379"/>
      <c r="M81" s="379"/>
      <c r="N81" s="379"/>
      <c r="O81" s="379"/>
      <c r="P81" s="167"/>
      <c r="Q81" s="379"/>
      <c r="R81" s="167"/>
      <c r="S81" s="161"/>
      <c r="T81" s="161"/>
      <c r="U81" s="383"/>
      <c r="V81" s="167"/>
      <c r="W81" s="377"/>
      <c r="X81" s="167"/>
      <c r="Y81" s="379"/>
      <c r="Z81" s="167"/>
      <c r="AA81" s="379"/>
      <c r="AB81" s="379"/>
      <c r="AC81" s="379"/>
      <c r="AD81" s="1088"/>
      <c r="AE81" s="171"/>
      <c r="AF81" s="171"/>
      <c r="AG81" s="171"/>
      <c r="AH81" s="171"/>
      <c r="AI81" s="171"/>
      <c r="AJ81" s="171"/>
      <c r="AK81" s="171"/>
      <c r="AL81" s="171"/>
      <c r="AM81" s="171"/>
      <c r="AN81" s="171"/>
      <c r="AO81" s="171"/>
      <c r="AP81" s="171"/>
      <c r="AQ81" s="171"/>
      <c r="AR81" s="171"/>
      <c r="AS81" s="171"/>
      <c r="AT81" s="171"/>
      <c r="AU81" s="171"/>
      <c r="AV81" s="171"/>
      <c r="AW81" s="171"/>
      <c r="AX81" s="171"/>
      <c r="AY81" s="171"/>
      <c r="AZ81" s="171"/>
      <c r="BA81" s="171"/>
      <c r="BB81" s="171"/>
      <c r="BC81" s="171"/>
      <c r="BD81" s="171"/>
      <c r="BE81" s="171"/>
      <c r="BF81" s="171"/>
      <c r="BG81" s="171"/>
      <c r="BH81" s="171"/>
      <c r="BI81" s="171"/>
      <c r="BJ81" s="171"/>
      <c r="BK81" s="171"/>
      <c r="BL81" s="171"/>
      <c r="BM81" s="171"/>
      <c r="BN81" s="171"/>
      <c r="BO81" s="171"/>
      <c r="BP81" s="171"/>
      <c r="BQ81" s="171"/>
      <c r="BR81" s="171"/>
      <c r="BS81" s="171"/>
      <c r="BT81" s="171"/>
      <c r="BU81" s="171"/>
      <c r="BV81" s="171"/>
      <c r="BW81" s="171"/>
      <c r="BX81" s="171"/>
      <c r="BY81" s="171"/>
      <c r="BZ81" s="171"/>
      <c r="CA81" s="171"/>
      <c r="CB81" s="171"/>
      <c r="CC81" s="171"/>
      <c r="CD81" s="171"/>
      <c r="CE81" s="171"/>
      <c r="CF81" s="171"/>
      <c r="CG81" s="171"/>
      <c r="CH81" s="171"/>
      <c r="CI81" s="171"/>
      <c r="CJ81" s="171"/>
      <c r="CK81" s="171"/>
      <c r="CL81" s="171"/>
      <c r="CM81" s="171"/>
      <c r="CN81" s="171"/>
      <c r="CO81" s="171"/>
      <c r="CP81" s="171"/>
      <c r="CQ81" s="171"/>
      <c r="CR81" s="171"/>
      <c r="CS81" s="171"/>
      <c r="CT81" s="171"/>
      <c r="CU81" s="171"/>
      <c r="CV81" s="171"/>
      <c r="CW81" s="171"/>
      <c r="CX81" s="171"/>
      <c r="CY81" s="171"/>
      <c r="CZ81" s="171"/>
      <c r="DA81" s="171"/>
      <c r="DB81" s="171"/>
      <c r="DC81" s="171"/>
      <c r="DD81" s="171"/>
      <c r="DE81" s="171"/>
      <c r="DF81" s="171"/>
      <c r="DG81" s="171"/>
      <c r="DH81" s="171"/>
      <c r="DI81" s="171"/>
      <c r="DJ81" s="171"/>
      <c r="DK81" s="171"/>
      <c r="DL81" s="171"/>
      <c r="DM81" s="171"/>
      <c r="DN81" s="171"/>
      <c r="DO81" s="171"/>
      <c r="DP81" s="171"/>
      <c r="DQ81" s="171"/>
      <c r="DR81" s="171"/>
      <c r="DS81" s="171"/>
      <c r="DT81" s="171"/>
      <c r="DU81" s="171"/>
      <c r="DV81" s="171"/>
      <c r="DW81" s="171"/>
      <c r="DX81" s="171"/>
      <c r="DY81" s="171"/>
      <c r="DZ81" s="171"/>
      <c r="EA81" s="171"/>
      <c r="EB81" s="171"/>
      <c r="EC81" s="171"/>
      <c r="ED81" s="171"/>
      <c r="EE81" s="171"/>
      <c r="EF81" s="171"/>
      <c r="EG81" s="171"/>
      <c r="EH81" s="171"/>
      <c r="EI81" s="171"/>
      <c r="EJ81" s="171"/>
      <c r="EK81" s="171"/>
      <c r="EL81" s="171"/>
      <c r="EM81" s="171"/>
      <c r="EN81" s="171"/>
      <c r="EO81" s="171"/>
      <c r="EP81" s="171"/>
      <c r="EQ81" s="171"/>
      <c r="ER81" s="171"/>
      <c r="ES81" s="171"/>
      <c r="ET81" s="171"/>
    </row>
    <row r="82" spans="1:150" s="385" customFormat="1" ht="16.5" customHeight="1">
      <c r="A82" s="377">
        <f t="shared" si="1"/>
        <v>73</v>
      </c>
      <c r="B82" s="378" t="s">
        <v>2088</v>
      </c>
      <c r="C82" s="379">
        <v>1</v>
      </c>
      <c r="D82" s="380" t="s">
        <v>1416</v>
      </c>
      <c r="E82" s="381">
        <v>44845</v>
      </c>
      <c r="F82" s="378" t="s">
        <v>1418</v>
      </c>
      <c r="G82" s="377">
        <v>80004987</v>
      </c>
      <c r="H82" s="379" t="s">
        <v>2140</v>
      </c>
      <c r="I82" s="379"/>
      <c r="J82" s="379"/>
      <c r="K82" s="379"/>
      <c r="L82" s="379"/>
      <c r="M82" s="379"/>
      <c r="N82" s="379"/>
      <c r="O82" s="379"/>
      <c r="P82" s="167"/>
      <c r="Q82" s="379"/>
      <c r="R82" s="167"/>
      <c r="S82" s="161"/>
      <c r="T82" s="161"/>
      <c r="U82" s="383"/>
      <c r="V82" s="167"/>
      <c r="W82" s="377"/>
      <c r="X82" s="167"/>
      <c r="Y82" s="379"/>
      <c r="Z82" s="167"/>
      <c r="AA82" s="379"/>
      <c r="AB82" s="379"/>
      <c r="AC82" s="379"/>
      <c r="AD82" s="1088"/>
      <c r="AE82" s="171"/>
      <c r="AF82" s="171"/>
      <c r="AG82" s="171"/>
      <c r="AH82" s="171"/>
      <c r="AI82" s="171"/>
      <c r="AJ82" s="171"/>
      <c r="AK82" s="171"/>
      <c r="AL82" s="171"/>
      <c r="AM82" s="171"/>
      <c r="AN82" s="171"/>
      <c r="AO82" s="171"/>
      <c r="AP82" s="171"/>
      <c r="AQ82" s="171"/>
      <c r="AR82" s="171"/>
      <c r="AS82" s="171"/>
      <c r="AT82" s="171"/>
      <c r="AU82" s="171"/>
      <c r="AV82" s="171"/>
      <c r="AW82" s="171"/>
      <c r="AX82" s="171"/>
      <c r="AY82" s="171"/>
      <c r="AZ82" s="171"/>
      <c r="BA82" s="171"/>
      <c r="BB82" s="171"/>
      <c r="BC82" s="171"/>
      <c r="BD82" s="171"/>
      <c r="BE82" s="171"/>
      <c r="BF82" s="171"/>
      <c r="BG82" s="171"/>
      <c r="BH82" s="171"/>
      <c r="BI82" s="171"/>
      <c r="BJ82" s="171"/>
      <c r="BK82" s="171"/>
      <c r="BL82" s="171"/>
      <c r="BM82" s="171"/>
      <c r="BN82" s="171"/>
      <c r="BO82" s="171"/>
      <c r="BP82" s="171"/>
      <c r="BQ82" s="171"/>
      <c r="BR82" s="171"/>
      <c r="BS82" s="171"/>
      <c r="BT82" s="171"/>
      <c r="BU82" s="171"/>
      <c r="BV82" s="171"/>
      <c r="BW82" s="171"/>
      <c r="BX82" s="171"/>
      <c r="BY82" s="171"/>
      <c r="BZ82" s="171"/>
      <c r="CA82" s="171"/>
      <c r="CB82" s="171"/>
      <c r="CC82" s="171"/>
      <c r="CD82" s="171"/>
      <c r="CE82" s="171"/>
      <c r="CF82" s="171"/>
      <c r="CG82" s="171"/>
      <c r="CH82" s="171"/>
      <c r="CI82" s="171"/>
      <c r="CJ82" s="171"/>
      <c r="CK82" s="171"/>
      <c r="CL82" s="171"/>
      <c r="CM82" s="171"/>
      <c r="CN82" s="171"/>
      <c r="CO82" s="171"/>
      <c r="CP82" s="171"/>
      <c r="CQ82" s="171"/>
      <c r="CR82" s="171"/>
      <c r="CS82" s="171"/>
      <c r="CT82" s="171"/>
      <c r="CU82" s="171"/>
      <c r="CV82" s="171"/>
      <c r="CW82" s="171"/>
      <c r="CX82" s="171"/>
      <c r="CY82" s="171"/>
      <c r="CZ82" s="171"/>
      <c r="DA82" s="171"/>
      <c r="DB82" s="171"/>
      <c r="DC82" s="171"/>
      <c r="DD82" s="171"/>
      <c r="DE82" s="171"/>
      <c r="DF82" s="171"/>
      <c r="DG82" s="171"/>
      <c r="DH82" s="171"/>
      <c r="DI82" s="171"/>
      <c r="DJ82" s="171"/>
      <c r="DK82" s="171"/>
      <c r="DL82" s="171"/>
      <c r="DM82" s="171"/>
      <c r="DN82" s="171"/>
      <c r="DO82" s="171"/>
      <c r="DP82" s="171"/>
      <c r="DQ82" s="171"/>
      <c r="DR82" s="171"/>
      <c r="DS82" s="171"/>
      <c r="DT82" s="171"/>
      <c r="DU82" s="171"/>
      <c r="DV82" s="171"/>
      <c r="DW82" s="171"/>
      <c r="DX82" s="171"/>
      <c r="DY82" s="171"/>
      <c r="DZ82" s="171"/>
      <c r="EA82" s="171"/>
      <c r="EB82" s="171"/>
      <c r="EC82" s="171"/>
      <c r="ED82" s="171"/>
      <c r="EE82" s="171"/>
      <c r="EF82" s="171"/>
      <c r="EG82" s="171"/>
      <c r="EH82" s="171"/>
      <c r="EI82" s="171"/>
      <c r="EJ82" s="171"/>
      <c r="EK82" s="171"/>
      <c r="EL82" s="171"/>
      <c r="EM82" s="171"/>
      <c r="EN82" s="171"/>
      <c r="EO82" s="171"/>
      <c r="EP82" s="171"/>
      <c r="EQ82" s="171"/>
      <c r="ER82" s="171"/>
      <c r="ES82" s="171"/>
      <c r="ET82" s="171"/>
    </row>
    <row r="83" spans="1:150" s="385" customFormat="1" ht="16.5" customHeight="1">
      <c r="A83" s="377">
        <f t="shared" si="1"/>
        <v>74</v>
      </c>
      <c r="B83" s="378" t="s">
        <v>2088</v>
      </c>
      <c r="C83" s="379">
        <v>1</v>
      </c>
      <c r="D83" s="380" t="s">
        <v>1420</v>
      </c>
      <c r="E83" s="381">
        <v>44849</v>
      </c>
      <c r="F83" s="378" t="s">
        <v>1421</v>
      </c>
      <c r="G83" s="377">
        <v>80002566</v>
      </c>
      <c r="H83" s="379" t="s">
        <v>2140</v>
      </c>
      <c r="I83" s="379"/>
      <c r="J83" s="379"/>
      <c r="K83" s="379"/>
      <c r="L83" s="379"/>
      <c r="M83" s="379"/>
      <c r="N83" s="379"/>
      <c r="O83" s="379"/>
      <c r="P83" s="167"/>
      <c r="Q83" s="379"/>
      <c r="R83" s="167"/>
      <c r="S83" s="161"/>
      <c r="T83" s="161"/>
      <c r="U83" s="383"/>
      <c r="V83" s="167"/>
      <c r="W83" s="377"/>
      <c r="X83" s="167"/>
      <c r="Y83" s="379"/>
      <c r="Z83" s="167"/>
      <c r="AA83" s="379"/>
      <c r="AB83" s="379"/>
      <c r="AC83" s="379"/>
      <c r="AD83" s="1088"/>
      <c r="AE83" s="171"/>
      <c r="AF83" s="171"/>
      <c r="AG83" s="171"/>
      <c r="AH83" s="171"/>
      <c r="AI83" s="171"/>
      <c r="AJ83" s="171"/>
      <c r="AK83" s="171"/>
      <c r="AL83" s="171"/>
      <c r="AM83" s="171"/>
      <c r="AN83" s="171"/>
      <c r="AO83" s="171"/>
      <c r="AP83" s="171"/>
      <c r="AQ83" s="171"/>
      <c r="AR83" s="171"/>
      <c r="AS83" s="171"/>
      <c r="AT83" s="171"/>
      <c r="AU83" s="171"/>
      <c r="AV83" s="171"/>
      <c r="AW83" s="171"/>
      <c r="AX83" s="171"/>
      <c r="AY83" s="171"/>
      <c r="AZ83" s="171"/>
      <c r="BA83" s="171"/>
      <c r="BB83" s="171"/>
      <c r="BC83" s="171"/>
      <c r="BD83" s="171"/>
      <c r="BE83" s="171"/>
      <c r="BF83" s="171"/>
      <c r="BG83" s="171"/>
      <c r="BH83" s="171"/>
      <c r="BI83" s="171"/>
      <c r="BJ83" s="171"/>
      <c r="BK83" s="171"/>
      <c r="BL83" s="171"/>
      <c r="BM83" s="171"/>
      <c r="BN83" s="171"/>
      <c r="BO83" s="171"/>
      <c r="BP83" s="171"/>
      <c r="BQ83" s="171"/>
      <c r="BR83" s="171"/>
      <c r="BS83" s="171"/>
      <c r="BT83" s="171"/>
      <c r="BU83" s="171"/>
      <c r="BV83" s="171"/>
      <c r="BW83" s="171"/>
      <c r="BX83" s="171"/>
      <c r="BY83" s="171"/>
      <c r="BZ83" s="171"/>
      <c r="CA83" s="171"/>
      <c r="CB83" s="171"/>
      <c r="CC83" s="171"/>
      <c r="CD83" s="171"/>
      <c r="CE83" s="171"/>
      <c r="CF83" s="171"/>
      <c r="CG83" s="171"/>
      <c r="CH83" s="171"/>
      <c r="CI83" s="171"/>
      <c r="CJ83" s="171"/>
      <c r="CK83" s="171"/>
      <c r="CL83" s="171"/>
      <c r="CM83" s="171"/>
      <c r="CN83" s="171"/>
      <c r="CO83" s="171"/>
      <c r="CP83" s="171"/>
      <c r="CQ83" s="171"/>
      <c r="CR83" s="171"/>
      <c r="CS83" s="171"/>
      <c r="CT83" s="171"/>
      <c r="CU83" s="171"/>
      <c r="CV83" s="171"/>
      <c r="CW83" s="171"/>
      <c r="CX83" s="171"/>
      <c r="CY83" s="171"/>
      <c r="CZ83" s="171"/>
      <c r="DA83" s="171"/>
      <c r="DB83" s="171"/>
      <c r="DC83" s="171"/>
      <c r="DD83" s="171"/>
      <c r="DE83" s="171"/>
      <c r="DF83" s="171"/>
      <c r="DG83" s="171"/>
      <c r="DH83" s="171"/>
      <c r="DI83" s="171"/>
      <c r="DJ83" s="171"/>
      <c r="DK83" s="171"/>
      <c r="DL83" s="171"/>
      <c r="DM83" s="171"/>
      <c r="DN83" s="171"/>
      <c r="DO83" s="171"/>
      <c r="DP83" s="171"/>
      <c r="DQ83" s="171"/>
      <c r="DR83" s="171"/>
      <c r="DS83" s="171"/>
      <c r="DT83" s="171"/>
      <c r="DU83" s="171"/>
      <c r="DV83" s="171"/>
      <c r="DW83" s="171"/>
      <c r="DX83" s="171"/>
      <c r="DY83" s="171"/>
      <c r="DZ83" s="171"/>
      <c r="EA83" s="171"/>
      <c r="EB83" s="171"/>
      <c r="EC83" s="171"/>
      <c r="ED83" s="171"/>
      <c r="EE83" s="171"/>
      <c r="EF83" s="171"/>
      <c r="EG83" s="171"/>
      <c r="EH83" s="171"/>
      <c r="EI83" s="171"/>
      <c r="EJ83" s="171"/>
      <c r="EK83" s="171"/>
      <c r="EL83" s="171"/>
      <c r="EM83" s="171"/>
      <c r="EN83" s="171"/>
      <c r="EO83" s="171"/>
      <c r="EP83" s="171"/>
      <c r="EQ83" s="171"/>
      <c r="ER83" s="171"/>
      <c r="ES83" s="171"/>
      <c r="ET83" s="171"/>
    </row>
    <row r="84" spans="1:150" s="172" customFormat="1" ht="17.100000000000001" customHeight="1">
      <c r="A84" s="348"/>
      <c r="B84" s="349"/>
      <c r="C84" s="350"/>
      <c r="D84" s="351"/>
      <c r="E84" s="352"/>
      <c r="F84" s="353"/>
      <c r="G84" s="354"/>
      <c r="H84" s="350"/>
      <c r="I84" s="355"/>
      <c r="J84" s="355"/>
      <c r="K84" s="355"/>
      <c r="L84" s="355"/>
      <c r="M84" s="355"/>
      <c r="N84" s="355"/>
      <c r="O84" s="355"/>
      <c r="P84" s="355"/>
      <c r="Q84" s="355"/>
      <c r="R84" s="350"/>
      <c r="S84" s="350"/>
      <c r="T84" s="350"/>
      <c r="U84" s="356"/>
      <c r="V84" s="350"/>
      <c r="W84" s="350"/>
      <c r="X84" s="350"/>
      <c r="Y84" s="350"/>
      <c r="Z84" s="350"/>
      <c r="AA84" s="350"/>
      <c r="AB84" s="350"/>
      <c r="AC84" s="350"/>
      <c r="AD84" s="357"/>
      <c r="AE84" s="171"/>
      <c r="AF84" s="171"/>
      <c r="AG84" s="171"/>
      <c r="AH84" s="171"/>
      <c r="AI84" s="171"/>
      <c r="AJ84" s="171"/>
      <c r="AK84" s="171"/>
      <c r="AL84" s="171"/>
      <c r="AM84" s="171"/>
      <c r="AN84" s="171"/>
      <c r="AO84" s="171"/>
      <c r="AP84" s="171"/>
      <c r="AQ84" s="171"/>
      <c r="AR84" s="171"/>
      <c r="AS84" s="171"/>
      <c r="AT84" s="171"/>
      <c r="AU84" s="171"/>
      <c r="AV84" s="171"/>
      <c r="AW84" s="171"/>
      <c r="AX84" s="171"/>
      <c r="AY84" s="171"/>
      <c r="AZ84" s="171"/>
      <c r="BA84" s="171"/>
      <c r="BB84" s="171"/>
      <c r="BC84" s="171"/>
      <c r="BD84" s="171"/>
      <c r="BE84" s="171"/>
      <c r="BF84" s="171"/>
      <c r="BG84" s="171"/>
      <c r="BH84" s="171"/>
      <c r="BI84" s="171"/>
      <c r="BJ84" s="171"/>
      <c r="BK84" s="171"/>
      <c r="BL84" s="171"/>
      <c r="BM84" s="171"/>
      <c r="BN84" s="171"/>
      <c r="BO84" s="171"/>
      <c r="BP84" s="171"/>
      <c r="BQ84" s="171"/>
      <c r="BR84" s="171"/>
      <c r="BS84" s="171"/>
      <c r="BT84" s="171"/>
      <c r="BU84" s="171"/>
      <c r="BV84" s="171"/>
      <c r="BW84" s="171"/>
      <c r="BX84" s="171"/>
      <c r="BY84" s="171"/>
      <c r="BZ84" s="171"/>
      <c r="CA84" s="171"/>
      <c r="CB84" s="171"/>
      <c r="CC84" s="171"/>
      <c r="CD84" s="171"/>
      <c r="CE84" s="171"/>
      <c r="CF84" s="171"/>
      <c r="CG84" s="171"/>
      <c r="CH84" s="171"/>
      <c r="CI84" s="171"/>
      <c r="CJ84" s="171"/>
      <c r="CK84" s="171"/>
      <c r="CL84" s="171"/>
      <c r="CM84" s="171"/>
      <c r="CN84" s="171"/>
      <c r="CO84" s="171"/>
      <c r="CP84" s="171"/>
      <c r="CQ84" s="171"/>
      <c r="CR84" s="171"/>
      <c r="CS84" s="171"/>
      <c r="CT84" s="171"/>
      <c r="CU84" s="171"/>
      <c r="CV84" s="171"/>
      <c r="CW84" s="171"/>
      <c r="CX84" s="171"/>
      <c r="CY84" s="171"/>
      <c r="CZ84" s="171"/>
      <c r="DA84" s="171"/>
      <c r="DB84" s="171"/>
      <c r="DC84" s="171"/>
      <c r="DD84" s="171"/>
      <c r="DE84" s="171"/>
      <c r="DF84" s="171"/>
      <c r="DG84" s="171"/>
      <c r="DH84" s="171"/>
      <c r="DI84" s="171"/>
      <c r="DJ84" s="171"/>
      <c r="DK84" s="171"/>
      <c r="DL84" s="171"/>
      <c r="DM84" s="171"/>
      <c r="DN84" s="171"/>
      <c r="DO84" s="171"/>
      <c r="DP84" s="171"/>
      <c r="DQ84" s="171"/>
      <c r="DR84" s="171"/>
      <c r="DS84" s="171"/>
      <c r="DT84" s="171"/>
      <c r="DU84" s="171"/>
      <c r="DV84" s="171"/>
      <c r="DW84" s="171"/>
      <c r="DX84" s="171"/>
      <c r="DY84" s="171"/>
      <c r="DZ84" s="171"/>
      <c r="EA84" s="171"/>
      <c r="EB84" s="171"/>
      <c r="EC84" s="171"/>
      <c r="ED84" s="171"/>
      <c r="EE84" s="171"/>
      <c r="EF84" s="171"/>
      <c r="EG84" s="171"/>
      <c r="EH84" s="171"/>
      <c r="EI84" s="171"/>
      <c r="EJ84" s="171"/>
      <c r="EK84" s="171"/>
      <c r="EL84" s="171"/>
      <c r="EM84" s="171"/>
      <c r="EN84" s="171"/>
      <c r="EO84" s="171"/>
      <c r="EP84" s="171"/>
      <c r="EQ84" s="171"/>
      <c r="ER84" s="171"/>
      <c r="ES84" s="171"/>
      <c r="ET84" s="171"/>
    </row>
    <row r="85" spans="1:150" s="184" customFormat="1" ht="17.100000000000001" customHeight="1">
      <c r="A85" s="175"/>
      <c r="B85" s="151" t="s">
        <v>2145</v>
      </c>
      <c r="C85" s="176" t="s">
        <v>2146</v>
      </c>
      <c r="D85" s="177"/>
      <c r="E85" s="178"/>
      <c r="F85" s="179"/>
      <c r="G85" s="175"/>
      <c r="H85" s="176"/>
      <c r="I85" s="180"/>
      <c r="J85" s="180"/>
      <c r="K85" s="180"/>
      <c r="L85" s="180"/>
      <c r="M85" s="180"/>
      <c r="N85" s="180"/>
      <c r="O85" s="180"/>
      <c r="P85" s="181"/>
      <c r="Q85" s="181"/>
      <c r="R85" s="176"/>
      <c r="S85" s="176"/>
      <c r="T85" s="176"/>
      <c r="U85" s="182">
        <f>SUM(U10:U23)</f>
        <v>494379941</v>
      </c>
      <c r="V85" s="176"/>
      <c r="W85" s="175"/>
      <c r="X85" s="176"/>
      <c r="Y85" s="176"/>
      <c r="Z85" s="176"/>
      <c r="AA85" s="176"/>
      <c r="AB85" s="176"/>
      <c r="AC85" s="176"/>
      <c r="AD85" s="183"/>
    </row>
    <row r="86" spans="1:150" ht="17.100000000000001" customHeight="1">
      <c r="B86" s="185"/>
      <c r="C86" s="186" t="s">
        <v>2147</v>
      </c>
      <c r="D86" s="149" t="s">
        <v>2148</v>
      </c>
      <c r="E86" s="187"/>
      <c r="F86" s="188"/>
      <c r="G86" s="152"/>
      <c r="H86" s="152"/>
      <c r="I86" s="152"/>
      <c r="J86" s="189"/>
      <c r="K86" s="152"/>
      <c r="L86" s="190"/>
      <c r="M86" s="190"/>
      <c r="N86" s="190"/>
      <c r="O86" s="190"/>
      <c r="P86" s="190"/>
      <c r="Q86" s="190"/>
      <c r="R86" s="190"/>
      <c r="S86" s="191"/>
      <c r="T86" s="191"/>
      <c r="U86" s="192"/>
      <c r="V86" s="190"/>
      <c r="W86" s="193"/>
      <c r="X86" s="190"/>
      <c r="Y86" s="190"/>
      <c r="Z86" s="190"/>
      <c r="AA86" s="190"/>
      <c r="AB86" s="190"/>
      <c r="AC86" s="190"/>
    </row>
    <row r="87" spans="1:150" ht="17.100000000000001" customHeight="1">
      <c r="B87" s="194"/>
      <c r="C87" s="186" t="s">
        <v>2147</v>
      </c>
      <c r="D87" s="149" t="s">
        <v>2149</v>
      </c>
      <c r="I87" s="148"/>
      <c r="N87" s="148"/>
      <c r="U87" s="195"/>
    </row>
    <row r="88" spans="1:150" ht="17.100000000000001" customHeight="1">
      <c r="B88" s="196"/>
      <c r="C88" s="186" t="s">
        <v>2147</v>
      </c>
      <c r="D88" s="149" t="s">
        <v>2150</v>
      </c>
      <c r="F88" s="197"/>
      <c r="I88" s="148"/>
      <c r="N88" s="148"/>
      <c r="Q88" s="1585" t="s">
        <v>2146</v>
      </c>
      <c r="R88" s="1585"/>
      <c r="S88" s="1585"/>
      <c r="U88" s="195"/>
      <c r="W88" s="198"/>
    </row>
    <row r="89" spans="1:150" ht="17.100000000000001" customHeight="1">
      <c r="B89" s="199"/>
      <c r="C89" s="186" t="s">
        <v>2147</v>
      </c>
      <c r="D89" s="149" t="s">
        <v>2151</v>
      </c>
      <c r="F89" s="197"/>
      <c r="I89" s="148"/>
      <c r="N89" s="148"/>
    </row>
    <row r="90" spans="1:150" ht="17.100000000000001" customHeight="1">
      <c r="F90" s="197"/>
      <c r="I90" s="148"/>
      <c r="N90" s="148"/>
      <c r="U90" s="195"/>
    </row>
    <row r="91" spans="1:150" ht="17.100000000000001" customHeight="1">
      <c r="F91" s="197"/>
      <c r="I91" s="148"/>
      <c r="N91" s="148"/>
      <c r="U91" s="192"/>
    </row>
    <row r="92" spans="1:150" ht="17.100000000000001" customHeight="1">
      <c r="G92" s="200"/>
      <c r="I92" s="148"/>
      <c r="N92" s="148"/>
      <c r="Q92" s="1586"/>
      <c r="R92" s="1586"/>
      <c r="S92" s="1586"/>
      <c r="U92" s="192"/>
    </row>
    <row r="93" spans="1:150" ht="17.100000000000001" customHeight="1">
      <c r="I93" s="148"/>
      <c r="N93" s="148"/>
      <c r="Q93" s="1585"/>
      <c r="R93" s="1585"/>
      <c r="S93" s="1585"/>
      <c r="U93" s="195"/>
    </row>
    <row r="94" spans="1:150" ht="17.100000000000001" customHeight="1">
      <c r="A94" s="201"/>
      <c r="B94" s="1587"/>
      <c r="C94" s="1587"/>
      <c r="D94" s="202"/>
      <c r="E94" s="203"/>
      <c r="F94" s="202"/>
      <c r="G94" s="201"/>
      <c r="H94" s="1588"/>
      <c r="I94" s="1588"/>
      <c r="J94" s="201"/>
      <c r="K94" s="201"/>
      <c r="L94" s="201"/>
      <c r="M94" s="201"/>
      <c r="N94" s="201"/>
      <c r="O94" s="201"/>
      <c r="P94" s="201"/>
      <c r="Q94" s="201"/>
      <c r="R94" s="201"/>
      <c r="S94" s="1588"/>
      <c r="T94" s="1588"/>
      <c r="U94" s="202"/>
      <c r="V94" s="201"/>
      <c r="W94" s="201"/>
      <c r="X94" s="201"/>
      <c r="Y94" s="201"/>
      <c r="Z94" s="201"/>
      <c r="AA94" s="201"/>
      <c r="AB94" s="201"/>
      <c r="AC94" s="201"/>
      <c r="AD94" s="201"/>
    </row>
    <row r="95" spans="1:150" ht="17.100000000000001" customHeight="1">
      <c r="A95" s="204"/>
      <c r="B95" s="205"/>
      <c r="C95" s="206"/>
      <c r="D95" s="207"/>
      <c r="E95" s="208"/>
      <c r="F95" s="205"/>
      <c r="G95" s="206"/>
      <c r="H95" s="206"/>
      <c r="I95" s="209"/>
      <c r="J95" s="209"/>
      <c r="K95" s="209"/>
      <c r="L95" s="209"/>
      <c r="M95" s="209"/>
      <c r="N95" s="209"/>
      <c r="O95" s="209"/>
      <c r="P95" s="209"/>
      <c r="Q95" s="209"/>
      <c r="R95" s="206"/>
      <c r="S95" s="206"/>
      <c r="T95" s="206"/>
      <c r="U95" s="210"/>
      <c r="V95" s="206"/>
      <c r="W95" s="211"/>
      <c r="X95" s="206"/>
      <c r="Y95" s="206"/>
      <c r="Z95" s="206"/>
      <c r="AA95" s="206"/>
      <c r="AB95" s="206"/>
      <c r="AC95" s="206"/>
      <c r="AD95" s="212"/>
    </row>
    <row r="96" spans="1:150" ht="17.100000000000001" customHeight="1">
      <c r="A96" s="204"/>
      <c r="B96" s="205"/>
      <c r="C96" s="206"/>
      <c r="D96" s="207"/>
      <c r="E96" s="208"/>
      <c r="F96" s="205"/>
      <c r="G96" s="211"/>
      <c r="H96" s="206"/>
      <c r="I96" s="209"/>
      <c r="J96" s="209"/>
      <c r="K96" s="209"/>
      <c r="L96" s="209"/>
      <c r="M96" s="209"/>
      <c r="N96" s="209"/>
      <c r="O96" s="209"/>
      <c r="P96" s="209"/>
      <c r="Q96" s="209"/>
      <c r="R96" s="206"/>
      <c r="S96" s="206"/>
      <c r="T96" s="206"/>
      <c r="U96" s="210"/>
      <c r="V96" s="206"/>
      <c r="W96" s="211"/>
      <c r="X96" s="206"/>
      <c r="Y96" s="206"/>
      <c r="Z96" s="206"/>
      <c r="AA96" s="206"/>
      <c r="AB96" s="206"/>
      <c r="AC96" s="206"/>
      <c r="AD96" s="212"/>
    </row>
    <row r="97" spans="1:30" ht="17.100000000000001" customHeight="1">
      <c r="A97" s="204"/>
      <c r="B97" s="205"/>
      <c r="C97" s="206"/>
      <c r="D97" s="207"/>
      <c r="E97" s="208"/>
      <c r="F97" s="205"/>
      <c r="G97" s="211"/>
      <c r="H97" s="206"/>
      <c r="I97" s="209"/>
      <c r="J97" s="209"/>
      <c r="K97" s="209"/>
      <c r="L97" s="209"/>
      <c r="M97" s="209"/>
      <c r="N97" s="209"/>
      <c r="O97" s="209"/>
      <c r="P97" s="209"/>
      <c r="Q97" s="209"/>
      <c r="R97" s="206"/>
      <c r="S97" s="206"/>
      <c r="T97" s="206"/>
      <c r="U97" s="210"/>
      <c r="V97" s="206"/>
      <c r="W97" s="211"/>
      <c r="X97" s="206"/>
      <c r="Y97" s="206"/>
      <c r="Z97" s="206"/>
      <c r="AA97" s="206"/>
      <c r="AB97" s="206"/>
      <c r="AC97" s="206"/>
      <c r="AD97" s="212"/>
    </row>
    <row r="98" spans="1:30" ht="17.100000000000001" customHeight="1">
      <c r="A98" s="204"/>
      <c r="B98" s="205"/>
      <c r="C98" s="206"/>
      <c r="D98" s="207"/>
      <c r="E98" s="208"/>
      <c r="F98" s="205"/>
      <c r="G98" s="211"/>
      <c r="H98" s="206"/>
      <c r="I98" s="209"/>
      <c r="J98" s="209"/>
      <c r="K98" s="209"/>
      <c r="L98" s="209"/>
      <c r="M98" s="209"/>
      <c r="N98" s="209"/>
      <c r="O98" s="209"/>
      <c r="P98" s="209"/>
      <c r="Q98" s="209"/>
      <c r="R98" s="206"/>
      <c r="S98" s="206"/>
      <c r="T98" s="206"/>
      <c r="U98" s="210"/>
      <c r="V98" s="206"/>
      <c r="W98" s="211"/>
      <c r="X98" s="206"/>
      <c r="Y98" s="206"/>
      <c r="Z98" s="206"/>
      <c r="AA98" s="206"/>
      <c r="AB98" s="206"/>
      <c r="AC98" s="206"/>
      <c r="AD98" s="212"/>
    </row>
    <row r="99" spans="1:30" ht="17.100000000000001" customHeight="1">
      <c r="A99" s="204"/>
      <c r="B99" s="205"/>
      <c r="C99" s="206"/>
      <c r="D99" s="207"/>
      <c r="E99" s="208"/>
      <c r="F99" s="205"/>
      <c r="G99" s="211"/>
      <c r="H99" s="206"/>
      <c r="I99" s="209"/>
      <c r="J99" s="209"/>
      <c r="K99" s="209"/>
      <c r="L99" s="209"/>
      <c r="M99" s="209"/>
      <c r="N99" s="209"/>
      <c r="O99" s="209"/>
      <c r="P99" s="209"/>
      <c r="Q99" s="209"/>
      <c r="R99" s="206"/>
      <c r="S99" s="206"/>
      <c r="T99" s="206"/>
      <c r="U99" s="210"/>
      <c r="V99" s="206"/>
      <c r="W99" s="211"/>
      <c r="X99" s="206"/>
      <c r="Y99" s="206"/>
      <c r="Z99" s="206"/>
      <c r="AA99" s="206"/>
      <c r="AB99" s="206"/>
      <c r="AC99" s="206"/>
      <c r="AD99" s="212"/>
    </row>
    <row r="100" spans="1:30" ht="17.100000000000001" customHeight="1">
      <c r="A100" s="204"/>
      <c r="B100" s="205"/>
      <c r="C100" s="206"/>
      <c r="D100" s="207"/>
      <c r="E100" s="208"/>
      <c r="F100" s="205"/>
      <c r="G100" s="211"/>
      <c r="H100" s="206"/>
      <c r="I100" s="209"/>
      <c r="J100" s="209"/>
      <c r="K100" s="209"/>
      <c r="L100" s="209"/>
      <c r="M100" s="209"/>
      <c r="N100" s="209"/>
      <c r="O100" s="209"/>
      <c r="P100" s="209"/>
      <c r="Q100" s="209"/>
      <c r="R100" s="206"/>
      <c r="S100" s="206"/>
      <c r="T100" s="206"/>
      <c r="U100" s="210"/>
      <c r="V100" s="206"/>
      <c r="W100" s="211"/>
      <c r="X100" s="206"/>
      <c r="Y100" s="206"/>
      <c r="Z100" s="206"/>
      <c r="AA100" s="206"/>
      <c r="AB100" s="206"/>
      <c r="AC100" s="206"/>
      <c r="AD100" s="212"/>
    </row>
    <row r="101" spans="1:30" ht="17.100000000000001" customHeight="1">
      <c r="A101" s="204"/>
      <c r="B101" s="205"/>
      <c r="C101" s="206"/>
      <c r="D101" s="207"/>
      <c r="E101" s="208"/>
      <c r="F101" s="205"/>
      <c r="G101" s="206"/>
      <c r="H101" s="206"/>
      <c r="I101" s="209"/>
      <c r="J101" s="209"/>
      <c r="K101" s="209"/>
      <c r="L101" s="209"/>
      <c r="M101" s="209"/>
      <c r="N101" s="209"/>
      <c r="O101" s="209"/>
      <c r="P101" s="209"/>
      <c r="Q101" s="209"/>
      <c r="R101" s="206"/>
      <c r="S101" s="206"/>
      <c r="T101" s="206"/>
      <c r="U101" s="210"/>
      <c r="V101" s="206"/>
      <c r="W101" s="211"/>
      <c r="X101" s="206"/>
      <c r="Y101" s="206"/>
      <c r="Z101" s="206"/>
      <c r="AA101" s="206"/>
      <c r="AB101" s="206"/>
      <c r="AC101" s="206"/>
      <c r="AD101" s="212"/>
    </row>
    <row r="102" spans="1:30" ht="17.100000000000001" customHeight="1">
      <c r="A102" s="204"/>
      <c r="B102" s="205"/>
      <c r="C102" s="206"/>
      <c r="D102" s="207"/>
      <c r="E102" s="208"/>
      <c r="F102" s="205"/>
      <c r="G102" s="211"/>
      <c r="H102" s="206"/>
      <c r="I102" s="209"/>
      <c r="J102" s="209"/>
      <c r="K102" s="209"/>
      <c r="L102" s="209"/>
      <c r="M102" s="209"/>
      <c r="N102" s="209"/>
      <c r="O102" s="209"/>
      <c r="P102" s="209"/>
      <c r="Q102" s="209"/>
      <c r="R102" s="206"/>
      <c r="S102" s="206"/>
      <c r="T102" s="206"/>
      <c r="U102" s="210"/>
      <c r="V102" s="206"/>
      <c r="W102" s="211"/>
      <c r="X102" s="206"/>
      <c r="Y102" s="206"/>
      <c r="Z102" s="206"/>
      <c r="AA102" s="206"/>
      <c r="AB102" s="206"/>
      <c r="AC102" s="206"/>
      <c r="AD102" s="212"/>
    </row>
    <row r="103" spans="1:30" ht="17.100000000000001" customHeight="1">
      <c r="A103" s="204"/>
      <c r="B103" s="205"/>
      <c r="C103" s="206"/>
      <c r="D103" s="207"/>
      <c r="E103" s="208"/>
      <c r="F103" s="205"/>
      <c r="G103" s="211"/>
      <c r="H103" s="206"/>
      <c r="I103" s="209"/>
      <c r="J103" s="209"/>
      <c r="K103" s="209"/>
      <c r="L103" s="209"/>
      <c r="M103" s="209"/>
      <c r="N103" s="209"/>
      <c r="O103" s="209"/>
      <c r="P103" s="209"/>
      <c r="Q103" s="209"/>
      <c r="R103" s="206"/>
      <c r="S103" s="206"/>
      <c r="T103" s="206"/>
      <c r="U103" s="210"/>
      <c r="V103" s="206"/>
      <c r="W103" s="211"/>
      <c r="X103" s="206"/>
      <c r="Y103" s="206"/>
      <c r="Z103" s="206"/>
      <c r="AA103" s="206"/>
      <c r="AB103" s="206"/>
      <c r="AC103" s="206"/>
      <c r="AD103" s="212"/>
    </row>
    <row r="104" spans="1:30" ht="17.100000000000001" customHeight="1">
      <c r="A104" s="204"/>
      <c r="B104" s="205"/>
      <c r="C104" s="206"/>
      <c r="D104" s="207"/>
      <c r="E104" s="208"/>
      <c r="F104" s="205"/>
      <c r="G104" s="211"/>
      <c r="H104" s="206"/>
      <c r="I104" s="209"/>
      <c r="J104" s="209"/>
      <c r="K104" s="209"/>
      <c r="L104" s="209"/>
      <c r="M104" s="209"/>
      <c r="N104" s="209"/>
      <c r="O104" s="209"/>
      <c r="P104" s="209"/>
      <c r="Q104" s="209"/>
      <c r="R104" s="206"/>
      <c r="S104" s="206"/>
      <c r="T104" s="206"/>
      <c r="U104" s="210"/>
      <c r="V104" s="206"/>
      <c r="W104" s="211"/>
      <c r="X104" s="206"/>
      <c r="Y104" s="206"/>
      <c r="Z104" s="206"/>
      <c r="AA104" s="206"/>
      <c r="AB104" s="206"/>
      <c r="AC104" s="206"/>
      <c r="AD104" s="212"/>
    </row>
    <row r="105" spans="1:30" ht="17.100000000000001" customHeight="1">
      <c r="A105" s="204"/>
      <c r="B105" s="205"/>
      <c r="C105" s="206"/>
      <c r="D105" s="207"/>
      <c r="E105" s="208"/>
      <c r="F105" s="205"/>
      <c r="G105" s="211"/>
      <c r="H105" s="206"/>
      <c r="I105" s="209"/>
      <c r="J105" s="209"/>
      <c r="K105" s="209"/>
      <c r="L105" s="209"/>
      <c r="M105" s="209"/>
      <c r="N105" s="209"/>
      <c r="O105" s="209"/>
      <c r="P105" s="209"/>
      <c r="Q105" s="209"/>
      <c r="R105" s="206"/>
      <c r="S105" s="206"/>
      <c r="T105" s="206"/>
      <c r="U105" s="210"/>
      <c r="V105" s="206"/>
      <c r="W105" s="211"/>
      <c r="X105" s="206"/>
      <c r="Y105" s="206"/>
      <c r="Z105" s="206"/>
      <c r="AA105" s="206"/>
      <c r="AB105" s="206"/>
      <c r="AC105" s="206"/>
      <c r="AD105" s="212"/>
    </row>
    <row r="106" spans="1:30" ht="17.100000000000001" customHeight="1">
      <c r="A106" s="204"/>
      <c r="B106" s="205"/>
      <c r="C106" s="206"/>
      <c r="D106" s="207"/>
      <c r="E106" s="208"/>
      <c r="F106" s="205"/>
      <c r="G106" s="211"/>
      <c r="H106" s="206"/>
      <c r="I106" s="209"/>
      <c r="J106" s="209"/>
      <c r="K106" s="209"/>
      <c r="L106" s="209"/>
      <c r="M106" s="209"/>
      <c r="N106" s="209"/>
      <c r="O106" s="209"/>
      <c r="P106" s="209"/>
      <c r="Q106" s="209"/>
      <c r="R106" s="206"/>
      <c r="S106" s="206"/>
      <c r="T106" s="206"/>
      <c r="U106" s="210"/>
      <c r="V106" s="206"/>
      <c r="W106" s="211"/>
      <c r="X106" s="206"/>
      <c r="Y106" s="206"/>
      <c r="Z106" s="206"/>
      <c r="AA106" s="206"/>
      <c r="AB106" s="206"/>
      <c r="AC106" s="206"/>
      <c r="AD106" s="212"/>
    </row>
    <row r="107" spans="1:30" ht="17.100000000000001" customHeight="1">
      <c r="A107" s="204"/>
      <c r="B107" s="205"/>
      <c r="C107" s="206"/>
      <c r="D107" s="207"/>
      <c r="E107" s="208"/>
      <c r="F107" s="205"/>
      <c r="G107" s="211"/>
      <c r="H107" s="206"/>
      <c r="I107" s="209"/>
      <c r="J107" s="209"/>
      <c r="K107" s="209"/>
      <c r="L107" s="209"/>
      <c r="M107" s="209"/>
      <c r="N107" s="209"/>
      <c r="O107" s="209"/>
      <c r="P107" s="209"/>
      <c r="Q107" s="209"/>
      <c r="R107" s="206"/>
      <c r="S107" s="206"/>
      <c r="T107" s="206"/>
      <c r="U107" s="210"/>
      <c r="V107" s="206"/>
      <c r="W107" s="211"/>
      <c r="X107" s="206"/>
      <c r="Y107" s="206"/>
      <c r="Z107" s="206"/>
      <c r="AA107" s="206"/>
      <c r="AB107" s="206"/>
      <c r="AC107" s="206"/>
      <c r="AD107" s="212"/>
    </row>
    <row r="108" spans="1:30" ht="17.100000000000001" customHeight="1">
      <c r="A108" s="204"/>
      <c r="B108" s="205"/>
      <c r="C108" s="206"/>
      <c r="D108" s="207"/>
      <c r="E108" s="208"/>
      <c r="F108" s="205"/>
      <c r="G108" s="211"/>
      <c r="H108" s="206"/>
      <c r="I108" s="209"/>
      <c r="J108" s="209"/>
      <c r="K108" s="209"/>
      <c r="L108" s="209"/>
      <c r="M108" s="209"/>
      <c r="N108" s="209"/>
      <c r="O108" s="209"/>
      <c r="P108" s="209"/>
      <c r="Q108" s="209"/>
      <c r="R108" s="206"/>
      <c r="S108" s="206"/>
      <c r="T108" s="206"/>
      <c r="U108" s="210"/>
      <c r="V108" s="206"/>
      <c r="W108" s="211"/>
      <c r="X108" s="206"/>
      <c r="Y108" s="206"/>
      <c r="Z108" s="206"/>
      <c r="AA108" s="206"/>
      <c r="AB108" s="206"/>
      <c r="AC108" s="206"/>
      <c r="AD108" s="212"/>
    </row>
    <row r="109" spans="1:30" ht="17.100000000000001" customHeight="1">
      <c r="A109" s="204"/>
      <c r="B109" s="205"/>
      <c r="C109" s="206"/>
      <c r="D109" s="207"/>
      <c r="E109" s="208"/>
      <c r="F109" s="205"/>
      <c r="G109" s="211"/>
      <c r="H109" s="206"/>
      <c r="I109" s="209"/>
      <c r="J109" s="209"/>
      <c r="K109" s="209"/>
      <c r="L109" s="209"/>
      <c r="M109" s="209"/>
      <c r="N109" s="209"/>
      <c r="O109" s="209"/>
      <c r="P109" s="209"/>
      <c r="Q109" s="209"/>
      <c r="R109" s="206"/>
      <c r="S109" s="206"/>
      <c r="T109" s="206"/>
      <c r="U109" s="210"/>
      <c r="V109" s="206"/>
      <c r="W109" s="211"/>
      <c r="X109" s="206"/>
      <c r="Y109" s="206"/>
      <c r="Z109" s="206"/>
      <c r="AA109" s="206"/>
      <c r="AB109" s="206"/>
      <c r="AC109" s="206"/>
      <c r="AD109" s="212"/>
    </row>
    <row r="110" spans="1:30" ht="17.100000000000001" customHeight="1">
      <c r="A110" s="204"/>
      <c r="B110" s="205"/>
      <c r="C110" s="206"/>
      <c r="D110" s="207"/>
      <c r="E110" s="208"/>
      <c r="F110" s="205"/>
      <c r="G110" s="211"/>
      <c r="H110" s="206"/>
      <c r="I110" s="209"/>
      <c r="J110" s="209"/>
      <c r="K110" s="209"/>
      <c r="L110" s="209"/>
      <c r="M110" s="209"/>
      <c r="N110" s="209"/>
      <c r="O110" s="209"/>
      <c r="P110" s="209"/>
      <c r="Q110" s="209"/>
      <c r="R110" s="206"/>
      <c r="S110" s="206"/>
      <c r="T110" s="206"/>
      <c r="U110" s="210"/>
      <c r="V110" s="206"/>
      <c r="W110" s="211"/>
      <c r="X110" s="1584"/>
      <c r="Y110" s="1584"/>
      <c r="Z110" s="1584"/>
      <c r="AA110" s="1584"/>
      <c r="AB110" s="1584"/>
      <c r="AC110" s="1584"/>
      <c r="AD110" s="212"/>
    </row>
    <row r="111" spans="1:30" ht="17.100000000000001" customHeight="1">
      <c r="I111" s="148"/>
      <c r="N111" s="148"/>
    </row>
    <row r="112" spans="1:30" ht="17.100000000000001" customHeight="1">
      <c r="I112" s="148"/>
      <c r="N112" s="148"/>
    </row>
    <row r="113" spans="9:14" ht="17.100000000000001" customHeight="1">
      <c r="I113" s="148"/>
      <c r="N113" s="148"/>
    </row>
    <row r="114" spans="9:14" ht="17.100000000000001" customHeight="1">
      <c r="I114" s="148"/>
      <c r="N114" s="148"/>
    </row>
    <row r="115" spans="9:14" ht="17.100000000000001" customHeight="1">
      <c r="I115" s="148"/>
      <c r="N115" s="148"/>
    </row>
    <row r="116" spans="9:14" ht="17.100000000000001" customHeight="1">
      <c r="I116" s="148"/>
      <c r="N116" s="148"/>
    </row>
    <row r="117" spans="9:14" ht="17.100000000000001" customHeight="1">
      <c r="I117" s="148"/>
      <c r="N117" s="148"/>
    </row>
    <row r="118" spans="9:14" ht="17.100000000000001" customHeight="1">
      <c r="I118" s="148"/>
      <c r="N118" s="148"/>
    </row>
    <row r="119" spans="9:14" ht="17.100000000000001" customHeight="1">
      <c r="I119" s="148"/>
      <c r="N119" s="148"/>
    </row>
    <row r="120" spans="9:14" ht="17.100000000000001" customHeight="1">
      <c r="I120" s="148"/>
      <c r="N120" s="148"/>
    </row>
    <row r="121" spans="9:14" ht="17.100000000000001" customHeight="1">
      <c r="I121" s="148"/>
      <c r="N121" s="148"/>
    </row>
    <row r="122" spans="9:14" ht="17.100000000000001" customHeight="1">
      <c r="I122" s="148"/>
      <c r="N122" s="148"/>
    </row>
    <row r="123" spans="9:14" ht="17.100000000000001" customHeight="1">
      <c r="I123" s="148"/>
      <c r="N123" s="148"/>
    </row>
    <row r="124" spans="9:14" ht="17.100000000000001" customHeight="1">
      <c r="I124" s="148"/>
      <c r="N124" s="148"/>
    </row>
    <row r="125" spans="9:14" ht="17.100000000000001" customHeight="1">
      <c r="I125" s="148"/>
      <c r="N125" s="148"/>
    </row>
    <row r="126" spans="9:14" ht="17.100000000000001" customHeight="1">
      <c r="I126" s="148"/>
      <c r="N126" s="148"/>
    </row>
    <row r="127" spans="9:14" ht="17.100000000000001" customHeight="1">
      <c r="I127" s="148"/>
      <c r="N127" s="148"/>
    </row>
    <row r="128" spans="9:14" ht="17.100000000000001" customHeight="1">
      <c r="I128" s="148"/>
      <c r="N128" s="148"/>
    </row>
    <row r="129" spans="9:14" ht="17.100000000000001" customHeight="1">
      <c r="I129" s="148"/>
      <c r="N129" s="148"/>
    </row>
    <row r="130" spans="9:14" ht="17.100000000000001" customHeight="1">
      <c r="I130" s="148"/>
      <c r="N130" s="148"/>
    </row>
    <row r="131" spans="9:14" ht="17.100000000000001" customHeight="1">
      <c r="I131" s="148"/>
      <c r="N131" s="148"/>
    </row>
    <row r="132" spans="9:14" ht="17.100000000000001" customHeight="1">
      <c r="I132" s="148"/>
      <c r="N132" s="148"/>
    </row>
    <row r="133" spans="9:14" ht="17.100000000000001" customHeight="1">
      <c r="I133" s="148"/>
      <c r="N133" s="148"/>
    </row>
    <row r="134" spans="9:14" ht="17.100000000000001" customHeight="1">
      <c r="I134" s="148"/>
      <c r="N134" s="148"/>
    </row>
    <row r="135" spans="9:14" ht="17.100000000000001" customHeight="1">
      <c r="I135" s="148"/>
      <c r="N135" s="148"/>
    </row>
    <row r="136" spans="9:14" ht="17.100000000000001" customHeight="1">
      <c r="I136" s="148"/>
      <c r="N136" s="148"/>
    </row>
    <row r="137" spans="9:14" ht="17.100000000000001" customHeight="1">
      <c r="I137" s="148"/>
      <c r="N137" s="148"/>
    </row>
    <row r="138" spans="9:14" ht="17.100000000000001" customHeight="1">
      <c r="I138" s="148"/>
      <c r="N138" s="148"/>
    </row>
    <row r="139" spans="9:14" ht="17.100000000000001" customHeight="1">
      <c r="I139" s="148"/>
      <c r="N139" s="148"/>
    </row>
    <row r="140" spans="9:14" ht="17.100000000000001" customHeight="1">
      <c r="I140" s="148"/>
      <c r="N140" s="148"/>
    </row>
    <row r="141" spans="9:14" ht="17.100000000000001" customHeight="1">
      <c r="I141" s="148"/>
      <c r="N141" s="148"/>
    </row>
    <row r="142" spans="9:14" ht="17.100000000000001" customHeight="1">
      <c r="I142" s="148"/>
      <c r="N142" s="148"/>
    </row>
    <row r="143" spans="9:14" ht="17.100000000000001" customHeight="1">
      <c r="I143" s="148"/>
      <c r="N143" s="148"/>
    </row>
    <row r="144" spans="9:14" ht="17.100000000000001" customHeight="1">
      <c r="I144" s="148"/>
      <c r="N144" s="148"/>
    </row>
    <row r="145" spans="9:32" ht="17.100000000000001" customHeight="1">
      <c r="I145" s="148"/>
      <c r="N145" s="148"/>
    </row>
    <row r="146" spans="9:32" ht="17.100000000000001" customHeight="1">
      <c r="I146" s="148"/>
      <c r="N146" s="148"/>
      <c r="AE146" s="213"/>
    </row>
    <row r="147" spans="9:32" ht="17.100000000000001" customHeight="1">
      <c r="I147" s="148"/>
      <c r="N147" s="148"/>
    </row>
    <row r="148" spans="9:32">
      <c r="I148" s="148"/>
      <c r="N148" s="148"/>
      <c r="AE148" s="214"/>
      <c r="AF148" s="215"/>
    </row>
    <row r="149" spans="9:32">
      <c r="I149" s="148"/>
      <c r="N149" s="148"/>
    </row>
    <row r="150" spans="9:32">
      <c r="I150" s="148"/>
      <c r="N150" s="148"/>
    </row>
    <row r="151" spans="9:32">
      <c r="I151" s="148"/>
      <c r="N151" s="148"/>
    </row>
    <row r="152" spans="9:32">
      <c r="I152" s="148"/>
      <c r="N152" s="148"/>
    </row>
    <row r="153" spans="9:32">
      <c r="I153" s="148"/>
      <c r="N153" s="148"/>
    </row>
    <row r="154" spans="9:32">
      <c r="I154" s="148"/>
      <c r="N154" s="148"/>
    </row>
    <row r="155" spans="9:32">
      <c r="I155" s="148"/>
      <c r="N155" s="148"/>
    </row>
    <row r="156" spans="9:32">
      <c r="I156" s="148"/>
      <c r="N156" s="148"/>
    </row>
    <row r="157" spans="9:32">
      <c r="I157" s="148"/>
      <c r="N157" s="148"/>
    </row>
    <row r="158" spans="9:32">
      <c r="I158" s="148"/>
      <c r="N158" s="148"/>
    </row>
    <row r="159" spans="9:32">
      <c r="I159" s="148"/>
      <c r="N159" s="148"/>
    </row>
    <row r="160" spans="9:32">
      <c r="I160" s="148"/>
      <c r="N160" s="148"/>
    </row>
    <row r="161" spans="9:14">
      <c r="I161" s="148"/>
      <c r="N161" s="148"/>
    </row>
    <row r="162" spans="9:14">
      <c r="I162" s="148"/>
      <c r="N162" s="148"/>
    </row>
    <row r="163" spans="9:14">
      <c r="I163" s="148"/>
      <c r="N163" s="148"/>
    </row>
    <row r="164" spans="9:14">
      <c r="I164" s="148"/>
      <c r="N164" s="148"/>
    </row>
    <row r="165" spans="9:14">
      <c r="I165" s="148"/>
      <c r="N165" s="148"/>
    </row>
    <row r="166" spans="9:14">
      <c r="I166" s="148"/>
      <c r="N166" s="148"/>
    </row>
    <row r="167" spans="9:14">
      <c r="I167" s="148"/>
      <c r="N167" s="148"/>
    </row>
    <row r="168" spans="9:14">
      <c r="I168" s="148"/>
      <c r="N168" s="148"/>
    </row>
    <row r="169" spans="9:14">
      <c r="I169" s="148"/>
      <c r="N169" s="148"/>
    </row>
    <row r="170" spans="9:14">
      <c r="I170" s="148"/>
      <c r="N170" s="148"/>
    </row>
    <row r="171" spans="9:14">
      <c r="I171" s="148"/>
      <c r="N171" s="148"/>
    </row>
    <row r="172" spans="9:14">
      <c r="I172" s="148"/>
      <c r="N172" s="148"/>
    </row>
    <row r="173" spans="9:14">
      <c r="I173" s="148"/>
      <c r="N173" s="148"/>
    </row>
    <row r="174" spans="9:14">
      <c r="I174" s="148"/>
      <c r="N174" s="148"/>
    </row>
    <row r="175" spans="9:14">
      <c r="I175" s="148"/>
      <c r="N175" s="148"/>
    </row>
    <row r="176" spans="9:14">
      <c r="I176" s="148"/>
      <c r="N176" s="148"/>
    </row>
    <row r="177" spans="9:14">
      <c r="I177" s="148"/>
      <c r="N177" s="148"/>
    </row>
    <row r="178" spans="9:14">
      <c r="I178" s="148"/>
      <c r="N178" s="148"/>
    </row>
    <row r="179" spans="9:14">
      <c r="I179" s="148"/>
      <c r="N179" s="148"/>
    </row>
    <row r="180" spans="9:14">
      <c r="I180" s="148"/>
      <c r="N180" s="148"/>
    </row>
    <row r="181" spans="9:14">
      <c r="I181" s="148"/>
      <c r="N181" s="148"/>
    </row>
    <row r="182" spans="9:14">
      <c r="I182" s="148"/>
      <c r="N182" s="148"/>
    </row>
    <row r="183" spans="9:14">
      <c r="I183" s="148"/>
      <c r="N183" s="148"/>
    </row>
    <row r="184" spans="9:14">
      <c r="I184" s="148"/>
      <c r="N184" s="148"/>
    </row>
    <row r="185" spans="9:14">
      <c r="I185" s="148"/>
      <c r="N185" s="148"/>
    </row>
    <row r="186" spans="9:14">
      <c r="I186" s="148"/>
      <c r="N186" s="148"/>
    </row>
    <row r="187" spans="9:14">
      <c r="I187" s="148"/>
      <c r="N187" s="148"/>
    </row>
    <row r="188" spans="9:14">
      <c r="I188" s="148"/>
      <c r="N188" s="148"/>
    </row>
    <row r="189" spans="9:14">
      <c r="I189" s="148"/>
      <c r="N189" s="148"/>
    </row>
    <row r="190" spans="9:14">
      <c r="I190" s="148"/>
      <c r="N190" s="148"/>
    </row>
    <row r="191" spans="9:14">
      <c r="I191" s="148"/>
      <c r="N191" s="148"/>
    </row>
    <row r="192" spans="9:14">
      <c r="I192" s="148"/>
      <c r="N192" s="148"/>
    </row>
    <row r="193" spans="9:14">
      <c r="I193" s="148"/>
      <c r="N193" s="148"/>
    </row>
    <row r="194" spans="9:14">
      <c r="I194" s="148"/>
      <c r="N194" s="148"/>
    </row>
    <row r="195" spans="9:14">
      <c r="I195" s="148"/>
      <c r="N195" s="148"/>
    </row>
    <row r="196" spans="9:14">
      <c r="I196" s="148"/>
      <c r="N196" s="148"/>
    </row>
    <row r="197" spans="9:14">
      <c r="I197" s="148"/>
      <c r="N197" s="148"/>
    </row>
    <row r="198" spans="9:14">
      <c r="I198" s="148"/>
      <c r="N198" s="148"/>
    </row>
    <row r="199" spans="9:14">
      <c r="I199" s="148"/>
      <c r="N199" s="148"/>
    </row>
    <row r="200" spans="9:14">
      <c r="I200" s="148"/>
      <c r="N200" s="148"/>
    </row>
    <row r="201" spans="9:14">
      <c r="I201" s="148"/>
      <c r="N201" s="148"/>
    </row>
    <row r="202" spans="9:14">
      <c r="I202" s="148"/>
      <c r="N202" s="148"/>
    </row>
    <row r="203" spans="9:14">
      <c r="I203" s="148"/>
      <c r="N203" s="148"/>
    </row>
    <row r="204" spans="9:14">
      <c r="I204" s="148"/>
      <c r="N204" s="148"/>
    </row>
    <row r="205" spans="9:14">
      <c r="I205" s="148"/>
      <c r="N205" s="148"/>
    </row>
    <row r="206" spans="9:14">
      <c r="I206" s="148"/>
      <c r="N206" s="148"/>
    </row>
    <row r="207" spans="9:14">
      <c r="I207" s="148"/>
      <c r="N207" s="148"/>
    </row>
    <row r="208" spans="9:14">
      <c r="I208" s="148"/>
      <c r="N208" s="148"/>
    </row>
    <row r="209" spans="9:14">
      <c r="I209" s="148"/>
      <c r="N209" s="148"/>
    </row>
    <row r="210" spans="9:14">
      <c r="I210" s="148"/>
      <c r="N210" s="148"/>
    </row>
    <row r="211" spans="9:14">
      <c r="I211" s="148"/>
      <c r="N211" s="148"/>
    </row>
    <row r="212" spans="9:14">
      <c r="I212" s="148"/>
      <c r="N212" s="148"/>
    </row>
    <row r="213" spans="9:14">
      <c r="I213" s="148"/>
      <c r="N213" s="148"/>
    </row>
    <row r="214" spans="9:14">
      <c r="I214" s="148"/>
      <c r="N214" s="148"/>
    </row>
    <row r="215" spans="9:14">
      <c r="I215" s="148"/>
      <c r="N215" s="148"/>
    </row>
    <row r="216" spans="9:14">
      <c r="I216" s="148"/>
      <c r="N216" s="148"/>
    </row>
    <row r="217" spans="9:14">
      <c r="I217" s="148"/>
      <c r="N217" s="148"/>
    </row>
    <row r="218" spans="9:14">
      <c r="I218" s="148"/>
      <c r="N218" s="148"/>
    </row>
    <row r="219" spans="9:14">
      <c r="I219" s="148"/>
      <c r="N219" s="148"/>
    </row>
    <row r="220" spans="9:14">
      <c r="I220" s="148"/>
      <c r="N220" s="148"/>
    </row>
    <row r="221" spans="9:14">
      <c r="I221" s="148"/>
      <c r="N221" s="148"/>
    </row>
    <row r="222" spans="9:14">
      <c r="I222" s="148"/>
      <c r="N222" s="148"/>
    </row>
    <row r="223" spans="9:14">
      <c r="I223" s="148"/>
      <c r="N223" s="148"/>
    </row>
    <row r="224" spans="9:14">
      <c r="I224" s="148"/>
      <c r="N224" s="148"/>
    </row>
    <row r="225" spans="9:14">
      <c r="I225" s="148"/>
      <c r="N225" s="148"/>
    </row>
    <row r="226" spans="9:14">
      <c r="I226" s="148"/>
      <c r="N226" s="148"/>
    </row>
    <row r="227" spans="9:14">
      <c r="I227" s="148"/>
      <c r="N227" s="148"/>
    </row>
    <row r="228" spans="9:14">
      <c r="I228" s="148"/>
      <c r="N228" s="148"/>
    </row>
    <row r="229" spans="9:14">
      <c r="I229" s="148"/>
      <c r="N229" s="148"/>
    </row>
    <row r="230" spans="9:14">
      <c r="I230" s="148"/>
      <c r="N230" s="148"/>
    </row>
    <row r="231" spans="9:14">
      <c r="I231" s="148"/>
      <c r="N231" s="148"/>
    </row>
    <row r="232" spans="9:14">
      <c r="I232" s="148"/>
      <c r="N232" s="148"/>
    </row>
    <row r="233" spans="9:14">
      <c r="I233" s="148"/>
      <c r="N233" s="148"/>
    </row>
    <row r="234" spans="9:14">
      <c r="I234" s="148"/>
      <c r="N234" s="148"/>
    </row>
    <row r="235" spans="9:14">
      <c r="I235" s="148"/>
      <c r="N235" s="148"/>
    </row>
    <row r="236" spans="9:14">
      <c r="I236" s="148"/>
      <c r="N236" s="148"/>
    </row>
    <row r="237" spans="9:14">
      <c r="I237" s="148"/>
      <c r="N237" s="148"/>
    </row>
    <row r="238" spans="9:14">
      <c r="I238" s="148"/>
      <c r="N238" s="148"/>
    </row>
    <row r="239" spans="9:14">
      <c r="I239" s="148"/>
      <c r="N239" s="148"/>
    </row>
    <row r="240" spans="9:14">
      <c r="I240" s="148"/>
      <c r="N240" s="148"/>
    </row>
    <row r="241" spans="9:14">
      <c r="I241" s="148"/>
      <c r="N241" s="148"/>
    </row>
    <row r="242" spans="9:14">
      <c r="I242" s="148"/>
      <c r="N242" s="148"/>
    </row>
    <row r="243" spans="9:14">
      <c r="I243" s="148"/>
      <c r="N243" s="148"/>
    </row>
    <row r="244" spans="9:14">
      <c r="I244" s="148"/>
      <c r="N244" s="148"/>
    </row>
    <row r="245" spans="9:14">
      <c r="I245" s="148"/>
      <c r="N245" s="148"/>
    </row>
    <row r="246" spans="9:14">
      <c r="I246" s="148"/>
      <c r="N246" s="148"/>
    </row>
    <row r="247" spans="9:14">
      <c r="I247" s="148"/>
      <c r="N247" s="148"/>
    </row>
    <row r="248" spans="9:14">
      <c r="I248" s="148"/>
      <c r="N248" s="148"/>
    </row>
    <row r="249" spans="9:14">
      <c r="I249" s="148"/>
      <c r="N249" s="148"/>
    </row>
    <row r="250" spans="9:14">
      <c r="I250" s="148"/>
      <c r="N250" s="148"/>
    </row>
    <row r="251" spans="9:14">
      <c r="I251" s="148"/>
      <c r="N251" s="148"/>
    </row>
    <row r="252" spans="9:14">
      <c r="I252" s="148"/>
      <c r="N252" s="148"/>
    </row>
    <row r="253" spans="9:14">
      <c r="I253" s="148"/>
      <c r="N253" s="148"/>
    </row>
    <row r="254" spans="9:14">
      <c r="I254" s="148"/>
      <c r="N254" s="148"/>
    </row>
    <row r="255" spans="9:14">
      <c r="I255" s="148"/>
      <c r="N255" s="148"/>
    </row>
    <row r="256" spans="9:14">
      <c r="I256" s="148"/>
      <c r="N256" s="148"/>
    </row>
    <row r="257" spans="9:14">
      <c r="I257" s="148"/>
      <c r="N257" s="148"/>
    </row>
    <row r="258" spans="9:14">
      <c r="I258" s="148"/>
      <c r="N258" s="148"/>
    </row>
    <row r="259" spans="9:14">
      <c r="I259" s="148"/>
      <c r="N259" s="148"/>
    </row>
    <row r="260" spans="9:14">
      <c r="I260" s="148"/>
      <c r="N260" s="148"/>
    </row>
    <row r="261" spans="9:14">
      <c r="I261" s="148"/>
      <c r="N261" s="148"/>
    </row>
    <row r="262" spans="9:14">
      <c r="I262" s="148"/>
      <c r="N262" s="148"/>
    </row>
    <row r="263" spans="9:14">
      <c r="I263" s="148"/>
      <c r="N263" s="148"/>
    </row>
    <row r="264" spans="9:14">
      <c r="I264" s="148"/>
      <c r="N264" s="148"/>
    </row>
    <row r="265" spans="9:14">
      <c r="I265" s="148"/>
      <c r="N265" s="148"/>
    </row>
    <row r="266" spans="9:14">
      <c r="I266" s="148"/>
      <c r="N266" s="148"/>
    </row>
    <row r="267" spans="9:14">
      <c r="I267" s="148"/>
      <c r="N267" s="148"/>
    </row>
    <row r="268" spans="9:14">
      <c r="I268" s="148"/>
      <c r="N268" s="148"/>
    </row>
    <row r="269" spans="9:14">
      <c r="I269" s="148"/>
      <c r="N269" s="148"/>
    </row>
    <row r="270" spans="9:14">
      <c r="I270" s="148"/>
      <c r="N270" s="148"/>
    </row>
    <row r="271" spans="9:14">
      <c r="I271" s="148"/>
      <c r="N271" s="148"/>
    </row>
    <row r="272" spans="9:14">
      <c r="I272" s="148"/>
      <c r="N272" s="148"/>
    </row>
    <row r="273" spans="9:14">
      <c r="I273" s="148"/>
      <c r="N273" s="148"/>
    </row>
    <row r="274" spans="9:14">
      <c r="I274" s="148"/>
      <c r="N274" s="148"/>
    </row>
    <row r="275" spans="9:14">
      <c r="I275" s="148"/>
      <c r="N275" s="148"/>
    </row>
    <row r="276" spans="9:14">
      <c r="I276" s="148"/>
      <c r="N276" s="148"/>
    </row>
    <row r="277" spans="9:14">
      <c r="I277" s="148"/>
      <c r="N277" s="148"/>
    </row>
    <row r="278" spans="9:14">
      <c r="I278" s="148"/>
      <c r="N278" s="148"/>
    </row>
    <row r="279" spans="9:14">
      <c r="I279" s="148"/>
      <c r="N279" s="148"/>
    </row>
    <row r="280" spans="9:14">
      <c r="I280" s="148"/>
      <c r="N280" s="148"/>
    </row>
    <row r="281" spans="9:14">
      <c r="I281" s="148"/>
      <c r="N281" s="148"/>
    </row>
    <row r="282" spans="9:14">
      <c r="I282" s="148"/>
      <c r="N282" s="148"/>
    </row>
    <row r="283" spans="9:14">
      <c r="I283" s="148"/>
      <c r="N283" s="148"/>
    </row>
    <row r="284" spans="9:14">
      <c r="I284" s="148"/>
      <c r="N284" s="148"/>
    </row>
    <row r="285" spans="9:14">
      <c r="I285" s="148"/>
      <c r="N285" s="148"/>
    </row>
    <row r="286" spans="9:14">
      <c r="I286" s="148"/>
      <c r="N286" s="148"/>
    </row>
    <row r="287" spans="9:14">
      <c r="I287" s="148"/>
      <c r="N287" s="148"/>
    </row>
    <row r="288" spans="9:14">
      <c r="I288" s="148"/>
      <c r="N288" s="148"/>
    </row>
    <row r="289" spans="9:14">
      <c r="I289" s="148"/>
      <c r="N289" s="148"/>
    </row>
    <row r="290" spans="9:14">
      <c r="I290" s="148"/>
      <c r="N290" s="148"/>
    </row>
    <row r="291" spans="9:14">
      <c r="I291" s="148"/>
      <c r="N291" s="148"/>
    </row>
    <row r="292" spans="9:14">
      <c r="I292" s="148"/>
      <c r="N292" s="148"/>
    </row>
    <row r="293" spans="9:14">
      <c r="I293" s="148"/>
      <c r="N293" s="148"/>
    </row>
    <row r="294" spans="9:14">
      <c r="I294" s="148"/>
      <c r="N294" s="148"/>
    </row>
    <row r="295" spans="9:14">
      <c r="I295" s="148"/>
      <c r="N295" s="148"/>
    </row>
    <row r="296" spans="9:14">
      <c r="I296" s="148"/>
      <c r="N296" s="148"/>
    </row>
    <row r="297" spans="9:14">
      <c r="I297" s="148"/>
      <c r="N297" s="148"/>
    </row>
    <row r="298" spans="9:14">
      <c r="I298" s="148"/>
      <c r="N298" s="148"/>
    </row>
    <row r="299" spans="9:14">
      <c r="I299" s="148"/>
      <c r="N299" s="148"/>
    </row>
    <row r="300" spans="9:14">
      <c r="I300" s="148"/>
      <c r="N300" s="148"/>
    </row>
    <row r="301" spans="9:14">
      <c r="I301" s="148"/>
      <c r="N301" s="148"/>
    </row>
    <row r="302" spans="9:14">
      <c r="I302" s="148"/>
      <c r="N302" s="148"/>
    </row>
    <row r="303" spans="9:14">
      <c r="I303" s="148"/>
      <c r="N303" s="148"/>
    </row>
    <row r="304" spans="9:14">
      <c r="I304" s="148"/>
      <c r="N304" s="148"/>
    </row>
    <row r="305" spans="9:14">
      <c r="I305" s="148"/>
      <c r="N305" s="148"/>
    </row>
    <row r="306" spans="9:14">
      <c r="I306" s="148"/>
      <c r="N306" s="148"/>
    </row>
    <row r="307" spans="9:14">
      <c r="I307" s="148"/>
      <c r="N307" s="148"/>
    </row>
    <row r="308" spans="9:14">
      <c r="I308" s="148"/>
      <c r="N308" s="148"/>
    </row>
    <row r="309" spans="9:14">
      <c r="I309" s="148"/>
      <c r="N309" s="148"/>
    </row>
    <row r="310" spans="9:14">
      <c r="I310" s="148"/>
      <c r="N310" s="148"/>
    </row>
    <row r="311" spans="9:14">
      <c r="I311" s="148"/>
      <c r="N311" s="148"/>
    </row>
    <row r="312" spans="9:14">
      <c r="I312" s="148"/>
      <c r="N312" s="148"/>
    </row>
    <row r="313" spans="9:14">
      <c r="I313" s="148"/>
      <c r="N313" s="148"/>
    </row>
    <row r="314" spans="9:14">
      <c r="I314" s="148"/>
      <c r="N314" s="148"/>
    </row>
    <row r="315" spans="9:14">
      <c r="I315" s="148"/>
      <c r="N315" s="148"/>
    </row>
    <row r="316" spans="9:14">
      <c r="I316" s="148"/>
      <c r="N316" s="148"/>
    </row>
    <row r="317" spans="9:14">
      <c r="I317" s="148"/>
      <c r="N317" s="148"/>
    </row>
    <row r="318" spans="9:14">
      <c r="I318" s="148"/>
      <c r="N318" s="148"/>
    </row>
    <row r="319" spans="9:14">
      <c r="I319" s="148"/>
      <c r="N319" s="148"/>
    </row>
    <row r="320" spans="9:14">
      <c r="I320" s="148"/>
      <c r="N320" s="148"/>
    </row>
    <row r="321" spans="9:14">
      <c r="I321" s="148"/>
      <c r="N321" s="148"/>
    </row>
    <row r="322" spans="9:14">
      <c r="I322" s="148"/>
      <c r="N322" s="148"/>
    </row>
    <row r="323" spans="9:14">
      <c r="I323" s="148"/>
      <c r="N323" s="148"/>
    </row>
    <row r="324" spans="9:14">
      <c r="I324" s="148"/>
      <c r="N324" s="148"/>
    </row>
    <row r="325" spans="9:14">
      <c r="I325" s="148"/>
      <c r="N325" s="148"/>
    </row>
    <row r="326" spans="9:14">
      <c r="I326" s="148"/>
      <c r="N326" s="148"/>
    </row>
    <row r="327" spans="9:14">
      <c r="I327" s="148"/>
      <c r="N327" s="148"/>
    </row>
    <row r="328" spans="9:14">
      <c r="I328" s="148"/>
      <c r="N328" s="148"/>
    </row>
    <row r="329" spans="9:14">
      <c r="I329" s="148"/>
      <c r="N329" s="148"/>
    </row>
    <row r="330" spans="9:14">
      <c r="I330" s="148"/>
      <c r="N330" s="148"/>
    </row>
    <row r="331" spans="9:14">
      <c r="I331" s="148"/>
      <c r="N331" s="148"/>
    </row>
    <row r="332" spans="9:14">
      <c r="I332" s="148"/>
      <c r="N332" s="148"/>
    </row>
    <row r="333" spans="9:14">
      <c r="I333" s="148"/>
      <c r="N333" s="148"/>
    </row>
    <row r="334" spans="9:14">
      <c r="I334" s="148"/>
      <c r="N334" s="148"/>
    </row>
    <row r="335" spans="9:14">
      <c r="I335" s="148"/>
      <c r="N335" s="148"/>
    </row>
    <row r="336" spans="9:14">
      <c r="I336" s="148"/>
      <c r="N336" s="148"/>
    </row>
    <row r="337" spans="9:14">
      <c r="I337" s="148"/>
      <c r="N337" s="148"/>
    </row>
    <row r="338" spans="9:14">
      <c r="I338" s="148"/>
      <c r="N338" s="148"/>
    </row>
    <row r="339" spans="9:14">
      <c r="I339" s="148"/>
      <c r="N339" s="148"/>
    </row>
    <row r="340" spans="9:14">
      <c r="I340" s="148"/>
      <c r="N340" s="148"/>
    </row>
    <row r="341" spans="9:14">
      <c r="I341" s="148"/>
      <c r="N341" s="148"/>
    </row>
    <row r="342" spans="9:14">
      <c r="I342" s="148"/>
      <c r="N342" s="148"/>
    </row>
    <row r="343" spans="9:14">
      <c r="I343" s="148"/>
      <c r="N343" s="148"/>
    </row>
    <row r="344" spans="9:14">
      <c r="I344" s="148"/>
      <c r="N344" s="148"/>
    </row>
    <row r="345" spans="9:14">
      <c r="I345" s="148"/>
      <c r="N345" s="148"/>
    </row>
    <row r="346" spans="9:14">
      <c r="I346" s="148"/>
      <c r="N346" s="148"/>
    </row>
    <row r="347" spans="9:14">
      <c r="I347" s="148"/>
      <c r="N347" s="148"/>
    </row>
    <row r="348" spans="9:14">
      <c r="I348" s="148"/>
      <c r="N348" s="148"/>
    </row>
    <row r="349" spans="9:14">
      <c r="I349" s="148"/>
      <c r="N349" s="148"/>
    </row>
    <row r="350" spans="9:14">
      <c r="I350" s="148"/>
      <c r="N350" s="148"/>
    </row>
    <row r="351" spans="9:14">
      <c r="I351" s="148"/>
      <c r="N351" s="148"/>
    </row>
    <row r="352" spans="9:14">
      <c r="I352" s="148"/>
      <c r="N352" s="148"/>
    </row>
    <row r="353" spans="9:14">
      <c r="I353" s="148"/>
      <c r="N353" s="148"/>
    </row>
    <row r="354" spans="9:14">
      <c r="I354" s="148"/>
      <c r="N354" s="148"/>
    </row>
    <row r="355" spans="9:14">
      <c r="I355" s="148"/>
      <c r="N355" s="148"/>
    </row>
    <row r="356" spans="9:14">
      <c r="I356" s="148"/>
      <c r="N356" s="148"/>
    </row>
    <row r="357" spans="9:14">
      <c r="I357" s="148"/>
      <c r="N357" s="148"/>
    </row>
    <row r="358" spans="9:14">
      <c r="I358" s="148"/>
      <c r="N358" s="148"/>
    </row>
    <row r="359" spans="9:14">
      <c r="I359" s="148"/>
      <c r="N359" s="148"/>
    </row>
    <row r="360" spans="9:14">
      <c r="I360" s="148"/>
      <c r="N360" s="148"/>
    </row>
    <row r="361" spans="9:14">
      <c r="I361" s="148"/>
      <c r="N361" s="148"/>
    </row>
    <row r="362" spans="9:14">
      <c r="I362" s="148"/>
      <c r="N362" s="148"/>
    </row>
    <row r="363" spans="9:14">
      <c r="I363" s="148"/>
      <c r="N363" s="148"/>
    </row>
    <row r="364" spans="9:14">
      <c r="I364" s="148"/>
      <c r="N364" s="148"/>
    </row>
    <row r="365" spans="9:14">
      <c r="I365" s="148"/>
      <c r="N365" s="148"/>
    </row>
    <row r="366" spans="9:14">
      <c r="I366" s="148"/>
      <c r="N366" s="148"/>
    </row>
    <row r="367" spans="9:14">
      <c r="I367" s="148"/>
      <c r="N367" s="148"/>
    </row>
    <row r="368" spans="9:14">
      <c r="I368" s="148"/>
      <c r="N368" s="148"/>
    </row>
    <row r="369" spans="9:14">
      <c r="I369" s="148"/>
      <c r="N369" s="148"/>
    </row>
    <row r="370" spans="9:14">
      <c r="I370" s="148"/>
      <c r="N370" s="148"/>
    </row>
    <row r="371" spans="9:14">
      <c r="I371" s="148"/>
      <c r="N371" s="148"/>
    </row>
    <row r="372" spans="9:14">
      <c r="I372" s="148"/>
      <c r="N372" s="148"/>
    </row>
    <row r="373" spans="9:14">
      <c r="I373" s="148"/>
      <c r="N373" s="148"/>
    </row>
    <row r="374" spans="9:14">
      <c r="I374" s="148"/>
      <c r="N374" s="148"/>
    </row>
    <row r="375" spans="9:14">
      <c r="I375" s="148"/>
      <c r="N375" s="148"/>
    </row>
    <row r="376" spans="9:14">
      <c r="I376" s="148"/>
      <c r="N376" s="148"/>
    </row>
    <row r="377" spans="9:14">
      <c r="I377" s="148"/>
      <c r="N377" s="148"/>
    </row>
    <row r="378" spans="9:14">
      <c r="I378" s="148"/>
      <c r="N378" s="148"/>
    </row>
    <row r="379" spans="9:14">
      <c r="I379" s="148"/>
      <c r="N379" s="148"/>
    </row>
    <row r="380" spans="9:14">
      <c r="I380" s="148"/>
      <c r="N380" s="148"/>
    </row>
    <row r="381" spans="9:14">
      <c r="I381" s="148"/>
      <c r="N381" s="148"/>
    </row>
    <row r="382" spans="9:14">
      <c r="I382" s="148"/>
      <c r="N382" s="148"/>
    </row>
    <row r="383" spans="9:14">
      <c r="I383" s="148"/>
      <c r="N383" s="148"/>
    </row>
    <row r="384" spans="9:14">
      <c r="I384" s="148"/>
      <c r="N384" s="148"/>
    </row>
    <row r="385" spans="9:14">
      <c r="I385" s="148"/>
      <c r="N385" s="148"/>
    </row>
    <row r="386" spans="9:14">
      <c r="I386" s="148"/>
      <c r="N386" s="148"/>
    </row>
    <row r="387" spans="9:14">
      <c r="I387" s="148"/>
      <c r="N387" s="148"/>
    </row>
    <row r="388" spans="9:14">
      <c r="I388" s="148"/>
      <c r="N388" s="148"/>
    </row>
    <row r="389" spans="9:14">
      <c r="I389" s="148"/>
      <c r="N389" s="148"/>
    </row>
    <row r="390" spans="9:14">
      <c r="I390" s="148"/>
      <c r="N390" s="148"/>
    </row>
    <row r="391" spans="9:14">
      <c r="I391" s="148"/>
      <c r="N391" s="148"/>
    </row>
    <row r="392" spans="9:14">
      <c r="I392" s="148"/>
      <c r="N392" s="148"/>
    </row>
    <row r="393" spans="9:14">
      <c r="I393" s="148"/>
      <c r="N393" s="148"/>
    </row>
    <row r="394" spans="9:14">
      <c r="I394" s="148"/>
      <c r="N394" s="148"/>
    </row>
    <row r="395" spans="9:14">
      <c r="I395" s="148"/>
      <c r="N395" s="148"/>
    </row>
    <row r="396" spans="9:14">
      <c r="I396" s="148"/>
      <c r="N396" s="148"/>
    </row>
    <row r="397" spans="9:14">
      <c r="I397" s="148"/>
      <c r="N397" s="148"/>
    </row>
    <row r="398" spans="9:14">
      <c r="I398" s="148"/>
      <c r="N398" s="148"/>
    </row>
    <row r="399" spans="9:14">
      <c r="I399" s="148"/>
      <c r="N399" s="148"/>
    </row>
    <row r="400" spans="9:14">
      <c r="I400" s="148"/>
      <c r="N400" s="148"/>
    </row>
    <row r="401" spans="9:14">
      <c r="I401" s="148"/>
      <c r="N401" s="148"/>
    </row>
    <row r="402" spans="9:14">
      <c r="I402" s="148"/>
      <c r="N402" s="148"/>
    </row>
    <row r="403" spans="9:14">
      <c r="I403" s="148"/>
      <c r="N403" s="148"/>
    </row>
    <row r="404" spans="9:14">
      <c r="I404" s="148"/>
      <c r="N404" s="148"/>
    </row>
    <row r="405" spans="9:14">
      <c r="I405" s="148"/>
      <c r="N405" s="148"/>
    </row>
    <row r="406" spans="9:14">
      <c r="I406" s="148"/>
      <c r="N406" s="148"/>
    </row>
    <row r="407" spans="9:14">
      <c r="I407" s="148"/>
      <c r="N407" s="148"/>
    </row>
    <row r="408" spans="9:14">
      <c r="I408" s="148"/>
      <c r="N408" s="148"/>
    </row>
    <row r="409" spans="9:14">
      <c r="I409" s="148"/>
      <c r="N409" s="148"/>
    </row>
    <row r="410" spans="9:14">
      <c r="I410" s="148"/>
      <c r="N410" s="148"/>
    </row>
    <row r="411" spans="9:14">
      <c r="I411" s="148"/>
      <c r="N411" s="148"/>
    </row>
    <row r="412" spans="9:14">
      <c r="I412" s="148"/>
      <c r="N412" s="148"/>
    </row>
    <row r="413" spans="9:14">
      <c r="I413" s="148"/>
      <c r="N413" s="148"/>
    </row>
    <row r="414" spans="9:14">
      <c r="I414" s="148"/>
      <c r="N414" s="148"/>
    </row>
    <row r="415" spans="9:14">
      <c r="I415" s="148"/>
      <c r="N415" s="148"/>
    </row>
    <row r="416" spans="9:14">
      <c r="I416" s="148"/>
      <c r="N416" s="148"/>
    </row>
    <row r="417" spans="9:14">
      <c r="I417" s="148"/>
      <c r="N417" s="148"/>
    </row>
    <row r="418" spans="9:14">
      <c r="I418" s="148"/>
      <c r="N418" s="148"/>
    </row>
    <row r="419" spans="9:14">
      <c r="I419" s="148"/>
      <c r="N419" s="148"/>
    </row>
    <row r="420" spans="9:14">
      <c r="I420" s="148"/>
      <c r="N420" s="148"/>
    </row>
    <row r="421" spans="9:14">
      <c r="I421" s="148"/>
      <c r="N421" s="148"/>
    </row>
    <row r="422" spans="9:14">
      <c r="I422" s="148"/>
      <c r="N422" s="148"/>
    </row>
    <row r="423" spans="9:14">
      <c r="I423" s="148"/>
      <c r="N423" s="148"/>
    </row>
    <row r="424" spans="9:14">
      <c r="I424" s="148"/>
      <c r="N424" s="148"/>
    </row>
    <row r="425" spans="9:14">
      <c r="I425" s="148"/>
      <c r="N425" s="148"/>
    </row>
    <row r="426" spans="9:14">
      <c r="I426" s="148"/>
      <c r="N426" s="148"/>
    </row>
    <row r="427" spans="9:14">
      <c r="I427" s="148"/>
      <c r="N427" s="148"/>
    </row>
    <row r="428" spans="9:14">
      <c r="I428" s="148"/>
      <c r="N428" s="148"/>
    </row>
    <row r="429" spans="9:14">
      <c r="I429" s="148"/>
      <c r="N429" s="148"/>
    </row>
    <row r="430" spans="9:14">
      <c r="I430" s="148"/>
      <c r="N430" s="148"/>
    </row>
    <row r="431" spans="9:14">
      <c r="I431" s="148"/>
      <c r="N431" s="148"/>
    </row>
    <row r="432" spans="9:14">
      <c r="I432" s="148"/>
      <c r="N432" s="148"/>
    </row>
    <row r="433" spans="9:14">
      <c r="I433" s="148"/>
      <c r="N433" s="148"/>
    </row>
    <row r="434" spans="9:14">
      <c r="I434" s="148"/>
      <c r="N434" s="148"/>
    </row>
    <row r="435" spans="9:14">
      <c r="I435" s="148"/>
      <c r="N435" s="148"/>
    </row>
    <row r="436" spans="9:14">
      <c r="I436" s="148"/>
      <c r="N436" s="148"/>
    </row>
    <row r="437" spans="9:14">
      <c r="I437" s="148"/>
      <c r="N437" s="148"/>
    </row>
    <row r="438" spans="9:14">
      <c r="I438" s="148"/>
      <c r="N438" s="148"/>
    </row>
    <row r="439" spans="9:14">
      <c r="I439" s="148"/>
      <c r="N439" s="148"/>
    </row>
    <row r="440" spans="9:14">
      <c r="I440" s="148"/>
      <c r="N440" s="148"/>
    </row>
    <row r="441" spans="9:14">
      <c r="I441" s="148"/>
      <c r="N441" s="148"/>
    </row>
    <row r="442" spans="9:14">
      <c r="I442" s="148"/>
      <c r="N442" s="148"/>
    </row>
    <row r="443" spans="9:14">
      <c r="I443" s="148"/>
      <c r="N443" s="148"/>
    </row>
    <row r="444" spans="9:14">
      <c r="I444" s="148"/>
      <c r="N444" s="148"/>
    </row>
    <row r="445" spans="9:14">
      <c r="I445" s="148"/>
      <c r="N445" s="148"/>
    </row>
    <row r="446" spans="9:14">
      <c r="I446" s="148"/>
      <c r="N446" s="148"/>
    </row>
    <row r="447" spans="9:14">
      <c r="I447" s="148"/>
      <c r="N447" s="148"/>
    </row>
    <row r="448" spans="9:14">
      <c r="I448" s="148"/>
      <c r="N448" s="148"/>
    </row>
    <row r="449" spans="9:14">
      <c r="I449" s="148"/>
      <c r="N449" s="148"/>
    </row>
    <row r="450" spans="9:14">
      <c r="I450" s="148"/>
      <c r="N450" s="148"/>
    </row>
    <row r="451" spans="9:14">
      <c r="I451" s="148"/>
      <c r="N451" s="148"/>
    </row>
    <row r="452" spans="9:14">
      <c r="I452" s="148"/>
      <c r="N452" s="148"/>
    </row>
    <row r="453" spans="9:14">
      <c r="I453" s="148"/>
      <c r="N453" s="148"/>
    </row>
    <row r="454" spans="9:14">
      <c r="I454" s="148"/>
      <c r="N454" s="148"/>
    </row>
    <row r="455" spans="9:14">
      <c r="I455" s="148"/>
      <c r="N455" s="148"/>
    </row>
    <row r="456" spans="9:14">
      <c r="I456" s="148"/>
      <c r="N456" s="148"/>
    </row>
    <row r="457" spans="9:14">
      <c r="I457" s="148"/>
      <c r="N457" s="148"/>
    </row>
    <row r="458" spans="9:14">
      <c r="I458" s="148"/>
      <c r="N458" s="148"/>
    </row>
    <row r="459" spans="9:14">
      <c r="I459" s="148"/>
      <c r="N459" s="148"/>
    </row>
    <row r="460" spans="9:14">
      <c r="I460" s="148"/>
      <c r="N460" s="148"/>
    </row>
    <row r="461" spans="9:14">
      <c r="I461" s="148"/>
      <c r="N461" s="148"/>
    </row>
    <row r="462" spans="9:14">
      <c r="I462" s="148"/>
      <c r="N462" s="148"/>
    </row>
    <row r="463" spans="9:14">
      <c r="I463" s="148"/>
      <c r="N463" s="148"/>
    </row>
    <row r="464" spans="9:14">
      <c r="I464" s="148"/>
      <c r="N464" s="148"/>
    </row>
    <row r="465" spans="9:14">
      <c r="I465" s="148"/>
      <c r="N465" s="148"/>
    </row>
    <row r="466" spans="9:14">
      <c r="I466" s="148"/>
      <c r="N466" s="148"/>
    </row>
    <row r="467" spans="9:14">
      <c r="I467" s="148"/>
      <c r="N467" s="148"/>
    </row>
    <row r="468" spans="9:14">
      <c r="I468" s="148"/>
      <c r="N468" s="148"/>
    </row>
    <row r="469" spans="9:14">
      <c r="I469" s="148"/>
      <c r="N469" s="148"/>
    </row>
    <row r="470" spans="9:14">
      <c r="I470" s="148"/>
      <c r="N470" s="148"/>
    </row>
    <row r="471" spans="9:14">
      <c r="I471" s="148"/>
      <c r="N471" s="148"/>
    </row>
    <row r="472" spans="9:14">
      <c r="I472" s="148"/>
      <c r="N472" s="148"/>
    </row>
    <row r="473" spans="9:14">
      <c r="I473" s="148"/>
      <c r="N473" s="148"/>
    </row>
    <row r="474" spans="9:14">
      <c r="I474" s="148"/>
      <c r="N474" s="148"/>
    </row>
    <row r="475" spans="9:14">
      <c r="I475" s="148"/>
      <c r="N475" s="148"/>
    </row>
    <row r="476" spans="9:14">
      <c r="I476" s="148"/>
      <c r="N476" s="148"/>
    </row>
    <row r="477" spans="9:14">
      <c r="I477" s="148"/>
      <c r="N477" s="148"/>
    </row>
    <row r="478" spans="9:14">
      <c r="I478" s="148"/>
      <c r="N478" s="148"/>
    </row>
    <row r="479" spans="9:14">
      <c r="I479" s="148"/>
      <c r="N479" s="148"/>
    </row>
    <row r="480" spans="9:14">
      <c r="I480" s="148"/>
      <c r="N480" s="148"/>
    </row>
    <row r="481" spans="9:14">
      <c r="I481" s="148"/>
      <c r="N481" s="148"/>
    </row>
    <row r="482" spans="9:14">
      <c r="I482" s="148"/>
      <c r="N482" s="148"/>
    </row>
    <row r="483" spans="9:14">
      <c r="I483" s="148"/>
      <c r="N483" s="148"/>
    </row>
    <row r="484" spans="9:14">
      <c r="I484" s="148"/>
      <c r="N484" s="148"/>
    </row>
    <row r="485" spans="9:14">
      <c r="I485" s="148"/>
      <c r="N485" s="148"/>
    </row>
    <row r="486" spans="9:14">
      <c r="I486" s="148"/>
      <c r="N486" s="148"/>
    </row>
    <row r="487" spans="9:14">
      <c r="I487" s="148"/>
      <c r="N487" s="148"/>
    </row>
    <row r="488" spans="9:14">
      <c r="I488" s="148"/>
      <c r="N488" s="148"/>
    </row>
    <row r="489" spans="9:14">
      <c r="I489" s="148"/>
      <c r="N489" s="148"/>
    </row>
    <row r="490" spans="9:14">
      <c r="I490" s="148"/>
      <c r="N490" s="148"/>
    </row>
    <row r="491" spans="9:14">
      <c r="I491" s="148"/>
      <c r="N491" s="148"/>
    </row>
    <row r="492" spans="9:14">
      <c r="I492" s="148"/>
      <c r="N492" s="148"/>
    </row>
    <row r="493" spans="9:14">
      <c r="I493" s="148"/>
      <c r="N493" s="148"/>
    </row>
    <row r="494" spans="9:14">
      <c r="I494" s="148"/>
      <c r="N494" s="148"/>
    </row>
    <row r="495" spans="9:14">
      <c r="I495" s="148"/>
      <c r="N495" s="148"/>
    </row>
    <row r="496" spans="9:14">
      <c r="I496" s="148"/>
      <c r="N496" s="148"/>
    </row>
    <row r="497" spans="9:14">
      <c r="I497" s="148"/>
      <c r="N497" s="148"/>
    </row>
    <row r="498" spans="9:14">
      <c r="I498" s="148"/>
      <c r="N498" s="148"/>
    </row>
    <row r="499" spans="9:14">
      <c r="I499" s="148"/>
      <c r="N499" s="148"/>
    </row>
    <row r="500" spans="9:14">
      <c r="I500" s="148"/>
      <c r="N500" s="148"/>
    </row>
    <row r="501" spans="9:14">
      <c r="I501" s="148"/>
      <c r="N501" s="148"/>
    </row>
    <row r="502" spans="9:14">
      <c r="I502" s="148"/>
      <c r="N502" s="148"/>
    </row>
    <row r="503" spans="9:14">
      <c r="I503" s="148"/>
      <c r="N503" s="148"/>
    </row>
    <row r="504" spans="9:14">
      <c r="I504" s="148"/>
      <c r="N504" s="148"/>
    </row>
    <row r="505" spans="9:14">
      <c r="I505" s="148"/>
      <c r="N505" s="148"/>
    </row>
    <row r="506" spans="9:14">
      <c r="I506" s="148"/>
      <c r="N506" s="148"/>
    </row>
    <row r="507" spans="9:14">
      <c r="I507" s="148"/>
      <c r="N507" s="148"/>
    </row>
    <row r="508" spans="9:14">
      <c r="I508" s="148"/>
      <c r="N508" s="148"/>
    </row>
    <row r="509" spans="9:14">
      <c r="I509" s="148"/>
      <c r="N509" s="148"/>
    </row>
    <row r="510" spans="9:14">
      <c r="I510" s="148"/>
      <c r="N510" s="148"/>
    </row>
    <row r="511" spans="9:14">
      <c r="I511" s="148"/>
      <c r="N511" s="148"/>
    </row>
    <row r="512" spans="9:14">
      <c r="I512" s="148"/>
      <c r="N512" s="148"/>
    </row>
    <row r="513" spans="9:14">
      <c r="I513" s="148"/>
      <c r="N513" s="148"/>
    </row>
    <row r="514" spans="9:14">
      <c r="I514" s="148"/>
      <c r="N514" s="148"/>
    </row>
    <row r="515" spans="9:14">
      <c r="I515" s="148"/>
      <c r="N515" s="148"/>
    </row>
    <row r="516" spans="9:14">
      <c r="I516" s="148"/>
      <c r="N516" s="148"/>
    </row>
    <row r="517" spans="9:14">
      <c r="I517" s="148"/>
      <c r="N517" s="148"/>
    </row>
    <row r="518" spans="9:14">
      <c r="I518" s="148"/>
      <c r="N518" s="148"/>
    </row>
    <row r="519" spans="9:14">
      <c r="I519" s="148"/>
      <c r="N519" s="148"/>
    </row>
    <row r="520" spans="9:14">
      <c r="I520" s="148"/>
      <c r="N520" s="148"/>
    </row>
    <row r="521" spans="9:14">
      <c r="I521" s="148"/>
      <c r="N521" s="148"/>
    </row>
    <row r="522" spans="9:14">
      <c r="I522" s="148"/>
      <c r="N522" s="148"/>
    </row>
    <row r="523" spans="9:14">
      <c r="I523" s="148"/>
      <c r="N523" s="148"/>
    </row>
    <row r="524" spans="9:14">
      <c r="I524" s="148"/>
      <c r="N524" s="148"/>
    </row>
    <row r="525" spans="9:14">
      <c r="I525" s="148"/>
      <c r="N525" s="148"/>
    </row>
    <row r="526" spans="9:14">
      <c r="I526" s="148"/>
      <c r="N526" s="148"/>
    </row>
    <row r="527" spans="9:14">
      <c r="I527" s="148"/>
      <c r="N527" s="148"/>
    </row>
    <row r="528" spans="9:14">
      <c r="I528" s="148"/>
      <c r="N528" s="148"/>
    </row>
    <row r="529" spans="9:14">
      <c r="I529" s="148"/>
      <c r="N529" s="148"/>
    </row>
    <row r="530" spans="9:14">
      <c r="I530" s="148"/>
      <c r="N530" s="148"/>
    </row>
    <row r="531" spans="9:14">
      <c r="I531" s="148"/>
      <c r="N531" s="148"/>
    </row>
    <row r="532" spans="9:14">
      <c r="I532" s="148"/>
      <c r="N532" s="148"/>
    </row>
    <row r="533" spans="9:14">
      <c r="I533" s="148"/>
      <c r="N533" s="148"/>
    </row>
    <row r="534" spans="9:14">
      <c r="I534" s="148"/>
      <c r="N534" s="148"/>
    </row>
    <row r="535" spans="9:14">
      <c r="I535" s="148"/>
      <c r="N535" s="148"/>
    </row>
    <row r="536" spans="9:14">
      <c r="I536" s="148"/>
      <c r="N536" s="148"/>
    </row>
    <row r="537" spans="9:14">
      <c r="I537" s="148"/>
      <c r="N537" s="148"/>
    </row>
    <row r="538" spans="9:14">
      <c r="I538" s="148"/>
      <c r="N538" s="148"/>
    </row>
    <row r="539" spans="9:14">
      <c r="I539" s="148"/>
      <c r="N539" s="148"/>
    </row>
    <row r="540" spans="9:14">
      <c r="I540" s="148"/>
      <c r="N540" s="148"/>
    </row>
    <row r="541" spans="9:14">
      <c r="I541" s="148"/>
      <c r="N541" s="148"/>
    </row>
    <row r="542" spans="9:14">
      <c r="I542" s="148"/>
      <c r="N542" s="148"/>
    </row>
    <row r="543" spans="9:14">
      <c r="I543" s="148"/>
      <c r="N543" s="148"/>
    </row>
    <row r="544" spans="9:14">
      <c r="I544" s="148"/>
      <c r="N544" s="148"/>
    </row>
    <row r="545" spans="9:14">
      <c r="I545" s="148"/>
      <c r="N545" s="148"/>
    </row>
    <row r="546" spans="9:14">
      <c r="I546" s="148"/>
      <c r="N546" s="148"/>
    </row>
    <row r="547" spans="9:14">
      <c r="I547" s="148"/>
      <c r="N547" s="148"/>
    </row>
    <row r="548" spans="9:14">
      <c r="I548" s="148"/>
      <c r="N548" s="148"/>
    </row>
    <row r="549" spans="9:14">
      <c r="I549" s="148"/>
      <c r="N549" s="148"/>
    </row>
    <row r="550" spans="9:14">
      <c r="I550" s="148"/>
      <c r="N550" s="148"/>
    </row>
    <row r="551" spans="9:14">
      <c r="I551" s="148"/>
      <c r="N551" s="148"/>
    </row>
    <row r="552" spans="9:14">
      <c r="I552" s="148"/>
      <c r="N552" s="148"/>
    </row>
    <row r="553" spans="9:14">
      <c r="I553" s="148"/>
      <c r="N553" s="148"/>
    </row>
    <row r="554" spans="9:14">
      <c r="I554" s="148"/>
      <c r="N554" s="148"/>
    </row>
    <row r="555" spans="9:14">
      <c r="I555" s="148"/>
      <c r="N555" s="148"/>
    </row>
    <row r="556" spans="9:14">
      <c r="I556" s="148"/>
      <c r="N556" s="148"/>
    </row>
    <row r="557" spans="9:14">
      <c r="I557" s="148"/>
      <c r="N557" s="148"/>
    </row>
    <row r="558" spans="9:14">
      <c r="I558" s="148"/>
      <c r="N558" s="148"/>
    </row>
    <row r="559" spans="9:14">
      <c r="I559" s="148"/>
      <c r="N559" s="148"/>
    </row>
    <row r="560" spans="9:14">
      <c r="I560" s="148"/>
      <c r="N560" s="148"/>
    </row>
    <row r="561" spans="9:14">
      <c r="I561" s="148"/>
      <c r="N561" s="148"/>
    </row>
    <row r="562" spans="9:14">
      <c r="I562" s="148"/>
      <c r="N562" s="148"/>
    </row>
    <row r="563" spans="9:14">
      <c r="I563" s="148"/>
      <c r="N563" s="148"/>
    </row>
    <row r="564" spans="9:14">
      <c r="I564" s="148"/>
      <c r="N564" s="148"/>
    </row>
    <row r="565" spans="9:14">
      <c r="I565" s="148"/>
      <c r="N565" s="148"/>
    </row>
    <row r="566" spans="9:14">
      <c r="I566" s="148"/>
      <c r="N566" s="148"/>
    </row>
    <row r="567" spans="9:14">
      <c r="I567" s="148"/>
      <c r="N567" s="148"/>
    </row>
    <row r="568" spans="9:14">
      <c r="I568" s="148"/>
      <c r="N568" s="148"/>
    </row>
    <row r="569" spans="9:14">
      <c r="I569" s="148"/>
      <c r="N569" s="148"/>
    </row>
    <row r="570" spans="9:14">
      <c r="I570" s="148"/>
      <c r="N570" s="148"/>
    </row>
    <row r="571" spans="9:14">
      <c r="I571" s="148"/>
      <c r="N571" s="148"/>
    </row>
    <row r="572" spans="9:14">
      <c r="I572" s="148"/>
      <c r="N572" s="148"/>
    </row>
    <row r="573" spans="9:14">
      <c r="I573" s="148"/>
      <c r="N573" s="148"/>
    </row>
    <row r="574" spans="9:14">
      <c r="I574" s="148"/>
      <c r="N574" s="148"/>
    </row>
    <row r="575" spans="9:14">
      <c r="I575" s="148"/>
      <c r="N575" s="148"/>
    </row>
    <row r="576" spans="9:14">
      <c r="I576" s="148"/>
      <c r="N576" s="148"/>
    </row>
    <row r="577" spans="9:14">
      <c r="I577" s="148"/>
      <c r="N577" s="148"/>
    </row>
    <row r="578" spans="9:14">
      <c r="I578" s="148"/>
      <c r="N578" s="148"/>
    </row>
    <row r="579" spans="9:14">
      <c r="I579" s="148"/>
      <c r="N579" s="148"/>
    </row>
    <row r="580" spans="9:14">
      <c r="I580" s="148"/>
      <c r="N580" s="148"/>
    </row>
    <row r="581" spans="9:14">
      <c r="I581" s="148"/>
      <c r="N581" s="148"/>
    </row>
    <row r="582" spans="9:14">
      <c r="I582" s="148"/>
      <c r="N582" s="148"/>
    </row>
    <row r="583" spans="9:14">
      <c r="I583" s="148"/>
      <c r="N583" s="148"/>
    </row>
    <row r="584" spans="9:14">
      <c r="I584" s="148"/>
      <c r="N584" s="148"/>
    </row>
    <row r="585" spans="9:14">
      <c r="I585" s="148"/>
      <c r="N585" s="148"/>
    </row>
    <row r="586" spans="9:14">
      <c r="I586" s="148"/>
      <c r="N586" s="148"/>
    </row>
    <row r="587" spans="9:14">
      <c r="I587" s="148"/>
      <c r="N587" s="148"/>
    </row>
    <row r="588" spans="9:14">
      <c r="I588" s="148"/>
      <c r="N588" s="148"/>
    </row>
    <row r="589" spans="9:14">
      <c r="I589" s="148"/>
      <c r="N589" s="148"/>
    </row>
    <row r="590" spans="9:14">
      <c r="I590" s="148"/>
      <c r="N590" s="148"/>
    </row>
    <row r="591" spans="9:14">
      <c r="I591" s="148"/>
      <c r="N591" s="148"/>
    </row>
    <row r="592" spans="9:14">
      <c r="I592" s="148"/>
      <c r="N592" s="148"/>
    </row>
    <row r="593" spans="9:14">
      <c r="I593" s="148"/>
      <c r="N593" s="148"/>
    </row>
    <row r="594" spans="9:14">
      <c r="I594" s="148"/>
      <c r="N594" s="148"/>
    </row>
    <row r="595" spans="9:14">
      <c r="I595" s="148"/>
      <c r="N595" s="148"/>
    </row>
    <row r="596" spans="9:14">
      <c r="I596" s="148"/>
      <c r="N596" s="148"/>
    </row>
    <row r="597" spans="9:14">
      <c r="I597" s="148"/>
      <c r="N597" s="148"/>
    </row>
    <row r="598" spans="9:14">
      <c r="I598" s="148"/>
      <c r="N598" s="148"/>
    </row>
    <row r="599" spans="9:14">
      <c r="I599" s="148"/>
      <c r="N599" s="148"/>
    </row>
    <row r="600" spans="9:14">
      <c r="I600" s="148"/>
      <c r="N600" s="148"/>
    </row>
    <row r="601" spans="9:14">
      <c r="I601" s="148"/>
      <c r="N601" s="148"/>
    </row>
    <row r="602" spans="9:14">
      <c r="I602" s="148"/>
      <c r="N602" s="148"/>
    </row>
  </sheetData>
  <sheetProtection algorithmName="SHA-512" hashValue="mnbLgGTHBnvVnAXx9K9CZxVvKPYNjlYZuEDfPqgqIXSkUgNh8kdqH7PLitYJqzT8hnmE7T5oea0k2SDwJIitfA==" saltValue="CaOXjI8f0XLftyUrbw1pnQ==" spinCount="100000" sheet="1" objects="1" scenarios="1"/>
  <autoFilter ref="A9:DQ78" xr:uid="{00000000-0009-0000-0000-00000A000000}"/>
  <mergeCells count="13">
    <mergeCell ref="A4:AD4"/>
    <mergeCell ref="A5:AD5"/>
    <mergeCell ref="A6:AD6"/>
    <mergeCell ref="B8:C8"/>
    <mergeCell ref="H8:I8"/>
    <mergeCell ref="S8:T8"/>
    <mergeCell ref="X110:AC110"/>
    <mergeCell ref="Q88:S88"/>
    <mergeCell ref="Q92:S92"/>
    <mergeCell ref="Q93:S93"/>
    <mergeCell ref="B94:C94"/>
    <mergeCell ref="H94:I94"/>
    <mergeCell ref="S94:T94"/>
  </mergeCells>
  <conditionalFormatting sqref="I10:I24 I28 I30:I41 I84">
    <cfRule type="cellIs" dxfId="53" priority="57" operator="greaterThan">
      <formula>0</formula>
    </cfRule>
  </conditionalFormatting>
  <conditionalFormatting sqref="I10:I24 I28 I30:I41 I84 N84 N10:N24 N26:N42">
    <cfRule type="cellIs" dxfId="52" priority="56" operator="greaterThan">
      <formula>0</formula>
    </cfRule>
  </conditionalFormatting>
  <conditionalFormatting sqref="I29">
    <cfRule type="cellIs" dxfId="51" priority="49" operator="greaterThan">
      <formula>0</formula>
    </cfRule>
  </conditionalFormatting>
  <conditionalFormatting sqref="I29">
    <cfRule type="cellIs" dxfId="50" priority="48" operator="greaterThan">
      <formula>0</formula>
    </cfRule>
  </conditionalFormatting>
  <conditionalFormatting sqref="I27 I25">
    <cfRule type="cellIs" dxfId="49" priority="47" operator="greaterThan">
      <formula>0</formula>
    </cfRule>
  </conditionalFormatting>
  <conditionalFormatting sqref="I27 I25 N25">
    <cfRule type="cellIs" dxfId="48" priority="46" operator="greaterThan">
      <formula>0</formula>
    </cfRule>
  </conditionalFormatting>
  <conditionalFormatting sqref="I26">
    <cfRule type="cellIs" dxfId="47" priority="45" operator="greaterThan">
      <formula>0</formula>
    </cfRule>
  </conditionalFormatting>
  <conditionalFormatting sqref="I26">
    <cfRule type="cellIs" dxfId="46" priority="44" operator="greaterThan">
      <formula>0</formula>
    </cfRule>
  </conditionalFormatting>
  <conditionalFormatting sqref="I47:I61">
    <cfRule type="cellIs" dxfId="45" priority="35" operator="greaterThan">
      <formula>0</formula>
    </cfRule>
  </conditionalFormatting>
  <conditionalFormatting sqref="N47:N48 I47:I61 N50 N52:N53 N56 N59:N61">
    <cfRule type="cellIs" dxfId="44" priority="34" operator="greaterThan">
      <formula>0</formula>
    </cfRule>
  </conditionalFormatting>
  <conditionalFormatting sqref="I44 I46">
    <cfRule type="cellIs" dxfId="43" priority="33" operator="greaterThan">
      <formula>0</formula>
    </cfRule>
  </conditionalFormatting>
  <conditionalFormatting sqref="I44 N44 N46 I46">
    <cfRule type="cellIs" dxfId="42" priority="32" operator="greaterThan">
      <formula>0</formula>
    </cfRule>
  </conditionalFormatting>
  <conditionalFormatting sqref="I43">
    <cfRule type="cellIs" dxfId="41" priority="31" operator="greaterThan">
      <formula>0</formula>
    </cfRule>
  </conditionalFormatting>
  <conditionalFormatting sqref="I43 N43">
    <cfRule type="cellIs" dxfId="40" priority="30" operator="greaterThan">
      <formula>0</formula>
    </cfRule>
  </conditionalFormatting>
  <conditionalFormatting sqref="I42">
    <cfRule type="cellIs" dxfId="39" priority="29" operator="greaterThan">
      <formula>0</formula>
    </cfRule>
  </conditionalFormatting>
  <conditionalFormatting sqref="I42">
    <cfRule type="cellIs" dxfId="38" priority="28" operator="greaterThan">
      <formula>0</formula>
    </cfRule>
  </conditionalFormatting>
  <conditionalFormatting sqref="I45">
    <cfRule type="cellIs" dxfId="37" priority="27" operator="greaterThan">
      <formula>0</formula>
    </cfRule>
  </conditionalFormatting>
  <conditionalFormatting sqref="I45 N45">
    <cfRule type="cellIs" dxfId="36" priority="26" operator="greaterThan">
      <formula>0</formula>
    </cfRule>
  </conditionalFormatting>
  <conditionalFormatting sqref="I62">
    <cfRule type="cellIs" dxfId="35" priority="25" operator="greaterThan">
      <formula>0</formula>
    </cfRule>
  </conditionalFormatting>
  <conditionalFormatting sqref="I62">
    <cfRule type="cellIs" dxfId="34" priority="24" operator="greaterThan">
      <formula>0</formula>
    </cfRule>
  </conditionalFormatting>
  <conditionalFormatting sqref="N66">
    <cfRule type="cellIs" dxfId="33" priority="22" operator="greaterThan">
      <formula>0</formula>
    </cfRule>
  </conditionalFormatting>
  <conditionalFormatting sqref="I64">
    <cfRule type="cellIs" dxfId="32" priority="21" operator="greaterThan">
      <formula>0</formula>
    </cfRule>
  </conditionalFormatting>
  <conditionalFormatting sqref="I64 N64">
    <cfRule type="cellIs" dxfId="31" priority="20" operator="greaterThan">
      <formula>0</formula>
    </cfRule>
  </conditionalFormatting>
  <conditionalFormatting sqref="I63">
    <cfRule type="cellIs" dxfId="30" priority="19" operator="greaterThan">
      <formula>0</formula>
    </cfRule>
  </conditionalFormatting>
  <conditionalFormatting sqref="I63">
    <cfRule type="cellIs" dxfId="29" priority="18" operator="greaterThan">
      <formula>0</formula>
    </cfRule>
  </conditionalFormatting>
  <conditionalFormatting sqref="I65:I66">
    <cfRule type="cellIs" dxfId="28" priority="17" operator="greaterThan">
      <formula>0</formula>
    </cfRule>
  </conditionalFormatting>
  <conditionalFormatting sqref="I65:I66">
    <cfRule type="cellIs" dxfId="27" priority="16" operator="greaterThan">
      <formula>0</formula>
    </cfRule>
  </conditionalFormatting>
  <conditionalFormatting sqref="N65">
    <cfRule type="cellIs" dxfId="26" priority="15" operator="greaterThan">
      <formula>0</formula>
    </cfRule>
  </conditionalFormatting>
  <conditionalFormatting sqref="N68 N72:N83">
    <cfRule type="cellIs" dxfId="25" priority="13" operator="greaterThan">
      <formula>0</formula>
    </cfRule>
  </conditionalFormatting>
  <conditionalFormatting sqref="I68 I71:I83">
    <cfRule type="cellIs" dxfId="24" priority="12" operator="greaterThan">
      <formula>0</formula>
    </cfRule>
  </conditionalFormatting>
  <conditionalFormatting sqref="I68 I71:I83">
    <cfRule type="cellIs" dxfId="23" priority="11" operator="greaterThan">
      <formula>0</formula>
    </cfRule>
  </conditionalFormatting>
  <conditionalFormatting sqref="N67">
    <cfRule type="cellIs" dxfId="22" priority="10" operator="greaterThan">
      <formula>0</formula>
    </cfRule>
  </conditionalFormatting>
  <conditionalFormatting sqref="I67">
    <cfRule type="cellIs" dxfId="21" priority="9" operator="greaterThan">
      <formula>0</formula>
    </cfRule>
  </conditionalFormatting>
  <conditionalFormatting sqref="I67">
    <cfRule type="cellIs" dxfId="20" priority="8" operator="greaterThan">
      <formula>0</formula>
    </cfRule>
  </conditionalFormatting>
  <conditionalFormatting sqref="N69">
    <cfRule type="cellIs" dxfId="19" priority="7" operator="greaterThan">
      <formula>0</formula>
    </cfRule>
  </conditionalFormatting>
  <conditionalFormatting sqref="I69">
    <cfRule type="cellIs" dxfId="18" priority="6" operator="greaterThan">
      <formula>0</formula>
    </cfRule>
  </conditionalFormatting>
  <conditionalFormatting sqref="I69">
    <cfRule type="cellIs" dxfId="17" priority="5" operator="greaterThan">
      <formula>0</formula>
    </cfRule>
  </conditionalFormatting>
  <conditionalFormatting sqref="I70">
    <cfRule type="cellIs" dxfId="16" priority="3" operator="greaterThan">
      <formula>0</formula>
    </cfRule>
  </conditionalFormatting>
  <conditionalFormatting sqref="I70">
    <cfRule type="cellIs" dxfId="15" priority="2" operator="greaterThan">
      <formula>0</formula>
    </cfRule>
  </conditionalFormatting>
  <conditionalFormatting sqref="N70:N71 N62:N63 N57:N58 N54:N55 N51 N49">
    <cfRule type="cellIs" dxfId="14" priority="1" operator="greaterThan">
      <formula>0</formula>
    </cfRule>
  </conditionalFormatting>
  <printOptions horizontalCentered="1"/>
  <pageMargins left="0.28000000000000003" right="0.46" top="0.46" bottom="0.4" header="0.25" footer="0.26"/>
  <pageSetup paperSize="9" scale="39" orientation="landscape" horizontalDpi="300" verticalDpi="300" r:id="rId1"/>
  <headerFooter alignWithMargins="0"/>
  <rowBreaks count="1" manualBreakCount="1">
    <brk id="83" max="2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theme="9" tint="0.79998168889431442"/>
  </sheetPr>
  <dimension ref="A5:AC277"/>
  <sheetViews>
    <sheetView showGridLines="0" zoomScale="85" zoomScaleNormal="85" zoomScaleSheetLayoutView="100" workbookViewId="0">
      <selection activeCell="P20" sqref="P20"/>
    </sheetView>
  </sheetViews>
  <sheetFormatPr defaultColWidth="8.7109375" defaultRowHeight="12.6"/>
  <cols>
    <col min="1" max="1" width="29.5703125" style="149" customWidth="1"/>
    <col min="2" max="2" width="10.7109375" style="148" customWidth="1"/>
    <col min="3" max="3" width="13.85546875" style="149" customWidth="1"/>
    <col min="4" max="16384" width="8.7109375" style="149"/>
  </cols>
  <sheetData>
    <row r="5" spans="1:29" ht="15.6">
      <c r="A5" s="1589" t="s">
        <v>2121</v>
      </c>
      <c r="B5" s="1589"/>
      <c r="C5" s="1589"/>
      <c r="D5" s="1589"/>
      <c r="E5" s="1589"/>
      <c r="F5" s="1589"/>
      <c r="G5" s="1589"/>
      <c r="H5" s="1589"/>
      <c r="I5" s="1589"/>
      <c r="J5" s="1589"/>
      <c r="K5" s="1589"/>
      <c r="L5" s="1589"/>
      <c r="M5" s="217"/>
      <c r="N5" s="217"/>
      <c r="O5" s="217"/>
      <c r="P5" s="217"/>
      <c r="Q5" s="217"/>
      <c r="R5" s="217"/>
      <c r="S5" s="217"/>
      <c r="T5" s="217"/>
      <c r="U5" s="217"/>
      <c r="V5" s="217"/>
      <c r="W5" s="217"/>
      <c r="X5" s="217"/>
      <c r="Y5" s="217"/>
      <c r="Z5" s="217"/>
      <c r="AA5" s="217"/>
      <c r="AB5" s="217"/>
      <c r="AC5" s="217"/>
    </row>
    <row r="6" spans="1:29" ht="20.100000000000001">
      <c r="A6" s="1597" t="s">
        <v>2122</v>
      </c>
      <c r="B6" s="1597"/>
      <c r="C6" s="1597"/>
      <c r="D6" s="1597"/>
      <c r="E6" s="1597"/>
      <c r="F6" s="1597"/>
      <c r="G6" s="1597"/>
      <c r="H6" s="1597"/>
      <c r="I6" s="1597"/>
      <c r="J6" s="1597"/>
      <c r="K6" s="1597"/>
      <c r="L6" s="1597"/>
      <c r="M6" s="218"/>
      <c r="N6" s="218"/>
      <c r="O6" s="218"/>
      <c r="P6" s="218"/>
      <c r="Q6" s="218"/>
      <c r="R6" s="218"/>
      <c r="S6" s="218"/>
      <c r="T6" s="218"/>
      <c r="U6" s="218"/>
      <c r="V6" s="218"/>
      <c r="W6" s="218"/>
      <c r="X6" s="218"/>
      <c r="Y6" s="218"/>
      <c r="Z6" s="218"/>
      <c r="AA6" s="218"/>
      <c r="AB6" s="218"/>
      <c r="AC6" s="218"/>
    </row>
    <row r="7" spans="1:29" ht="20.100000000000001">
      <c r="A7" s="1591" t="s">
        <v>2123</v>
      </c>
      <c r="B7" s="1591"/>
      <c r="C7" s="1591"/>
      <c r="D7" s="1591"/>
      <c r="E7" s="1591"/>
      <c r="F7" s="1591"/>
      <c r="G7" s="1591"/>
      <c r="H7" s="1591"/>
      <c r="I7" s="1591"/>
      <c r="J7" s="1591"/>
      <c r="K7" s="1591"/>
      <c r="L7" s="1591"/>
      <c r="M7" s="219"/>
      <c r="N7" s="219"/>
      <c r="O7" s="219"/>
      <c r="P7" s="219"/>
      <c r="Q7" s="219"/>
      <c r="R7" s="219"/>
      <c r="S7" s="219"/>
      <c r="T7" s="219"/>
      <c r="U7" s="219"/>
      <c r="V7" s="219"/>
      <c r="W7" s="219"/>
      <c r="X7" s="219"/>
      <c r="Y7" s="219"/>
      <c r="Z7" s="219"/>
      <c r="AA7" s="219"/>
      <c r="AB7" s="219"/>
      <c r="AC7" s="219"/>
    </row>
    <row r="8" spans="1:29" ht="20.100000000000001">
      <c r="A8" s="219"/>
      <c r="B8" s="219"/>
      <c r="C8" s="219"/>
      <c r="D8" s="219"/>
      <c r="E8" s="219"/>
      <c r="F8" s="219"/>
      <c r="G8" s="219"/>
      <c r="H8" s="219"/>
      <c r="I8" s="219"/>
      <c r="J8" s="219"/>
      <c r="K8" s="219"/>
      <c r="L8" s="219"/>
      <c r="M8" s="219"/>
      <c r="N8" s="219"/>
      <c r="O8" s="219"/>
      <c r="P8" s="219"/>
      <c r="Q8" s="219"/>
      <c r="R8" s="219"/>
      <c r="S8" s="219"/>
      <c r="T8" s="219"/>
      <c r="U8" s="219"/>
      <c r="V8" s="219"/>
      <c r="W8" s="219"/>
      <c r="X8" s="219"/>
      <c r="Y8" s="219"/>
      <c r="Z8" s="219"/>
      <c r="AA8" s="219"/>
      <c r="AB8" s="219"/>
      <c r="AC8" s="219"/>
    </row>
    <row r="9" spans="1:29" ht="20.100000000000001">
      <c r="A9" s="219"/>
      <c r="B9" s="219"/>
      <c r="C9" s="219"/>
      <c r="D9" s="219"/>
      <c r="E9" s="219"/>
      <c r="F9" s="219"/>
      <c r="G9" s="219"/>
      <c r="H9" s="219"/>
      <c r="I9" s="219"/>
      <c r="J9" s="219"/>
      <c r="K9" s="219"/>
      <c r="L9" s="219"/>
      <c r="M9" s="219"/>
      <c r="N9" s="219"/>
      <c r="O9" s="219"/>
      <c r="P9" s="219"/>
      <c r="Q9" s="219"/>
      <c r="R9" s="219"/>
      <c r="S9" s="219"/>
      <c r="T9" s="219"/>
      <c r="U9" s="219"/>
      <c r="V9" s="219"/>
      <c r="W9" s="219"/>
      <c r="X9" s="219"/>
      <c r="Y9" s="219"/>
      <c r="Z9" s="219"/>
      <c r="AA9" s="219"/>
      <c r="AB9" s="219"/>
      <c r="AC9" s="219"/>
    </row>
    <row r="10" spans="1:29" ht="20.100000000000001">
      <c r="A10" s="219"/>
      <c r="B10" s="219"/>
      <c r="C10" s="219"/>
      <c r="D10" s="219"/>
      <c r="E10" s="219"/>
      <c r="F10" s="219"/>
      <c r="G10" s="219"/>
      <c r="H10" s="219"/>
      <c r="I10" s="219"/>
      <c r="J10" s="219"/>
      <c r="K10" s="219"/>
      <c r="L10" s="219"/>
      <c r="M10" s="219"/>
      <c r="N10" s="219"/>
      <c r="O10" s="219"/>
      <c r="P10" s="219"/>
      <c r="Q10" s="219"/>
      <c r="R10" s="219"/>
      <c r="S10" s="219"/>
      <c r="T10" s="219"/>
      <c r="U10" s="219"/>
      <c r="V10" s="219"/>
      <c r="W10" s="219"/>
      <c r="X10" s="219"/>
      <c r="Y10" s="219"/>
      <c r="Z10" s="219"/>
      <c r="AA10" s="219"/>
      <c r="AB10" s="219"/>
      <c r="AC10" s="219"/>
    </row>
    <row r="11" spans="1:29" ht="20.100000000000001">
      <c r="A11" s="1594" t="s">
        <v>2152</v>
      </c>
      <c r="B11" s="1595"/>
      <c r="C11" s="1596"/>
      <c r="D11" s="219"/>
      <c r="E11" s="219"/>
      <c r="F11" s="219"/>
      <c r="G11" s="219"/>
      <c r="H11" s="219"/>
      <c r="I11" s="219"/>
      <c r="J11" s="219"/>
      <c r="K11" s="219"/>
      <c r="L11" s="219"/>
      <c r="M11" s="219"/>
      <c r="N11" s="219"/>
      <c r="O11" s="219"/>
      <c r="P11" s="219"/>
      <c r="Q11" s="219"/>
      <c r="R11" s="219"/>
      <c r="S11" s="219"/>
      <c r="T11" s="219"/>
      <c r="U11" s="219"/>
      <c r="V11" s="219"/>
      <c r="W11" s="219"/>
      <c r="X11" s="219"/>
      <c r="Y11" s="219"/>
      <c r="Z11" s="219"/>
      <c r="AA11" s="219"/>
      <c r="AB11" s="219"/>
      <c r="AC11" s="219"/>
    </row>
    <row r="12" spans="1:29" ht="20.100000000000001">
      <c r="A12" s="220" t="s">
        <v>1424</v>
      </c>
      <c r="B12" s="221" t="s">
        <v>1425</v>
      </c>
      <c r="C12" s="220" t="s">
        <v>1426</v>
      </c>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19"/>
    </row>
    <row r="13" spans="1:29" ht="11.25" customHeight="1">
      <c r="A13" s="222" t="s">
        <v>1427</v>
      </c>
      <c r="B13" s="223">
        <f>COUNTIF('ANALISA INSIDEN'!C10:C78,1)</f>
        <v>66</v>
      </c>
      <c r="C13" s="224">
        <f>+B13/B$20</f>
        <v>0.95652173913043481</v>
      </c>
      <c r="D13" s="219"/>
      <c r="E13" s="219"/>
      <c r="F13" s="219"/>
      <c r="G13" s="219"/>
      <c r="H13" s="219"/>
      <c r="I13" s="219"/>
      <c r="J13" s="219"/>
      <c r="K13" s="219"/>
      <c r="L13" s="219"/>
      <c r="M13" s="219"/>
      <c r="N13" s="219"/>
      <c r="O13" s="219"/>
      <c r="P13" s="219"/>
      <c r="Q13" s="219"/>
      <c r="R13" s="219"/>
      <c r="S13" s="219"/>
      <c r="T13" s="219"/>
      <c r="U13" s="219"/>
      <c r="V13" s="219"/>
      <c r="W13" s="219"/>
      <c r="X13" s="219"/>
      <c r="Y13" s="219"/>
      <c r="Z13" s="219"/>
      <c r="AA13" s="219"/>
      <c r="AB13" s="219"/>
      <c r="AC13" s="219"/>
    </row>
    <row r="14" spans="1:29" ht="11.25" customHeight="1">
      <c r="A14" s="225" t="s">
        <v>1428</v>
      </c>
      <c r="B14" s="226">
        <f>COUNTIF('ANALISA INSIDEN'!C10:C78,2)</f>
        <v>0</v>
      </c>
      <c r="C14" s="227">
        <f t="shared" ref="C14:C19" si="0">+B14/B$20</f>
        <v>0</v>
      </c>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219"/>
    </row>
    <row r="15" spans="1:29" ht="11.25" customHeight="1">
      <c r="A15" s="225" t="s">
        <v>1429</v>
      </c>
      <c r="B15" s="228">
        <f>COUNTIF('ANALISA INSIDEN'!C10:C78,3)</f>
        <v>2</v>
      </c>
      <c r="C15" s="229">
        <f t="shared" si="0"/>
        <v>2.8985507246376812E-2</v>
      </c>
      <c r="D15" s="219"/>
      <c r="E15" s="219"/>
      <c r="F15" s="219"/>
      <c r="G15" s="219"/>
      <c r="H15" s="219"/>
      <c r="I15" s="219"/>
      <c r="J15" s="219"/>
      <c r="K15" s="219"/>
      <c r="L15" s="219"/>
      <c r="M15" s="219"/>
      <c r="N15" s="219"/>
      <c r="O15" s="219"/>
      <c r="P15" s="219"/>
      <c r="Q15" s="219"/>
      <c r="R15" s="219"/>
      <c r="S15" s="219"/>
      <c r="T15" s="219"/>
      <c r="U15" s="219"/>
      <c r="V15" s="219"/>
      <c r="W15" s="219"/>
      <c r="X15" s="219"/>
      <c r="Y15" s="219"/>
      <c r="Z15" s="219"/>
      <c r="AA15" s="219"/>
      <c r="AB15" s="219"/>
      <c r="AC15" s="219"/>
    </row>
    <row r="16" spans="1:29" ht="11.25" customHeight="1">
      <c r="A16" s="225" t="s">
        <v>1430</v>
      </c>
      <c r="B16" s="226">
        <f>COUNTIF('ANALISA INSIDEN'!C10:C78,4)</f>
        <v>0</v>
      </c>
      <c r="C16" s="230">
        <f t="shared" si="0"/>
        <v>0</v>
      </c>
      <c r="D16" s="219"/>
      <c r="E16" s="219"/>
      <c r="F16" s="219"/>
      <c r="G16" s="219"/>
      <c r="H16" s="219"/>
      <c r="I16" s="219"/>
      <c r="J16" s="219"/>
      <c r="K16" s="219"/>
      <c r="L16" s="219"/>
      <c r="M16" s="219"/>
      <c r="N16" s="219"/>
      <c r="O16" s="219"/>
      <c r="P16" s="219"/>
      <c r="Q16" s="219"/>
      <c r="R16" s="219"/>
      <c r="S16" s="219"/>
      <c r="T16" s="219"/>
      <c r="U16" s="219"/>
      <c r="V16" s="219"/>
      <c r="W16" s="219"/>
      <c r="X16" s="219"/>
      <c r="Y16" s="219"/>
      <c r="Z16" s="219"/>
      <c r="AA16" s="219"/>
      <c r="AB16" s="219"/>
      <c r="AC16" s="219"/>
    </row>
    <row r="17" spans="1:29" ht="11.25" customHeight="1">
      <c r="A17" s="225" t="s">
        <v>1431</v>
      </c>
      <c r="B17" s="226">
        <f>COUNTIF('ANALISA INSIDEN'!C10:C78,5)</f>
        <v>0</v>
      </c>
      <c r="C17" s="227">
        <f t="shared" si="0"/>
        <v>0</v>
      </c>
      <c r="D17" s="219"/>
      <c r="E17" s="219"/>
      <c r="F17" s="219"/>
      <c r="G17" s="219"/>
      <c r="H17" s="219"/>
      <c r="I17" s="219"/>
      <c r="J17" s="219"/>
      <c r="K17" s="219"/>
      <c r="L17" s="219"/>
      <c r="M17" s="219"/>
      <c r="N17" s="219"/>
      <c r="O17" s="219"/>
      <c r="P17" s="219"/>
      <c r="Q17" s="219"/>
      <c r="R17" s="219"/>
      <c r="S17" s="219"/>
      <c r="T17" s="219"/>
      <c r="U17" s="219"/>
      <c r="V17" s="219"/>
      <c r="W17" s="219"/>
      <c r="X17" s="219"/>
      <c r="Y17" s="219"/>
      <c r="Z17" s="219"/>
      <c r="AA17" s="219"/>
      <c r="AB17" s="219"/>
      <c r="AC17" s="219"/>
    </row>
    <row r="18" spans="1:29" ht="11.25" customHeight="1">
      <c r="A18" s="225" t="s">
        <v>1432</v>
      </c>
      <c r="B18" s="226">
        <f>COUNTIF('ANALISA INSIDEN'!C10:C78,6)</f>
        <v>0</v>
      </c>
      <c r="C18" s="230">
        <f t="shared" si="0"/>
        <v>0</v>
      </c>
      <c r="D18" s="219"/>
      <c r="E18" s="219"/>
      <c r="F18" s="219"/>
      <c r="G18" s="219"/>
      <c r="H18" s="219"/>
      <c r="I18" s="219"/>
      <c r="J18" s="219"/>
      <c r="K18" s="219"/>
      <c r="L18" s="219"/>
      <c r="M18" s="219"/>
      <c r="N18" s="219"/>
      <c r="O18" s="219"/>
      <c r="P18" s="219"/>
      <c r="Q18" s="219"/>
      <c r="R18" s="219"/>
      <c r="S18" s="219"/>
      <c r="T18" s="219"/>
      <c r="U18" s="219"/>
      <c r="V18" s="219"/>
      <c r="W18" s="219"/>
      <c r="X18" s="219"/>
      <c r="Y18" s="219"/>
      <c r="Z18" s="219"/>
      <c r="AA18" s="219"/>
      <c r="AB18" s="219"/>
      <c r="AC18" s="219"/>
    </row>
    <row r="19" spans="1:29" ht="11.25" customHeight="1">
      <c r="A19" s="231" t="s">
        <v>1433</v>
      </c>
      <c r="B19" s="232">
        <f>COUNTIF('ANALISA INSIDEN'!C10:C78,7)</f>
        <v>1</v>
      </c>
      <c r="C19" s="233">
        <f t="shared" si="0"/>
        <v>1.4492753623188406E-2</v>
      </c>
      <c r="D19" s="219"/>
      <c r="E19" s="219"/>
      <c r="F19" s="219"/>
      <c r="G19" s="219"/>
      <c r="H19" s="219"/>
      <c r="I19" s="219"/>
      <c r="J19" s="219"/>
      <c r="K19" s="219"/>
      <c r="L19" s="219"/>
      <c r="M19" s="219"/>
      <c r="N19" s="219"/>
      <c r="O19" s="219"/>
      <c r="P19" s="219"/>
      <c r="Q19" s="219"/>
      <c r="R19" s="219"/>
      <c r="S19" s="219"/>
      <c r="T19" s="219"/>
      <c r="U19" s="219"/>
      <c r="V19" s="219"/>
      <c r="W19" s="219"/>
      <c r="X19" s="219"/>
      <c r="Y19" s="219"/>
      <c r="Z19" s="219"/>
      <c r="AA19" s="219"/>
      <c r="AB19" s="219"/>
      <c r="AC19" s="219"/>
    </row>
    <row r="20" spans="1:29" ht="20.100000000000001">
      <c r="A20" s="234" t="s">
        <v>144</v>
      </c>
      <c r="B20" s="235">
        <f>SUM(B13:B19)</f>
        <v>69</v>
      </c>
      <c r="C20" s="236">
        <f>SUM(C13:C19)</f>
        <v>1</v>
      </c>
      <c r="D20" s="219"/>
      <c r="E20" s="219"/>
      <c r="F20" s="219"/>
      <c r="G20" s="219"/>
      <c r="H20" s="219"/>
      <c r="I20" s="219"/>
      <c r="J20" s="219"/>
      <c r="K20" s="219"/>
      <c r="L20" s="219"/>
      <c r="M20" s="219"/>
      <c r="N20" s="219"/>
      <c r="O20" s="219"/>
      <c r="P20" s="219"/>
      <c r="Q20" s="219"/>
      <c r="R20" s="219"/>
      <c r="S20" s="219"/>
      <c r="T20" s="219"/>
      <c r="U20" s="219"/>
      <c r="V20" s="219"/>
      <c r="W20" s="219"/>
      <c r="X20" s="219"/>
      <c r="Y20" s="219"/>
      <c r="Z20" s="219"/>
      <c r="AA20" s="219"/>
      <c r="AB20" s="219"/>
      <c r="AC20" s="219"/>
    </row>
    <row r="21" spans="1:29" ht="20.100000000000001">
      <c r="A21" s="219"/>
      <c r="B21" s="219"/>
      <c r="C21" s="219"/>
      <c r="D21" s="219"/>
      <c r="E21" s="219"/>
      <c r="F21" s="219"/>
      <c r="G21" s="219"/>
      <c r="H21" s="219"/>
      <c r="I21" s="219"/>
      <c r="J21" s="219"/>
      <c r="K21" s="219"/>
      <c r="L21" s="219"/>
      <c r="M21" s="219"/>
      <c r="N21" s="219"/>
      <c r="O21" s="219"/>
      <c r="P21" s="219"/>
      <c r="Q21" s="219"/>
      <c r="R21" s="219"/>
      <c r="S21" s="219"/>
      <c r="T21" s="219"/>
      <c r="U21" s="219"/>
      <c r="V21" s="219"/>
      <c r="W21" s="219"/>
      <c r="X21" s="219"/>
      <c r="Y21" s="219"/>
      <c r="Z21" s="219"/>
      <c r="AA21" s="219"/>
      <c r="AB21" s="219"/>
      <c r="AC21" s="219"/>
    </row>
    <row r="23" spans="1:29" ht="18" customHeight="1">
      <c r="A23" s="1594" t="s">
        <v>2153</v>
      </c>
      <c r="B23" s="1595"/>
      <c r="C23" s="1596"/>
    </row>
    <row r="24" spans="1:29" ht="18" customHeight="1">
      <c r="A24" s="220" t="s">
        <v>2154</v>
      </c>
      <c r="B24" s="221" t="s">
        <v>1425</v>
      </c>
      <c r="C24" s="220" t="s">
        <v>1426</v>
      </c>
    </row>
    <row r="25" spans="1:29" ht="12" customHeight="1">
      <c r="A25" s="237" t="s">
        <v>64</v>
      </c>
      <c r="B25" s="223">
        <f>COUNTIF('ANALISA INSIDEN'!V10:V78,1)</f>
        <v>36</v>
      </c>
      <c r="C25" s="224">
        <f t="shared" ref="C25:C31" si="1">+B25/B$32</f>
        <v>0.52173913043478259</v>
      </c>
    </row>
    <row r="26" spans="1:29" ht="12" customHeight="1">
      <c r="A26" s="238" t="s">
        <v>33</v>
      </c>
      <c r="B26" s="226">
        <f>COUNTIF('ANALISA INSIDEN'!V10:V78,2)</f>
        <v>0</v>
      </c>
      <c r="C26" s="227">
        <f t="shared" si="1"/>
        <v>0</v>
      </c>
    </row>
    <row r="27" spans="1:29" ht="12" customHeight="1">
      <c r="A27" s="238" t="s">
        <v>67</v>
      </c>
      <c r="B27" s="228">
        <f>COUNTIF('ANALISA INSIDEN'!V10:V78,3)</f>
        <v>24</v>
      </c>
      <c r="C27" s="229">
        <f t="shared" si="1"/>
        <v>0.34782608695652173</v>
      </c>
    </row>
    <row r="28" spans="1:29" ht="12" customHeight="1">
      <c r="A28" s="239" t="s">
        <v>34</v>
      </c>
      <c r="B28" s="240">
        <f>COUNTIF('ANALISA INSIDEN'!V10:V78,4)</f>
        <v>3</v>
      </c>
      <c r="C28" s="229">
        <f t="shared" si="1"/>
        <v>4.3478260869565216E-2</v>
      </c>
    </row>
    <row r="29" spans="1:29" ht="12" customHeight="1">
      <c r="A29" s="238" t="s">
        <v>66</v>
      </c>
      <c r="B29" s="240">
        <f>COUNTIF('ANALISA INSIDEN'!V10:V78,5)</f>
        <v>6</v>
      </c>
      <c r="C29" s="229">
        <f t="shared" si="1"/>
        <v>8.6956521739130432E-2</v>
      </c>
    </row>
    <row r="30" spans="1:29" ht="12" customHeight="1">
      <c r="A30" s="238" t="s">
        <v>30</v>
      </c>
      <c r="B30" s="240">
        <f>COUNTIF('ANALISA INSIDEN'!V10:V78,6)</f>
        <v>0</v>
      </c>
      <c r="C30" s="230">
        <f t="shared" si="1"/>
        <v>0</v>
      </c>
    </row>
    <row r="31" spans="1:29" ht="12" customHeight="1">
      <c r="A31" s="239" t="s">
        <v>2155</v>
      </c>
      <c r="B31" s="241">
        <f>COUNTIF('ANALISA INSIDEN'!V10:V78,7)</f>
        <v>0</v>
      </c>
      <c r="C31" s="233">
        <f t="shared" si="1"/>
        <v>0</v>
      </c>
    </row>
    <row r="32" spans="1:29" ht="18" customHeight="1">
      <c r="A32" s="234" t="s">
        <v>144</v>
      </c>
      <c r="B32" s="235">
        <f>SUM(B25:B31)</f>
        <v>69</v>
      </c>
      <c r="C32" s="236">
        <f>SUM(C25:C31)</f>
        <v>1</v>
      </c>
    </row>
    <row r="33" spans="1:4" ht="12.75" customHeight="1">
      <c r="A33" s="242"/>
      <c r="B33" s="243"/>
      <c r="C33" s="244"/>
    </row>
    <row r="34" spans="1:4" ht="12.75" customHeight="1">
      <c r="A34" s="242"/>
      <c r="B34" s="243"/>
      <c r="C34" s="244"/>
    </row>
    <row r="35" spans="1:4" ht="12.75" customHeight="1">
      <c r="A35" s="1594" t="s">
        <v>2156</v>
      </c>
      <c r="B35" s="1595"/>
      <c r="C35" s="1596"/>
    </row>
    <row r="36" spans="1:4" ht="12.75" customHeight="1">
      <c r="A36" s="220" t="s">
        <v>2154</v>
      </c>
      <c r="B36" s="221" t="s">
        <v>1425</v>
      </c>
      <c r="C36" s="220" t="s">
        <v>1426</v>
      </c>
    </row>
    <row r="37" spans="1:4" ht="12.75" customHeight="1">
      <c r="A37" s="237" t="s">
        <v>57</v>
      </c>
      <c r="B37" s="223">
        <f>COUNTIF('ANALISA INSIDEN'!W10:W78,1)</f>
        <v>32</v>
      </c>
      <c r="C37" s="224">
        <f>+B37/B$39</f>
        <v>0.46376811594202899</v>
      </c>
    </row>
    <row r="38" spans="1:4" ht="12.75" customHeight="1">
      <c r="A38" s="222" t="s">
        <v>58</v>
      </c>
      <c r="B38" s="223">
        <f>COUNTIF('ANALISA INSIDEN'!W10:W78,2)</f>
        <v>37</v>
      </c>
      <c r="C38" s="224">
        <f>+B38/B$39</f>
        <v>0.53623188405797106</v>
      </c>
    </row>
    <row r="39" spans="1:4" ht="12.75" customHeight="1">
      <c r="A39" s="234" t="s">
        <v>144</v>
      </c>
      <c r="B39" s="235">
        <f>SUM(B37:B38)</f>
        <v>69</v>
      </c>
      <c r="C39" s="236">
        <f>SUM(C37:C38)</f>
        <v>1</v>
      </c>
    </row>
    <row r="40" spans="1:4" ht="12.75" customHeight="1">
      <c r="A40" s="242"/>
      <c r="B40" s="243"/>
      <c r="C40" s="244"/>
    </row>
    <row r="41" spans="1:4" ht="12" customHeight="1">
      <c r="A41" s="242"/>
      <c r="B41" s="243"/>
      <c r="C41" s="244"/>
    </row>
    <row r="42" spans="1:4" ht="18" customHeight="1">
      <c r="A42" s="1594" t="s">
        <v>2157</v>
      </c>
      <c r="B42" s="1595"/>
      <c r="C42" s="1596"/>
    </row>
    <row r="43" spans="1:4" ht="12.95">
      <c r="A43" s="220" t="s">
        <v>2158</v>
      </c>
      <c r="B43" s="245" t="s">
        <v>1425</v>
      </c>
      <c r="C43" s="220" t="s">
        <v>1426</v>
      </c>
    </row>
    <row r="44" spans="1:4" ht="12.95">
      <c r="A44" s="982" t="s">
        <v>2159</v>
      </c>
      <c r="B44" s="246">
        <f>COUNTIF('ANALISA INSIDEN'!I10:I78,1)</f>
        <v>51</v>
      </c>
      <c r="C44" s="224">
        <f>B44/B59</f>
        <v>0.73913043478260865</v>
      </c>
      <c r="D44" s="248"/>
    </row>
    <row r="45" spans="1:4" ht="12.95">
      <c r="A45" s="983" t="s">
        <v>2160</v>
      </c>
      <c r="B45" s="226">
        <f>COUNTIF('ANALISA INSIDEN'!I10:I78,2)</f>
        <v>8</v>
      </c>
      <c r="C45" s="230">
        <f>B45/B59</f>
        <v>0.11594202898550725</v>
      </c>
      <c r="D45" s="248"/>
    </row>
    <row r="46" spans="1:4" ht="12.95">
      <c r="A46" s="983" t="s">
        <v>2161</v>
      </c>
      <c r="B46" s="226">
        <f>COUNTIF('ANALISA INSIDEN'!I10:I78,3)</f>
        <v>3</v>
      </c>
      <c r="C46" s="230">
        <f>B46/B59</f>
        <v>4.3478260869565216E-2</v>
      </c>
      <c r="D46" s="248"/>
    </row>
    <row r="47" spans="1:4" ht="12.95">
      <c r="A47" s="983" t="s">
        <v>2162</v>
      </c>
      <c r="B47" s="226">
        <f>COUNTIF('ANALISA INSIDEN'!I10:I78,4)</f>
        <v>3</v>
      </c>
      <c r="C47" s="230">
        <f>B47/B59</f>
        <v>4.3478260869565216E-2</v>
      </c>
      <c r="D47" s="248"/>
    </row>
    <row r="48" spans="1:4" ht="12.95">
      <c r="A48" s="983" t="s">
        <v>2141</v>
      </c>
      <c r="B48" s="226">
        <f>COUNTIF('ANALISA INSIDEN'!I10:I78,5)</f>
        <v>1</v>
      </c>
      <c r="C48" s="230">
        <f>B48/B59</f>
        <v>1.4492753623188406E-2</v>
      </c>
      <c r="D48" s="248"/>
    </row>
    <row r="49" spans="1:4" ht="12.95">
      <c r="A49" s="983" t="s">
        <v>2163</v>
      </c>
      <c r="B49" s="226">
        <f>COUNTIF('ANALISA INSIDEN'!I10:I78,6)</f>
        <v>1</v>
      </c>
      <c r="C49" s="230">
        <f>B49/B59</f>
        <v>1.4492753623188406E-2</v>
      </c>
      <c r="D49" s="248"/>
    </row>
    <row r="50" spans="1:4" ht="12.95">
      <c r="A50" s="983" t="s">
        <v>142</v>
      </c>
      <c r="B50" s="226">
        <f>COUNTIF('ANALISA INSIDEN'!I10:I78,7)</f>
        <v>0</v>
      </c>
      <c r="C50" s="230">
        <f>B50/B59</f>
        <v>0</v>
      </c>
      <c r="D50" s="248"/>
    </row>
    <row r="51" spans="1:4" ht="12.95">
      <c r="A51" s="983" t="s">
        <v>2164</v>
      </c>
      <c r="B51" s="226">
        <f>COUNTIF('ANALISA INSIDEN'!I10:I78,8)</f>
        <v>0</v>
      </c>
      <c r="C51" s="230">
        <f>B51/B59</f>
        <v>0</v>
      </c>
      <c r="D51" s="248"/>
    </row>
    <row r="52" spans="1:4" ht="12.95">
      <c r="A52" s="983" t="s">
        <v>2165</v>
      </c>
      <c r="B52" s="226">
        <f>COUNTIF('ANALISA INSIDEN'!I10:I78,9)</f>
        <v>0</v>
      </c>
      <c r="C52" s="230">
        <f>B52/B59</f>
        <v>0</v>
      </c>
      <c r="D52" s="248"/>
    </row>
    <row r="53" spans="1:4" ht="12.95">
      <c r="A53" s="984" t="s">
        <v>59</v>
      </c>
      <c r="B53" s="226">
        <f>COUNTIF('ANALISA INSIDEN'!I10:I78,10)</f>
        <v>0</v>
      </c>
      <c r="C53" s="230">
        <f>B53/B59</f>
        <v>0</v>
      </c>
      <c r="D53" s="248"/>
    </row>
    <row r="54" spans="1:4" ht="12.95">
      <c r="A54" s="985" t="s">
        <v>2166</v>
      </c>
      <c r="B54" s="226">
        <f>COUNTIF('ANALISA INSIDEN'!I10:I78,11)</f>
        <v>2</v>
      </c>
      <c r="C54" s="230">
        <f>B54/B59</f>
        <v>2.8985507246376812E-2</v>
      </c>
      <c r="D54" s="248"/>
    </row>
    <row r="55" spans="1:4" ht="12.95">
      <c r="A55" s="985" t="s">
        <v>2167</v>
      </c>
      <c r="B55" s="226">
        <f>COUNTIF('ANALISA INSIDEN'!I10:I78,12)</f>
        <v>0</v>
      </c>
      <c r="C55" s="230">
        <f>B55/B59</f>
        <v>0</v>
      </c>
    </row>
    <row r="56" spans="1:4" ht="12.95">
      <c r="A56" s="985" t="s">
        <v>2168</v>
      </c>
      <c r="B56" s="226">
        <f>COUNTIF('ANALISA INSIDEN'!I10:I78,13)</f>
        <v>0</v>
      </c>
      <c r="C56" s="230">
        <f>B56/B59</f>
        <v>0</v>
      </c>
    </row>
    <row r="57" spans="1:4" ht="12.95">
      <c r="A57" s="985" t="s">
        <v>2169</v>
      </c>
      <c r="B57" s="226">
        <f>COUNTIF('ANALISA INSIDEN'!I10:I78,14)</f>
        <v>0</v>
      </c>
      <c r="C57" s="230">
        <f>B57/B59</f>
        <v>0</v>
      </c>
    </row>
    <row r="58" spans="1:4" ht="12.95">
      <c r="A58" s="986" t="s">
        <v>2170</v>
      </c>
      <c r="B58" s="241">
        <f>COUNTIF('ANALISA INSIDEN'!I10:I78,15)</f>
        <v>0</v>
      </c>
      <c r="C58" s="987">
        <f>B58/B59</f>
        <v>0</v>
      </c>
    </row>
    <row r="59" spans="1:4" ht="12.95">
      <c r="A59" s="234" t="s">
        <v>144</v>
      </c>
      <c r="B59" s="235">
        <f>SUM(B44:B58)</f>
        <v>69</v>
      </c>
      <c r="C59" s="236">
        <f>SUM(C44:C58)</f>
        <v>0.99999999999999978</v>
      </c>
    </row>
    <row r="60" spans="1:4">
      <c r="A60" s="174"/>
      <c r="B60" s="251"/>
      <c r="C60" s="174"/>
    </row>
    <row r="61" spans="1:4">
      <c r="A61" s="174"/>
      <c r="B61" s="251"/>
      <c r="C61" s="174"/>
    </row>
    <row r="62" spans="1:4" ht="12.95">
      <c r="A62" s="1598" t="s">
        <v>2171</v>
      </c>
      <c r="B62" s="1598"/>
      <c r="C62" s="1599"/>
    </row>
    <row r="63" spans="1:4" ht="12.95">
      <c r="A63" s="220" t="s">
        <v>2172</v>
      </c>
      <c r="B63" s="245" t="s">
        <v>1425</v>
      </c>
      <c r="C63" s="252" t="s">
        <v>1426</v>
      </c>
    </row>
    <row r="64" spans="1:4" ht="12.95">
      <c r="A64" s="253" t="s">
        <v>2173</v>
      </c>
      <c r="B64" s="246">
        <f>COUNTIF('ANALISA INSIDEN'!J10:J78,1)</f>
        <v>2</v>
      </c>
      <c r="C64" s="247">
        <f>+B64/B88</f>
        <v>2.8985507246376812E-2</v>
      </c>
    </row>
    <row r="65" spans="1:3" ht="12.95">
      <c r="A65" s="254" t="s">
        <v>2174</v>
      </c>
      <c r="B65" s="226">
        <f>COUNTIF('ANALISA INSIDEN'!J10:J78,2)</f>
        <v>2</v>
      </c>
      <c r="C65" s="249">
        <f>+B65/B88</f>
        <v>2.8985507246376812E-2</v>
      </c>
    </row>
    <row r="66" spans="1:3" ht="12.95">
      <c r="A66" s="254" t="s">
        <v>2175</v>
      </c>
      <c r="B66" s="226">
        <f>COUNTIF('ANALISA INSIDEN'!J10:J78,3)</f>
        <v>1</v>
      </c>
      <c r="C66" s="249">
        <f>+B66/B88</f>
        <v>1.4492753623188406E-2</v>
      </c>
    </row>
    <row r="67" spans="1:3" ht="12.95">
      <c r="A67" s="254" t="s">
        <v>2176</v>
      </c>
      <c r="B67" s="226">
        <f>COUNTIF('ANALISA INSIDEN'!J10:J78,4)</f>
        <v>3</v>
      </c>
      <c r="C67" s="249">
        <f>+B67/B88</f>
        <v>4.3478260869565216E-2</v>
      </c>
    </row>
    <row r="68" spans="1:3" ht="12.95">
      <c r="A68" s="254" t="s">
        <v>2177</v>
      </c>
      <c r="B68" s="226">
        <f>COUNTIF('ANALISA INSIDEN'!J10:J78,5)</f>
        <v>3</v>
      </c>
      <c r="C68" s="249">
        <f>+B68/B88</f>
        <v>4.3478260869565216E-2</v>
      </c>
    </row>
    <row r="69" spans="1:3" ht="12.95">
      <c r="A69" s="254" t="s">
        <v>2178</v>
      </c>
      <c r="B69" s="226">
        <f>COUNTIF('ANALISA INSIDEN'!J10:J78,6)</f>
        <v>4</v>
      </c>
      <c r="C69" s="249">
        <f>+B69/B88</f>
        <v>5.7971014492753624E-2</v>
      </c>
    </row>
    <row r="70" spans="1:3" ht="12.95">
      <c r="A70" s="254" t="s">
        <v>2179</v>
      </c>
      <c r="B70" s="226">
        <f>COUNTIF('ANALISA INSIDEN'!J10:J78,7)</f>
        <v>1</v>
      </c>
      <c r="C70" s="249">
        <f>+B70/B88</f>
        <v>1.4492753623188406E-2</v>
      </c>
    </row>
    <row r="71" spans="1:3" ht="12.95">
      <c r="A71" s="254" t="s">
        <v>2180</v>
      </c>
      <c r="B71" s="226">
        <f>COUNTIF('ANALISA INSIDEN'!J10:J78,8)</f>
        <v>5</v>
      </c>
      <c r="C71" s="249">
        <f>+B71/B88</f>
        <v>7.2463768115942032E-2</v>
      </c>
    </row>
    <row r="72" spans="1:3" ht="12.95">
      <c r="A72" s="254" t="s">
        <v>2181</v>
      </c>
      <c r="B72" s="226">
        <f>COUNTIF('ANALISA INSIDEN'!J10:J78,9)</f>
        <v>7</v>
      </c>
      <c r="C72" s="249">
        <f>+B72/B88</f>
        <v>0.10144927536231885</v>
      </c>
    </row>
    <row r="73" spans="1:3" ht="12.95">
      <c r="A73" s="254" t="s">
        <v>2182</v>
      </c>
      <c r="B73" s="226">
        <f>COUNTIF('ANALISA INSIDEN'!J10:J78,10)</f>
        <v>5</v>
      </c>
      <c r="C73" s="249">
        <f>+B73/B88</f>
        <v>7.2463768115942032E-2</v>
      </c>
    </row>
    <row r="74" spans="1:3" ht="12.95">
      <c r="A74" s="254" t="s">
        <v>2183</v>
      </c>
      <c r="B74" s="226">
        <f>COUNTIF('ANALISA INSIDEN'!J10:J78,11)</f>
        <v>6</v>
      </c>
      <c r="C74" s="249">
        <f>+B74/B88</f>
        <v>8.6956521739130432E-2</v>
      </c>
    </row>
    <row r="75" spans="1:3" ht="12.95">
      <c r="A75" s="254" t="s">
        <v>2184</v>
      </c>
      <c r="B75" s="226">
        <f>COUNTIF('ANALISA INSIDEN'!J10:J78,12)</f>
        <v>3</v>
      </c>
      <c r="C75" s="249">
        <f>+B75/B88</f>
        <v>4.3478260869565216E-2</v>
      </c>
    </row>
    <row r="76" spans="1:3" ht="12.95">
      <c r="A76" s="254" t="s">
        <v>2185</v>
      </c>
      <c r="B76" s="226">
        <f>COUNTIF('ANALISA INSIDEN'!J10:J78,13)</f>
        <v>1</v>
      </c>
      <c r="C76" s="249">
        <f>+B76/B88</f>
        <v>1.4492753623188406E-2</v>
      </c>
    </row>
    <row r="77" spans="1:3" ht="12.95">
      <c r="A77" s="254" t="s">
        <v>2186</v>
      </c>
      <c r="B77" s="226">
        <f>COUNTIF('ANALISA INSIDEN'!J10:J78,14)</f>
        <v>2</v>
      </c>
      <c r="C77" s="249">
        <f>+B77/B88</f>
        <v>2.8985507246376812E-2</v>
      </c>
    </row>
    <row r="78" spans="1:3" ht="12.95">
      <c r="A78" s="254" t="s">
        <v>2187</v>
      </c>
      <c r="B78" s="226">
        <f>COUNTIF('ANALISA INSIDEN'!J10:J78,15)</f>
        <v>3</v>
      </c>
      <c r="C78" s="249">
        <f>+B78/B88</f>
        <v>4.3478260869565216E-2</v>
      </c>
    </row>
    <row r="79" spans="1:3" ht="12.95">
      <c r="A79" s="254" t="s">
        <v>2188</v>
      </c>
      <c r="B79" s="226">
        <f>COUNTIF('ANALISA INSIDEN'!J10:J78,16)</f>
        <v>6</v>
      </c>
      <c r="C79" s="249">
        <f>+B79/B88</f>
        <v>8.6956521739130432E-2</v>
      </c>
    </row>
    <row r="80" spans="1:3" ht="12.95">
      <c r="A80" s="254" t="s">
        <v>2189</v>
      </c>
      <c r="B80" s="226">
        <f>COUNTIF('ANALISA INSIDEN'!J10:J78,17)</f>
        <v>2</v>
      </c>
      <c r="C80" s="249">
        <f>+B80/B88</f>
        <v>2.8985507246376812E-2</v>
      </c>
    </row>
    <row r="81" spans="1:3" ht="12.95">
      <c r="A81" s="254" t="s">
        <v>2190</v>
      </c>
      <c r="B81" s="226">
        <f>COUNTIF('ANALISA INSIDEN'!J10:J78,18)</f>
        <v>2</v>
      </c>
      <c r="C81" s="249">
        <f>+B81/B88</f>
        <v>2.8985507246376812E-2</v>
      </c>
    </row>
    <row r="82" spans="1:3" ht="12.95">
      <c r="A82" s="254" t="s">
        <v>2191</v>
      </c>
      <c r="B82" s="226">
        <f>COUNTIF('ANALISA INSIDEN'!J10:J78,19)</f>
        <v>1</v>
      </c>
      <c r="C82" s="249">
        <f>+B82/B88</f>
        <v>1.4492753623188406E-2</v>
      </c>
    </row>
    <row r="83" spans="1:3" ht="12.95">
      <c r="A83" s="254" t="s">
        <v>2192</v>
      </c>
      <c r="B83" s="226">
        <f>COUNTIF('ANALISA INSIDEN'!J10:J78,20)</f>
        <v>3</v>
      </c>
      <c r="C83" s="249">
        <f>+B83/B88</f>
        <v>4.3478260869565216E-2</v>
      </c>
    </row>
    <row r="84" spans="1:3" ht="12.95">
      <c r="A84" s="254" t="s">
        <v>2193</v>
      </c>
      <c r="B84" s="226">
        <f>COUNTIF('ANALISA INSIDEN'!J10:J78,21)</f>
        <v>2</v>
      </c>
      <c r="C84" s="249">
        <f>+B84/B88</f>
        <v>2.8985507246376812E-2</v>
      </c>
    </row>
    <row r="85" spans="1:3" ht="12.95">
      <c r="A85" s="254" t="s">
        <v>2194</v>
      </c>
      <c r="B85" s="226">
        <f>COUNTIF('ANALISA INSIDEN'!J10:J78,22)</f>
        <v>2</v>
      </c>
      <c r="C85" s="249">
        <f>+B85/B88</f>
        <v>2.8985507246376812E-2</v>
      </c>
    </row>
    <row r="86" spans="1:3" ht="12.95">
      <c r="A86" s="254" t="s">
        <v>2195</v>
      </c>
      <c r="B86" s="226">
        <f>COUNTIF('ANALISA INSIDEN'!J10:J78,23)</f>
        <v>3</v>
      </c>
      <c r="C86" s="249">
        <f>+B86/B88</f>
        <v>4.3478260869565216E-2</v>
      </c>
    </row>
    <row r="87" spans="1:3" ht="12.95">
      <c r="A87" s="255" t="s">
        <v>2196</v>
      </c>
      <c r="B87" s="241">
        <f>COUNTIF('ANALISA INSIDEN'!J10:J78,24)</f>
        <v>0</v>
      </c>
      <c r="C87" s="256">
        <f>+B87/B88</f>
        <v>0</v>
      </c>
    </row>
    <row r="88" spans="1:3" ht="12.95">
      <c r="A88" s="234" t="s">
        <v>144</v>
      </c>
      <c r="B88" s="235">
        <f>SUM(B64:B87)</f>
        <v>69</v>
      </c>
      <c r="C88" s="236">
        <f>SUM(C64:C87)</f>
        <v>0.99999999999999989</v>
      </c>
    </row>
    <row r="89" spans="1:3" ht="12.95">
      <c r="A89" s="242"/>
      <c r="B89" s="243"/>
      <c r="C89" s="244"/>
    </row>
    <row r="90" spans="1:3">
      <c r="A90" s="174"/>
      <c r="B90" s="251"/>
      <c r="C90" s="174"/>
    </row>
    <row r="91" spans="1:3" ht="12.95">
      <c r="A91" s="1598" t="s">
        <v>2197</v>
      </c>
      <c r="B91" s="1598"/>
      <c r="C91" s="1598"/>
    </row>
    <row r="92" spans="1:3" ht="12.95">
      <c r="A92" s="220" t="s">
        <v>2198</v>
      </c>
      <c r="B92" s="221" t="s">
        <v>1425</v>
      </c>
      <c r="C92" s="220" t="s">
        <v>1426</v>
      </c>
    </row>
    <row r="93" spans="1:3" ht="12.95">
      <c r="A93" s="237" t="s">
        <v>2199</v>
      </c>
      <c r="B93" s="246">
        <f>COUNTIF('ANALISA INSIDEN'!K10:K78,1)</f>
        <v>7</v>
      </c>
      <c r="C93" s="247">
        <f t="shared" ref="C93:C99" si="2">+B93/B$100</f>
        <v>0.10144927536231885</v>
      </c>
    </row>
    <row r="94" spans="1:3" ht="12.95">
      <c r="A94" s="238" t="s">
        <v>2200</v>
      </c>
      <c r="B94" s="232">
        <f>COUNTIF('ANALISA INSIDEN'!K10:K78,2)</f>
        <v>7</v>
      </c>
      <c r="C94" s="249">
        <f t="shared" si="2"/>
        <v>0.10144927536231885</v>
      </c>
    </row>
    <row r="95" spans="1:3" ht="12.95">
      <c r="A95" s="238" t="s">
        <v>2201</v>
      </c>
      <c r="B95" s="226">
        <f>COUNTIF('ANALISA INSIDEN'!K10:K78,3)</f>
        <v>7</v>
      </c>
      <c r="C95" s="249">
        <f t="shared" si="2"/>
        <v>0.10144927536231885</v>
      </c>
    </row>
    <row r="96" spans="1:3" ht="12.95">
      <c r="A96" s="238" t="s">
        <v>2202</v>
      </c>
      <c r="B96" s="226">
        <f>COUNTIF('ANALISA INSIDEN'!K10:K78,4)</f>
        <v>17</v>
      </c>
      <c r="C96" s="249">
        <f t="shared" si="2"/>
        <v>0.24637681159420291</v>
      </c>
    </row>
    <row r="97" spans="1:3" ht="12.95">
      <c r="A97" s="238" t="s">
        <v>2203</v>
      </c>
      <c r="B97" s="226">
        <f>COUNTIF('ANALISA INSIDEN'!K10:K78,5)</f>
        <v>6</v>
      </c>
      <c r="C97" s="249">
        <f t="shared" si="2"/>
        <v>8.6956521739130432E-2</v>
      </c>
    </row>
    <row r="98" spans="1:3" ht="12.95">
      <c r="A98" s="238" t="s">
        <v>2204</v>
      </c>
      <c r="B98" s="226">
        <f>COUNTIF('ANALISA INSIDEN'!K10:K78,6)</f>
        <v>14</v>
      </c>
      <c r="C98" s="249">
        <f t="shared" si="2"/>
        <v>0.20289855072463769</v>
      </c>
    </row>
    <row r="99" spans="1:3" ht="12.95">
      <c r="A99" s="239" t="s">
        <v>2205</v>
      </c>
      <c r="B99" s="226">
        <f>COUNTIF('ANALISA INSIDEN'!K10:K78,7)</f>
        <v>11</v>
      </c>
      <c r="C99" s="257">
        <f t="shared" si="2"/>
        <v>0.15942028985507245</v>
      </c>
    </row>
    <row r="100" spans="1:3" ht="12.95">
      <c r="A100" s="234" t="s">
        <v>144</v>
      </c>
      <c r="B100" s="235">
        <f>SUM(B93:B99)</f>
        <v>69</v>
      </c>
      <c r="C100" s="236">
        <f>SUM(C93:C99)</f>
        <v>1</v>
      </c>
    </row>
    <row r="101" spans="1:3" ht="12.95">
      <c r="A101" s="242"/>
      <c r="B101" s="243"/>
      <c r="C101" s="244"/>
    </row>
    <row r="102" spans="1:3">
      <c r="A102" s="174"/>
      <c r="B102" s="251"/>
      <c r="C102" s="174"/>
    </row>
    <row r="103" spans="1:3" ht="12.95">
      <c r="A103" s="1594" t="s">
        <v>2206</v>
      </c>
      <c r="B103" s="1595"/>
      <c r="C103" s="1596"/>
    </row>
    <row r="104" spans="1:3" ht="12.95">
      <c r="A104" s="220" t="s">
        <v>2207</v>
      </c>
      <c r="B104" s="221" t="s">
        <v>1425</v>
      </c>
      <c r="C104" s="220" t="s">
        <v>1426</v>
      </c>
    </row>
    <row r="105" spans="1:3" ht="12.95">
      <c r="A105" s="237" t="s">
        <v>2208</v>
      </c>
      <c r="B105" s="232">
        <f>COUNTIF('ANALISA INSIDEN'!L10:L78,1)</f>
        <v>46</v>
      </c>
      <c r="C105" s="247">
        <f>+B105/B107</f>
        <v>0.66666666666666663</v>
      </c>
    </row>
    <row r="106" spans="1:3" ht="12.95">
      <c r="A106" s="239" t="s">
        <v>2209</v>
      </c>
      <c r="B106" s="232">
        <f>COUNTIF('ANALISA INSIDEN'!L10:L78,2)</f>
        <v>23</v>
      </c>
      <c r="C106" s="256">
        <f>+B106/B107</f>
        <v>0.33333333333333331</v>
      </c>
    </row>
    <row r="107" spans="1:3" ht="12.95">
      <c r="A107" s="234" t="s">
        <v>144</v>
      </c>
      <c r="B107" s="235">
        <f>SUM(B105:B106)</f>
        <v>69</v>
      </c>
      <c r="C107" s="236">
        <f>SUM(C105:C106)</f>
        <v>1</v>
      </c>
    </row>
    <row r="108" spans="1:3">
      <c r="A108" s="174"/>
      <c r="B108" s="251"/>
      <c r="C108" s="174"/>
    </row>
    <row r="109" spans="1:3">
      <c r="A109" s="174"/>
      <c r="B109" s="251"/>
      <c r="C109" s="174"/>
    </row>
    <row r="110" spans="1:3" ht="12.95">
      <c r="A110" s="1594" t="s">
        <v>2210</v>
      </c>
      <c r="B110" s="1595"/>
      <c r="C110" s="1596"/>
    </row>
    <row r="111" spans="1:3" ht="12.95">
      <c r="A111" s="220" t="s">
        <v>2211</v>
      </c>
      <c r="B111" s="221" t="s">
        <v>1425</v>
      </c>
      <c r="C111" s="220" t="s">
        <v>1426</v>
      </c>
    </row>
    <row r="112" spans="1:3" ht="12.95">
      <c r="A112" s="258" t="s">
        <v>2212</v>
      </c>
      <c r="B112" s="226">
        <f>COUNTIF('ANALISA INSIDEN'!M10:M78,1)</f>
        <v>47</v>
      </c>
      <c r="C112" s="247">
        <f t="shared" ref="C112:C118" si="3">+B112/B$119</f>
        <v>0.6811594202898551</v>
      </c>
    </row>
    <row r="113" spans="1:3" ht="12.95">
      <c r="A113" s="250" t="s">
        <v>2213</v>
      </c>
      <c r="B113" s="226">
        <f>COUNTIF('ANALISA INSIDEN'!M10:M78,2)</f>
        <v>7</v>
      </c>
      <c r="C113" s="249">
        <f t="shared" si="3"/>
        <v>0.10144927536231885</v>
      </c>
    </row>
    <row r="114" spans="1:3" ht="12.95">
      <c r="A114" s="250" t="s">
        <v>2214</v>
      </c>
      <c r="B114" s="226">
        <f>COUNTIF('ANALISA INSIDEN'!M10:M78,3)</f>
        <v>5</v>
      </c>
      <c r="C114" s="249">
        <f t="shared" si="3"/>
        <v>7.2463768115942032E-2</v>
      </c>
    </row>
    <row r="115" spans="1:3" ht="12.95">
      <c r="A115" s="250" t="s">
        <v>2215</v>
      </c>
      <c r="B115" s="226">
        <f>COUNTIF('ANALISA INSIDEN'!M10:M78,4)</f>
        <v>5</v>
      </c>
      <c r="C115" s="249">
        <f t="shared" si="3"/>
        <v>7.2463768115942032E-2</v>
      </c>
    </row>
    <row r="116" spans="1:3" ht="12.95">
      <c r="A116" s="250" t="s">
        <v>2216</v>
      </c>
      <c r="B116" s="226">
        <f>COUNTIF('ANALISA INSIDEN'!M10:M78,5)</f>
        <v>4</v>
      </c>
      <c r="C116" s="249">
        <f t="shared" si="3"/>
        <v>5.7971014492753624E-2</v>
      </c>
    </row>
    <row r="117" spans="1:3" ht="12.95">
      <c r="A117" s="250" t="s">
        <v>2217</v>
      </c>
      <c r="B117" s="226">
        <f>COUNTIF('ANALISA INSIDEN'!M10:M78,6)</f>
        <v>0</v>
      </c>
      <c r="C117" s="249">
        <f t="shared" si="3"/>
        <v>0</v>
      </c>
    </row>
    <row r="118" spans="1:3" ht="12.95">
      <c r="A118" s="259" t="s">
        <v>2218</v>
      </c>
      <c r="B118" s="232">
        <f>COUNTIF('ANALISA INSIDEN'!M10:M78,7)</f>
        <v>1</v>
      </c>
      <c r="C118" s="257">
        <f t="shared" si="3"/>
        <v>1.4492753623188406E-2</v>
      </c>
    </row>
    <row r="119" spans="1:3" ht="12.95">
      <c r="A119" s="234" t="s">
        <v>144</v>
      </c>
      <c r="B119" s="235">
        <f>SUM(B112:B118)</f>
        <v>69</v>
      </c>
      <c r="C119" s="236">
        <f>SUM(C112:C118)</f>
        <v>1</v>
      </c>
    </row>
    <row r="120" spans="1:3" ht="12.95">
      <c r="A120" s="146"/>
      <c r="B120" s="143"/>
      <c r="C120" s="146"/>
    </row>
    <row r="121" spans="1:3" ht="12.95">
      <c r="A121" s="146"/>
      <c r="B121" s="143"/>
      <c r="C121" s="146"/>
    </row>
    <row r="122" spans="1:3" ht="12.95">
      <c r="A122" s="1594" t="s">
        <v>2219</v>
      </c>
      <c r="B122" s="1595"/>
      <c r="C122" s="1596"/>
    </row>
    <row r="123" spans="1:3" ht="12.95">
      <c r="A123" s="220" t="s">
        <v>2220</v>
      </c>
      <c r="B123" s="221" t="s">
        <v>1425</v>
      </c>
      <c r="C123" s="220" t="s">
        <v>1426</v>
      </c>
    </row>
    <row r="124" spans="1:3" ht="12.95">
      <c r="A124" s="253" t="s">
        <v>2221</v>
      </c>
      <c r="B124" s="246">
        <f>COUNTIF('ANALISA INSIDEN'!N10:N78,1)</f>
        <v>7</v>
      </c>
      <c r="C124" s="247">
        <f>B124/B131</f>
        <v>0.10144927536231885</v>
      </c>
    </row>
    <row r="125" spans="1:3" ht="12.95">
      <c r="A125" s="260" t="s">
        <v>2222</v>
      </c>
      <c r="B125" s="226">
        <f>COUNTIF('ANALISA INSIDEN'!N10:N78,2)</f>
        <v>31</v>
      </c>
      <c r="C125" s="249">
        <f>B125/B131</f>
        <v>0.44927536231884058</v>
      </c>
    </row>
    <row r="126" spans="1:3" ht="12.95">
      <c r="A126" s="261" t="s">
        <v>2223</v>
      </c>
      <c r="B126" s="226">
        <f>COUNTIF('ANALISA INSIDEN'!N10:N78,3)</f>
        <v>25</v>
      </c>
      <c r="C126" s="249">
        <f>B126/B131</f>
        <v>0.36231884057971014</v>
      </c>
    </row>
    <row r="127" spans="1:3" ht="12.95">
      <c r="A127" s="238" t="s">
        <v>2224</v>
      </c>
      <c r="B127" s="226">
        <f>COUNTIF('ANALISA INSIDEN'!N10:N78,4)</f>
        <v>4</v>
      </c>
      <c r="C127" s="249">
        <f>B127/B131</f>
        <v>5.7971014492753624E-2</v>
      </c>
    </row>
    <row r="128" spans="1:3" ht="12.95">
      <c r="A128" s="238" t="s">
        <v>2008</v>
      </c>
      <c r="B128" s="226">
        <f>COUNTIF('ANALISA INSIDEN'!N10:N78,5)</f>
        <v>1</v>
      </c>
      <c r="C128" s="249">
        <f>B128/B131</f>
        <v>1.4492753623188406E-2</v>
      </c>
    </row>
    <row r="129" spans="1:3" ht="12.95">
      <c r="A129" s="238" t="s">
        <v>2225</v>
      </c>
      <c r="B129" s="226">
        <f>COUNTIF('ANALISA INSIDEN'!N10:N78,6)</f>
        <v>0</v>
      </c>
      <c r="C129" s="249">
        <f>B129/B131</f>
        <v>0</v>
      </c>
    </row>
    <row r="130" spans="1:3" ht="12.95">
      <c r="A130" s="255" t="s">
        <v>2226</v>
      </c>
      <c r="B130" s="241">
        <f>COUNTIF('ANALISA INSIDEN'!N10:N78,7)</f>
        <v>1</v>
      </c>
      <c r="C130" s="257">
        <f>B130/B131</f>
        <v>1.4492753623188406E-2</v>
      </c>
    </row>
    <row r="131" spans="1:3" ht="12.95">
      <c r="A131" s="234" t="s">
        <v>144</v>
      </c>
      <c r="B131" s="235">
        <f>SUM(B124:B130)</f>
        <v>69</v>
      </c>
      <c r="C131" s="236">
        <f>SUM(C124:C130)</f>
        <v>1</v>
      </c>
    </row>
    <row r="132" spans="1:3">
      <c r="A132" s="174"/>
      <c r="B132" s="251"/>
      <c r="C132" s="174"/>
    </row>
    <row r="133" spans="1:3">
      <c r="A133" s="174"/>
      <c r="B133" s="251"/>
      <c r="C133" s="174"/>
    </row>
    <row r="134" spans="1:3">
      <c r="A134" s="174"/>
      <c r="B134" s="251"/>
      <c r="C134" s="174"/>
    </row>
    <row r="135" spans="1:3" ht="12.95">
      <c r="A135" s="1594" t="s">
        <v>2227</v>
      </c>
      <c r="B135" s="1595"/>
      <c r="C135" s="1596"/>
    </row>
    <row r="136" spans="1:3" ht="12.95">
      <c r="A136" s="220" t="s">
        <v>2228</v>
      </c>
      <c r="B136" s="221" t="s">
        <v>1425</v>
      </c>
      <c r="C136" s="220" t="s">
        <v>1426</v>
      </c>
    </row>
    <row r="137" spans="1:3" ht="12.95">
      <c r="A137" s="262" t="s">
        <v>2229</v>
      </c>
      <c r="B137" s="246">
        <f>COUNTIF('ANALISA INSIDEN'!O10:O78,1)</f>
        <v>0</v>
      </c>
      <c r="C137" s="247">
        <f t="shared" ref="C137:C144" si="4">+B137/B$145</f>
        <v>0</v>
      </c>
    </row>
    <row r="138" spans="1:3" ht="12.95">
      <c r="A138" s="254" t="s">
        <v>2230</v>
      </c>
      <c r="B138" s="226">
        <f>COUNTIF('ANALISA INSIDEN'!O10:O78,2)</f>
        <v>11</v>
      </c>
      <c r="C138" s="249">
        <f t="shared" si="4"/>
        <v>0.15942028985507245</v>
      </c>
    </row>
    <row r="139" spans="1:3" ht="12.95">
      <c r="A139" s="254" t="s">
        <v>2231</v>
      </c>
      <c r="B139" s="226">
        <f>COUNTIF('ANALISA INSIDEN'!O10:O78,3)</f>
        <v>25</v>
      </c>
      <c r="C139" s="249">
        <f t="shared" si="4"/>
        <v>0.36231884057971014</v>
      </c>
    </row>
    <row r="140" spans="1:3" ht="12.95">
      <c r="A140" s="254" t="s">
        <v>2232</v>
      </c>
      <c r="B140" s="226">
        <f>COUNTIF('ANALISA INSIDEN'!O10:O78,4)</f>
        <v>22</v>
      </c>
      <c r="C140" s="249">
        <f t="shared" si="4"/>
        <v>0.3188405797101449</v>
      </c>
    </row>
    <row r="141" spans="1:3" ht="12.95">
      <c r="A141" s="254" t="s">
        <v>2233</v>
      </c>
      <c r="B141" s="226">
        <f>COUNTIF('ANALISA INSIDEN'!O10:O78,5)</f>
        <v>9</v>
      </c>
      <c r="C141" s="249">
        <f t="shared" si="4"/>
        <v>0.13043478260869565</v>
      </c>
    </row>
    <row r="142" spans="1:3" ht="12.95">
      <c r="A142" s="254" t="s">
        <v>2234</v>
      </c>
      <c r="B142" s="226">
        <f>COUNTIF('ANALISA INSIDEN'!O10:O78,6)</f>
        <v>1</v>
      </c>
      <c r="C142" s="249">
        <f t="shared" si="4"/>
        <v>1.4492753623188406E-2</v>
      </c>
    </row>
    <row r="143" spans="1:3" ht="12.95">
      <c r="A143" s="254" t="s">
        <v>2235</v>
      </c>
      <c r="B143" s="226">
        <f>COUNTIF('ANALISA INSIDEN'!O10:O78,7)</f>
        <v>1</v>
      </c>
      <c r="C143" s="249">
        <f t="shared" si="4"/>
        <v>1.4492753623188406E-2</v>
      </c>
    </row>
    <row r="144" spans="1:3" ht="12.95">
      <c r="A144" s="263" t="s">
        <v>2236</v>
      </c>
      <c r="B144" s="232">
        <f>COUNTIF('ANALISA INSIDEN'!O10:O78,8)</f>
        <v>0</v>
      </c>
      <c r="C144" s="257">
        <f t="shared" si="4"/>
        <v>0</v>
      </c>
    </row>
    <row r="145" spans="1:3" ht="12.95">
      <c r="A145" s="234" t="s">
        <v>144</v>
      </c>
      <c r="B145" s="235">
        <f>SUM(B137:B144)</f>
        <v>69</v>
      </c>
      <c r="C145" s="236">
        <f>SUM(C137:C144)</f>
        <v>0.99999999999999989</v>
      </c>
    </row>
    <row r="146" spans="1:3">
      <c r="A146" s="174"/>
      <c r="B146" s="251"/>
      <c r="C146" s="174"/>
    </row>
    <row r="147" spans="1:3">
      <c r="A147" s="174"/>
      <c r="B147" s="251"/>
      <c r="C147" s="174"/>
    </row>
    <row r="148" spans="1:3">
      <c r="A148" s="174"/>
      <c r="B148" s="251"/>
      <c r="C148" s="174"/>
    </row>
    <row r="149" spans="1:3" ht="12.95">
      <c r="A149" s="1594" t="s">
        <v>2237</v>
      </c>
      <c r="B149" s="1595"/>
      <c r="C149" s="1596"/>
    </row>
    <row r="150" spans="1:3" ht="12.95">
      <c r="A150" s="220" t="s">
        <v>2238</v>
      </c>
      <c r="B150" s="221" t="s">
        <v>1425</v>
      </c>
      <c r="C150" s="220" t="s">
        <v>1426</v>
      </c>
    </row>
    <row r="151" spans="1:3" ht="12.95">
      <c r="A151" s="237" t="s">
        <v>155</v>
      </c>
      <c r="B151" s="246">
        <f>COUNTIF('ANALISA INSIDEN'!P10:P78,1)</f>
        <v>3</v>
      </c>
      <c r="C151" s="247">
        <f>+B151/B$156</f>
        <v>4.3478260869565216E-2</v>
      </c>
    </row>
    <row r="152" spans="1:3" ht="12.95">
      <c r="A152" s="238" t="s">
        <v>2239</v>
      </c>
      <c r="B152" s="226">
        <f>COUNTIF('ANALISA INSIDEN'!P10:P78,2)</f>
        <v>8</v>
      </c>
      <c r="C152" s="249">
        <f>+B152/B$156</f>
        <v>0.11594202898550725</v>
      </c>
    </row>
    <row r="153" spans="1:3" ht="12.95">
      <c r="A153" s="238" t="s">
        <v>2240</v>
      </c>
      <c r="B153" s="226">
        <f>COUNTIF('ANALISA INSIDEN'!P10:P78,3)</f>
        <v>45</v>
      </c>
      <c r="C153" s="249">
        <f>+B153/B$156</f>
        <v>0.65217391304347827</v>
      </c>
    </row>
    <row r="154" spans="1:3" ht="12.95">
      <c r="A154" s="238" t="s">
        <v>2241</v>
      </c>
      <c r="B154" s="228">
        <f>COUNTIF('ANALISA INSIDEN'!P9:P78,4)</f>
        <v>4</v>
      </c>
      <c r="C154" s="249">
        <f>+B154/B$156</f>
        <v>5.7971014492753624E-2</v>
      </c>
    </row>
    <row r="155" spans="1:3" ht="12.95">
      <c r="A155" s="264" t="s">
        <v>2242</v>
      </c>
      <c r="B155" s="241">
        <f>COUNTIF('ANALISA INSIDEN'!P10:P78,5)</f>
        <v>9</v>
      </c>
      <c r="C155" s="249">
        <f>+B155/B$156</f>
        <v>0.13043478260869565</v>
      </c>
    </row>
    <row r="156" spans="1:3" ht="12.95">
      <c r="A156" s="234" t="s">
        <v>144</v>
      </c>
      <c r="B156" s="235">
        <f>SUM(B151:B155)</f>
        <v>69</v>
      </c>
      <c r="C156" s="236">
        <f>SUM(C151:C155)</f>
        <v>1</v>
      </c>
    </row>
    <row r="157" spans="1:3" ht="12.95">
      <c r="A157" s="242"/>
      <c r="B157" s="243"/>
      <c r="C157" s="244"/>
    </row>
    <row r="158" spans="1:3">
      <c r="A158" s="174"/>
      <c r="B158" s="251"/>
      <c r="C158" s="174"/>
    </row>
    <row r="159" spans="1:3" ht="12.95">
      <c r="A159" s="1594" t="s">
        <v>2243</v>
      </c>
      <c r="B159" s="1595"/>
      <c r="C159" s="1596"/>
    </row>
    <row r="160" spans="1:3" ht="12.95">
      <c r="A160" s="220" t="s">
        <v>199</v>
      </c>
      <c r="B160" s="221" t="s">
        <v>1425</v>
      </c>
      <c r="C160" s="220" t="s">
        <v>1426</v>
      </c>
    </row>
    <row r="161" spans="1:3" ht="12.95">
      <c r="A161" s="237" t="s">
        <v>2244</v>
      </c>
      <c r="B161" s="246">
        <f>COUNTIF('ANALISA INSIDEN'!Q10:Q78,1)</f>
        <v>51</v>
      </c>
      <c r="C161" s="247">
        <f>+B161/B$166</f>
        <v>0.73913043478260865</v>
      </c>
    </row>
    <row r="162" spans="1:3" ht="12.95">
      <c r="A162" s="238" t="s">
        <v>2245</v>
      </c>
      <c r="B162" s="226">
        <f>COUNTIF('ANALISA INSIDEN'!Q10:Q78,2)</f>
        <v>4</v>
      </c>
      <c r="C162" s="249">
        <f>+B162/B$166</f>
        <v>5.7971014492753624E-2</v>
      </c>
    </row>
    <row r="163" spans="1:3" ht="12.95">
      <c r="A163" s="238" t="s">
        <v>2246</v>
      </c>
      <c r="B163" s="226">
        <f>COUNTIF('ANALISA INSIDEN'!Q10:Q78,3)</f>
        <v>9</v>
      </c>
      <c r="C163" s="249">
        <f>+B163/B$166</f>
        <v>0.13043478260869565</v>
      </c>
    </row>
    <row r="164" spans="1:3" ht="12.95">
      <c r="A164" s="238" t="s">
        <v>2247</v>
      </c>
      <c r="B164" s="226">
        <f>COUNTIF('ANALISA INSIDEN'!Q10:Q78,4)</f>
        <v>1</v>
      </c>
      <c r="C164" s="249">
        <f>+B164/B$166</f>
        <v>1.4492753623188406E-2</v>
      </c>
    </row>
    <row r="165" spans="1:3" ht="12.95">
      <c r="A165" s="239" t="s">
        <v>2242</v>
      </c>
      <c r="B165" s="226">
        <f>COUNTIF('ANALISA INSIDEN'!Q10:Q78,5)</f>
        <v>4</v>
      </c>
      <c r="C165" s="256">
        <f>+B165/B$166</f>
        <v>5.7971014492753624E-2</v>
      </c>
    </row>
    <row r="166" spans="1:3" ht="12.95">
      <c r="A166" s="234" t="s">
        <v>144</v>
      </c>
      <c r="B166" s="235">
        <f>SUM(B161:B165)</f>
        <v>69</v>
      </c>
      <c r="C166" s="236">
        <f>SUM(C161:C165)</f>
        <v>1</v>
      </c>
    </row>
    <row r="167" spans="1:3" ht="12.95">
      <c r="A167" s="242"/>
      <c r="B167" s="243"/>
      <c r="C167" s="244"/>
    </row>
    <row r="168" spans="1:3">
      <c r="A168" s="174"/>
      <c r="B168" s="251"/>
      <c r="C168" s="174"/>
    </row>
    <row r="169" spans="1:3" ht="12.95">
      <c r="A169" s="1594" t="s">
        <v>2248</v>
      </c>
      <c r="B169" s="1595"/>
      <c r="C169" s="1596"/>
    </row>
    <row r="170" spans="1:3" ht="12.95">
      <c r="A170" s="220" t="s">
        <v>2249</v>
      </c>
      <c r="B170" s="221" t="s">
        <v>1425</v>
      </c>
      <c r="C170" s="220" t="s">
        <v>1426</v>
      </c>
    </row>
    <row r="171" spans="1:3" ht="12.95">
      <c r="A171" s="237" t="s">
        <v>2250</v>
      </c>
      <c r="B171" s="246">
        <f>COUNTIF('ANALISA INSIDEN'!R$10:R$78,1)</f>
        <v>0</v>
      </c>
      <c r="C171" s="247">
        <f t="shared" ref="C171:C182" si="5">+B171/B$183</f>
        <v>0</v>
      </c>
    </row>
    <row r="172" spans="1:3" ht="12.95">
      <c r="A172" s="238" t="s">
        <v>2251</v>
      </c>
      <c r="B172" s="226">
        <f>COUNTIF('ANALISA INSIDEN'!R$10:R$78,2)</f>
        <v>2</v>
      </c>
      <c r="C172" s="249">
        <f t="shared" si="5"/>
        <v>0.66666666666666663</v>
      </c>
    </row>
    <row r="173" spans="1:3" ht="12.95">
      <c r="A173" s="238" t="s">
        <v>2252</v>
      </c>
      <c r="B173" s="226">
        <f>COUNTIF('ANALISA INSIDEN'!R$10:R$78,3)</f>
        <v>0</v>
      </c>
      <c r="C173" s="249">
        <f t="shared" si="5"/>
        <v>0</v>
      </c>
    </row>
    <row r="174" spans="1:3" ht="12.95">
      <c r="A174" s="238" t="s">
        <v>2253</v>
      </c>
      <c r="B174" s="226">
        <f>COUNTIF('ANALISA INSIDEN'!R$10:R$78,4)</f>
        <v>0</v>
      </c>
      <c r="C174" s="249">
        <f t="shared" si="5"/>
        <v>0</v>
      </c>
    </row>
    <row r="175" spans="1:3" ht="12.95">
      <c r="A175" s="238" t="s">
        <v>2254</v>
      </c>
      <c r="B175" s="226">
        <f>COUNTIF('ANALISA INSIDEN'!R$10:R$78,5)</f>
        <v>0</v>
      </c>
      <c r="C175" s="249">
        <f t="shared" si="5"/>
        <v>0</v>
      </c>
    </row>
    <row r="176" spans="1:3" ht="12.95">
      <c r="A176" s="238" t="s">
        <v>2255</v>
      </c>
      <c r="B176" s="226">
        <f>COUNTIF('ANALISA INSIDEN'!R$10:R$78,6)</f>
        <v>1</v>
      </c>
      <c r="C176" s="249">
        <f t="shared" si="5"/>
        <v>0.33333333333333331</v>
      </c>
    </row>
    <row r="177" spans="1:4" ht="12.95">
      <c r="A177" s="238" t="s">
        <v>2256</v>
      </c>
      <c r="B177" s="226">
        <f>COUNTIF('ANALISA INSIDEN'!R$10:R$78,7)</f>
        <v>0</v>
      </c>
      <c r="C177" s="249">
        <f t="shared" si="5"/>
        <v>0</v>
      </c>
    </row>
    <row r="178" spans="1:4" ht="12.95">
      <c r="A178" s="238" t="s">
        <v>2257</v>
      </c>
      <c r="B178" s="226">
        <f>COUNTIF('ANALISA INSIDEN'!R$10:R$78,8)</f>
        <v>0</v>
      </c>
      <c r="C178" s="249">
        <f t="shared" si="5"/>
        <v>0</v>
      </c>
    </row>
    <row r="179" spans="1:4" ht="12.95">
      <c r="A179" s="238" t="s">
        <v>2258</v>
      </c>
      <c r="B179" s="226">
        <f>COUNTIF('ANALISA INSIDEN'!R$10:R$78,9)</f>
        <v>0</v>
      </c>
      <c r="C179" s="249">
        <f t="shared" si="5"/>
        <v>0</v>
      </c>
    </row>
    <row r="180" spans="1:4" ht="12.95">
      <c r="A180" s="238" t="s">
        <v>2259</v>
      </c>
      <c r="B180" s="226">
        <f>COUNTIF('ANALISA INSIDEN'!R$10:R$78,10)</f>
        <v>0</v>
      </c>
      <c r="C180" s="249">
        <f t="shared" si="5"/>
        <v>0</v>
      </c>
    </row>
    <row r="181" spans="1:4" ht="12.95">
      <c r="A181" s="238" t="s">
        <v>2260</v>
      </c>
      <c r="B181" s="226">
        <f>COUNTIF('ANALISA INSIDEN'!R$10:R$78,11)</f>
        <v>0</v>
      </c>
      <c r="C181" s="249">
        <f t="shared" si="5"/>
        <v>0</v>
      </c>
    </row>
    <row r="182" spans="1:4" ht="12.95">
      <c r="A182" s="239" t="s">
        <v>2242</v>
      </c>
      <c r="B182" s="226">
        <f>COUNTIF('ANALISA INSIDEN'!R$10:R$78,12)</f>
        <v>0</v>
      </c>
      <c r="C182" s="257">
        <f t="shared" si="5"/>
        <v>0</v>
      </c>
    </row>
    <row r="183" spans="1:4" ht="12.95">
      <c r="A183" s="234" t="s">
        <v>144</v>
      </c>
      <c r="B183" s="235">
        <f>SUM(B171:B182)</f>
        <v>3</v>
      </c>
      <c r="C183" s="236">
        <f>SUM(C171:C182)</f>
        <v>1</v>
      </c>
    </row>
    <row r="184" spans="1:4" ht="12.95">
      <c r="A184" s="242"/>
      <c r="B184" s="243"/>
      <c r="C184" s="244"/>
    </row>
    <row r="185" spans="1:4">
      <c r="A185" s="174"/>
      <c r="B185" s="251"/>
      <c r="C185" s="174"/>
    </row>
    <row r="186" spans="1:4" ht="12.95">
      <c r="A186" s="1594" t="s">
        <v>2261</v>
      </c>
      <c r="B186" s="1595"/>
      <c r="C186" s="1596"/>
    </row>
    <row r="187" spans="1:4" ht="12.95">
      <c r="A187" s="220" t="s">
        <v>2262</v>
      </c>
      <c r="B187" s="221" t="s">
        <v>1425</v>
      </c>
      <c r="C187" s="220" t="s">
        <v>1426</v>
      </c>
    </row>
    <row r="188" spans="1:4" ht="12.95">
      <c r="A188" s="265" t="s">
        <v>2263</v>
      </c>
      <c r="B188" s="226">
        <f>COUNTIF('ANALISA INSIDEN'!X10:X78,1)</f>
        <v>21</v>
      </c>
      <c r="C188" s="247">
        <f>+B188/B$199</f>
        <v>0.30434782608695654</v>
      </c>
      <c r="D188" s="248"/>
    </row>
    <row r="189" spans="1:4" ht="12.95">
      <c r="A189" s="266" t="s">
        <v>2264</v>
      </c>
      <c r="B189" s="226">
        <f>COUNTIF('ANALISA INSIDEN'!X10:X78,2)</f>
        <v>11</v>
      </c>
      <c r="C189" s="249">
        <f t="shared" ref="C189:C197" si="6">+B189/B$199</f>
        <v>0.15942028985507245</v>
      </c>
      <c r="D189" s="248"/>
    </row>
    <row r="190" spans="1:4" ht="12.95">
      <c r="A190" s="266" t="s">
        <v>2265</v>
      </c>
      <c r="B190" s="226">
        <f>COUNTIF('ANALISA INSIDEN'!X10:X78,3)</f>
        <v>25</v>
      </c>
      <c r="C190" s="249">
        <f t="shared" si="6"/>
        <v>0.36231884057971014</v>
      </c>
      <c r="D190" s="248"/>
    </row>
    <row r="191" spans="1:4" ht="12.95">
      <c r="A191" s="266" t="s">
        <v>2266</v>
      </c>
      <c r="B191" s="226">
        <f>COUNTIF('ANALISA INSIDEN'!X10:X78,4)</f>
        <v>0</v>
      </c>
      <c r="C191" s="249">
        <f t="shared" si="6"/>
        <v>0</v>
      </c>
      <c r="D191" s="248"/>
    </row>
    <row r="192" spans="1:4" ht="12.95">
      <c r="A192" s="266" t="s">
        <v>2267</v>
      </c>
      <c r="B192" s="226">
        <f>COUNTIF('ANALISA INSIDEN'!X10:X78,5)</f>
        <v>0</v>
      </c>
      <c r="C192" s="249">
        <f t="shared" si="6"/>
        <v>0</v>
      </c>
      <c r="D192" s="248"/>
    </row>
    <row r="193" spans="1:4" ht="12.95">
      <c r="A193" s="266" t="s">
        <v>2268</v>
      </c>
      <c r="B193" s="226">
        <f>COUNTIF('ANALISA INSIDEN'!X10:X78,6)</f>
        <v>0</v>
      </c>
      <c r="C193" s="249">
        <f t="shared" si="6"/>
        <v>0</v>
      </c>
      <c r="D193" s="248"/>
    </row>
    <row r="194" spans="1:4" ht="12.95">
      <c r="A194" s="266" t="s">
        <v>2269</v>
      </c>
      <c r="B194" s="226">
        <f>COUNTIF('ANALISA INSIDEN'!X10:X78,7)</f>
        <v>0</v>
      </c>
      <c r="C194" s="249">
        <f t="shared" si="6"/>
        <v>0</v>
      </c>
      <c r="D194" s="248"/>
    </row>
    <row r="195" spans="1:4" ht="12.95">
      <c r="A195" s="266" t="s">
        <v>2270</v>
      </c>
      <c r="B195" s="226">
        <f>COUNTIF('ANALISA INSIDEN'!X10:X78,8)</f>
        <v>0</v>
      </c>
      <c r="C195" s="249">
        <f t="shared" si="6"/>
        <v>0</v>
      </c>
      <c r="D195" s="248"/>
    </row>
    <row r="196" spans="1:4" ht="12.95">
      <c r="A196" s="266" t="s">
        <v>2271</v>
      </c>
      <c r="B196" s="226">
        <f>COUNTIF('ANALISA INSIDEN'!X10:X78,9)</f>
        <v>0</v>
      </c>
      <c r="C196" s="249">
        <f t="shared" si="6"/>
        <v>0</v>
      </c>
      <c r="D196" s="248"/>
    </row>
    <row r="197" spans="1:4" ht="12.95">
      <c r="A197" s="266" t="s">
        <v>2272</v>
      </c>
      <c r="B197" s="226">
        <f>COUNTIF('ANALISA INSIDEN'!X10:X78,10)</f>
        <v>5</v>
      </c>
      <c r="C197" s="249">
        <f t="shared" si="6"/>
        <v>7.2463768115942032E-2</v>
      </c>
      <c r="D197" s="248"/>
    </row>
    <row r="198" spans="1:4" ht="12.95">
      <c r="A198" s="266" t="s">
        <v>2273</v>
      </c>
      <c r="B198" s="226">
        <f>COUNTIF('ANALISA INSIDEN'!X10:X78,11)</f>
        <v>7</v>
      </c>
      <c r="C198" s="257">
        <f>+B198/B$199</f>
        <v>0.10144927536231885</v>
      </c>
      <c r="D198" s="248"/>
    </row>
    <row r="199" spans="1:4" ht="12.95">
      <c r="A199" s="234" t="s">
        <v>144</v>
      </c>
      <c r="B199" s="235">
        <f>SUM(B188:B198)</f>
        <v>69</v>
      </c>
      <c r="C199" s="236">
        <f>SUM(C188:C198)</f>
        <v>1</v>
      </c>
    </row>
    <row r="200" spans="1:4">
      <c r="A200" s="174"/>
      <c r="B200" s="251"/>
      <c r="C200" s="174"/>
    </row>
    <row r="201" spans="1:4" ht="12" customHeight="1">
      <c r="A201" s="174"/>
      <c r="B201" s="251"/>
      <c r="C201" s="174"/>
    </row>
    <row r="202" spans="1:4" ht="12.95">
      <c r="A202" s="1594" t="s">
        <v>2274</v>
      </c>
      <c r="B202" s="1595"/>
      <c r="C202" s="1596"/>
    </row>
    <row r="203" spans="1:4" ht="12.95">
      <c r="A203" s="220" t="s">
        <v>2274</v>
      </c>
      <c r="B203" s="221" t="s">
        <v>1425</v>
      </c>
      <c r="C203" s="220" t="s">
        <v>1426</v>
      </c>
    </row>
    <row r="204" spans="1:4" ht="12.95">
      <c r="A204" s="265" t="s">
        <v>2275</v>
      </c>
      <c r="B204" s="246">
        <f>COUNTIF('ANALISA INSIDEN'!Y$10:Y$78,1)</f>
        <v>2</v>
      </c>
      <c r="C204" s="247">
        <f t="shared" ref="C204:C220" si="7">+B204/B$221</f>
        <v>3.0769230769230771E-2</v>
      </c>
      <c r="D204" s="248"/>
    </row>
    <row r="205" spans="1:4" ht="12.95">
      <c r="A205" s="266" t="s">
        <v>2276</v>
      </c>
      <c r="B205" s="226">
        <f>COUNTIF('ANALISA INSIDEN'!Y$10:Y$78,2)</f>
        <v>16</v>
      </c>
      <c r="C205" s="249">
        <f t="shared" si="7"/>
        <v>0.24615384615384617</v>
      </c>
      <c r="D205" s="248"/>
    </row>
    <row r="206" spans="1:4" ht="12.95">
      <c r="A206" s="266" t="s">
        <v>2277</v>
      </c>
      <c r="B206" s="226">
        <f>COUNTIF('ANALISA INSIDEN'!Y$10:Y$78,3)</f>
        <v>35</v>
      </c>
      <c r="C206" s="249">
        <f t="shared" si="7"/>
        <v>0.53846153846153844</v>
      </c>
      <c r="D206" s="248"/>
    </row>
    <row r="207" spans="1:4" ht="12.95">
      <c r="A207" s="266" t="s">
        <v>2278</v>
      </c>
      <c r="B207" s="226">
        <f>COUNTIF('ANALISA INSIDEN'!Y$10:Y$78,4)</f>
        <v>7</v>
      </c>
      <c r="C207" s="249">
        <f t="shared" si="7"/>
        <v>0.1076923076923077</v>
      </c>
      <c r="D207" s="248"/>
    </row>
    <row r="208" spans="1:4" ht="12.95">
      <c r="A208" s="266" t="s">
        <v>2279</v>
      </c>
      <c r="B208" s="226">
        <f>COUNTIF('ANALISA INSIDEN'!Y$10:Y$78,5)</f>
        <v>0</v>
      </c>
      <c r="C208" s="249">
        <f t="shared" si="7"/>
        <v>0</v>
      </c>
      <c r="D208" s="248"/>
    </row>
    <row r="209" spans="1:4" ht="12.95">
      <c r="A209" s="266" t="s">
        <v>2280</v>
      </c>
      <c r="B209" s="226">
        <f>COUNTIF('ANALISA INSIDEN'!Y$10:Y$78,6)</f>
        <v>0</v>
      </c>
      <c r="C209" s="249">
        <f t="shared" si="7"/>
        <v>0</v>
      </c>
      <c r="D209" s="248"/>
    </row>
    <row r="210" spans="1:4" ht="12.95">
      <c r="A210" s="266" t="s">
        <v>2281</v>
      </c>
      <c r="B210" s="226">
        <f>COUNTIF('ANALISA INSIDEN'!Y$10:Y$78,7)</f>
        <v>1</v>
      </c>
      <c r="C210" s="249">
        <f t="shared" si="7"/>
        <v>1.5384615384615385E-2</v>
      </c>
      <c r="D210" s="248"/>
    </row>
    <row r="211" spans="1:4" ht="12.95">
      <c r="A211" s="266" t="s">
        <v>2282</v>
      </c>
      <c r="B211" s="226">
        <f>COUNTIF('ANALISA INSIDEN'!Y$10:Y$78,8)</f>
        <v>0</v>
      </c>
      <c r="C211" s="249">
        <f t="shared" si="7"/>
        <v>0</v>
      </c>
      <c r="D211" s="248"/>
    </row>
    <row r="212" spans="1:4" ht="12.95">
      <c r="A212" s="266" t="s">
        <v>2283</v>
      </c>
      <c r="B212" s="226">
        <f>COUNTIF('ANALISA INSIDEN'!Y$10:Y$78,9)</f>
        <v>0</v>
      </c>
      <c r="C212" s="249">
        <f t="shared" si="7"/>
        <v>0</v>
      </c>
      <c r="D212" s="248"/>
    </row>
    <row r="213" spans="1:4" ht="12.95">
      <c r="A213" s="266" t="s">
        <v>2284</v>
      </c>
      <c r="B213" s="226">
        <f>COUNTIF('ANALISA INSIDEN'!Y$10:Y$78,10)</f>
        <v>0</v>
      </c>
      <c r="C213" s="249">
        <f t="shared" si="7"/>
        <v>0</v>
      </c>
      <c r="D213" s="248"/>
    </row>
    <row r="214" spans="1:4" ht="12.95">
      <c r="A214" s="266" t="s">
        <v>2285</v>
      </c>
      <c r="B214" s="226">
        <f>COUNTIF('ANALISA INSIDEN'!Y$10:Y$78,11)</f>
        <v>0</v>
      </c>
      <c r="C214" s="249">
        <f t="shared" si="7"/>
        <v>0</v>
      </c>
      <c r="D214" s="248"/>
    </row>
    <row r="215" spans="1:4" ht="12.95">
      <c r="A215" s="266" t="s">
        <v>2286</v>
      </c>
      <c r="B215" s="226">
        <f>COUNTIF('ANALISA INSIDEN'!Y$10:Y$78,12)</f>
        <v>0</v>
      </c>
      <c r="C215" s="249">
        <f t="shared" si="7"/>
        <v>0</v>
      </c>
      <c r="D215" s="248"/>
    </row>
    <row r="216" spans="1:4" ht="12.95">
      <c r="A216" s="266" t="s">
        <v>2287</v>
      </c>
      <c r="B216" s="226">
        <f>COUNTIF('ANALISA INSIDEN'!Y$10:Y$78,13)</f>
        <v>1</v>
      </c>
      <c r="C216" s="249">
        <f t="shared" si="7"/>
        <v>1.5384615384615385E-2</v>
      </c>
      <c r="D216" s="248"/>
    </row>
    <row r="217" spans="1:4" ht="12.95">
      <c r="A217" s="266" t="s">
        <v>2288</v>
      </c>
      <c r="B217" s="226">
        <f>COUNTIF('ANALISA INSIDEN'!Y$10:Y$78,14)</f>
        <v>0</v>
      </c>
      <c r="C217" s="249">
        <f t="shared" si="7"/>
        <v>0</v>
      </c>
      <c r="D217" s="248"/>
    </row>
    <row r="218" spans="1:4" ht="12.95">
      <c r="A218" s="266" t="s">
        <v>2289</v>
      </c>
      <c r="B218" s="226">
        <f>COUNTIF('ANALISA INSIDEN'!Y$10:Y$78,15)</f>
        <v>0</v>
      </c>
      <c r="C218" s="249">
        <f t="shared" si="7"/>
        <v>0</v>
      </c>
      <c r="D218" s="248"/>
    </row>
    <row r="219" spans="1:4" ht="12.95">
      <c r="A219" s="266" t="s">
        <v>2290</v>
      </c>
      <c r="B219" s="226">
        <f>COUNTIF('ANALISA INSIDEN'!Y$10:Y$78,16)</f>
        <v>1</v>
      </c>
      <c r="C219" s="249">
        <f t="shared" si="7"/>
        <v>1.5384615384615385E-2</v>
      </c>
      <c r="D219" s="248"/>
    </row>
    <row r="220" spans="1:4" ht="12.95">
      <c r="A220" s="267" t="s">
        <v>2291</v>
      </c>
      <c r="B220" s="241">
        <f>COUNTIF('ANALISA INSIDEN'!Y$10:Y$78,17)</f>
        <v>2</v>
      </c>
      <c r="C220" s="257">
        <f t="shared" si="7"/>
        <v>3.0769230769230771E-2</v>
      </c>
      <c r="D220" s="248"/>
    </row>
    <row r="221" spans="1:4" ht="12.95">
      <c r="A221" s="234" t="s">
        <v>144</v>
      </c>
      <c r="B221" s="235">
        <f>SUM(B204:B220)</f>
        <v>65</v>
      </c>
      <c r="C221" s="236">
        <f>SUM(C204:C220)</f>
        <v>0.99999999999999989</v>
      </c>
    </row>
    <row r="222" spans="1:4">
      <c r="A222" s="174"/>
      <c r="B222" s="251"/>
      <c r="C222" s="174"/>
    </row>
    <row r="223" spans="1:4">
      <c r="A223" s="174"/>
      <c r="B223" s="251"/>
      <c r="C223" s="174"/>
    </row>
    <row r="224" spans="1:4" ht="12.95">
      <c r="A224" s="1594" t="s">
        <v>2292</v>
      </c>
      <c r="B224" s="1595"/>
      <c r="C224" s="1596"/>
    </row>
    <row r="225" spans="1:4" ht="12.95">
      <c r="A225" s="220" t="s">
        <v>2292</v>
      </c>
      <c r="B225" s="221" t="s">
        <v>1425</v>
      </c>
      <c r="C225" s="220" t="s">
        <v>1426</v>
      </c>
    </row>
    <row r="226" spans="1:4" ht="12.95">
      <c r="A226" s="268" t="s">
        <v>2293</v>
      </c>
      <c r="B226" s="223">
        <f>COUNTIF('ANALISA INSIDEN'!Z$10:Z$78,1)</f>
        <v>0</v>
      </c>
      <c r="C226" s="269">
        <f t="shared" ref="C226:C239" si="8">+B226/B$240</f>
        <v>0</v>
      </c>
      <c r="D226" s="248"/>
    </row>
    <row r="227" spans="1:4" ht="12.95">
      <c r="A227" s="270" t="s">
        <v>2294</v>
      </c>
      <c r="B227" s="226">
        <f>COUNTIF('ANALISA INSIDEN'!Z$10:Z$78,2)</f>
        <v>0</v>
      </c>
      <c r="C227" s="256">
        <f t="shared" si="8"/>
        <v>0</v>
      </c>
      <c r="D227" s="248"/>
    </row>
    <row r="228" spans="1:4" ht="12.95">
      <c r="A228" s="270" t="s">
        <v>2295</v>
      </c>
      <c r="B228" s="226">
        <f>COUNTIF('ANALISA INSIDEN'!Z$10:Z$78,3)</f>
        <v>1</v>
      </c>
      <c r="C228" s="256">
        <f t="shared" si="8"/>
        <v>1.5384615384615385E-2</v>
      </c>
      <c r="D228" s="248"/>
    </row>
    <row r="229" spans="1:4" ht="12.95">
      <c r="A229" s="270" t="s">
        <v>2296</v>
      </c>
      <c r="B229" s="226">
        <f>COUNTIF('ANALISA INSIDEN'!Z$10:Z$78,4)</f>
        <v>0</v>
      </c>
      <c r="C229" s="256">
        <f t="shared" si="8"/>
        <v>0</v>
      </c>
      <c r="D229" s="248"/>
    </row>
    <row r="230" spans="1:4" ht="12.95">
      <c r="A230" s="270" t="s">
        <v>2297</v>
      </c>
      <c r="B230" s="226">
        <f>COUNTIF('ANALISA INSIDEN'!Z$10:Z$78,5)</f>
        <v>1</v>
      </c>
      <c r="C230" s="256">
        <f t="shared" si="8"/>
        <v>1.5384615384615385E-2</v>
      </c>
      <c r="D230" s="248"/>
    </row>
    <row r="231" spans="1:4" ht="12.95">
      <c r="A231" s="270" t="s">
        <v>2298</v>
      </c>
      <c r="B231" s="226">
        <f>COUNTIF('ANALISA INSIDEN'!Z$10:Z$78,6)</f>
        <v>0</v>
      </c>
      <c r="C231" s="256">
        <f t="shared" si="8"/>
        <v>0</v>
      </c>
      <c r="D231" s="248"/>
    </row>
    <row r="232" spans="1:4" ht="12.95">
      <c r="A232" s="270" t="s">
        <v>2299</v>
      </c>
      <c r="B232" s="226">
        <f>COUNTIF('ANALISA INSIDEN'!Z$10:Z$78,7)</f>
        <v>0</v>
      </c>
      <c r="C232" s="256">
        <f t="shared" si="8"/>
        <v>0</v>
      </c>
      <c r="D232" s="248"/>
    </row>
    <row r="233" spans="1:4" ht="12.95">
      <c r="A233" s="270" t="s">
        <v>2300</v>
      </c>
      <c r="B233" s="226">
        <f>COUNTIF('ANALISA INSIDEN'!Z$10:Z$78,8)</f>
        <v>63</v>
      </c>
      <c r="C233" s="256">
        <f t="shared" si="8"/>
        <v>0.96923076923076923</v>
      </c>
      <c r="D233" s="248"/>
    </row>
    <row r="234" spans="1:4" ht="12.95">
      <c r="A234" s="270" t="s">
        <v>2301</v>
      </c>
      <c r="B234" s="226">
        <f>COUNTIF('ANALISA INSIDEN'!Z$10:Z$78,9)</f>
        <v>0</v>
      </c>
      <c r="C234" s="256">
        <f t="shared" si="8"/>
        <v>0</v>
      </c>
      <c r="D234" s="248"/>
    </row>
    <row r="235" spans="1:4" ht="12.95">
      <c r="A235" s="270" t="s">
        <v>2302</v>
      </c>
      <c r="B235" s="226">
        <f>COUNTIF('ANALISA INSIDEN'!Z$10:Z$78,10)</f>
        <v>0</v>
      </c>
      <c r="C235" s="256">
        <f t="shared" si="8"/>
        <v>0</v>
      </c>
      <c r="D235" s="248"/>
    </row>
    <row r="236" spans="1:4" ht="12.95">
      <c r="A236" s="270" t="s">
        <v>2303</v>
      </c>
      <c r="B236" s="226">
        <f>COUNTIF('ANALISA INSIDEN'!Z$10:Z$78,11)</f>
        <v>0</v>
      </c>
      <c r="C236" s="256">
        <f t="shared" si="8"/>
        <v>0</v>
      </c>
      <c r="D236" s="248"/>
    </row>
    <row r="237" spans="1:4" ht="12.95">
      <c r="A237" s="270" t="s">
        <v>2304</v>
      </c>
      <c r="B237" s="226">
        <f>COUNTIF('ANALISA INSIDEN'!Z$10:Z$78,12)</f>
        <v>0</v>
      </c>
      <c r="C237" s="256">
        <f t="shared" si="8"/>
        <v>0</v>
      </c>
      <c r="D237" s="248"/>
    </row>
    <row r="238" spans="1:4" ht="12.95">
      <c r="A238" s="270" t="s">
        <v>2305</v>
      </c>
      <c r="B238" s="226">
        <f>COUNTIF('ANALISA INSIDEN'!Z$10:Z$78,13)</f>
        <v>0</v>
      </c>
      <c r="C238" s="256">
        <f t="shared" si="8"/>
        <v>0</v>
      </c>
      <c r="D238" s="248"/>
    </row>
    <row r="239" spans="1:4" ht="12.95">
      <c r="A239" s="259" t="s">
        <v>2291</v>
      </c>
      <c r="B239" s="226">
        <f>COUNTIF('ANALISA INSIDEN'!Z$10:Z$78,14)</f>
        <v>0</v>
      </c>
      <c r="C239" s="256">
        <f t="shared" si="8"/>
        <v>0</v>
      </c>
      <c r="D239" s="248"/>
    </row>
    <row r="240" spans="1:4" ht="12.95">
      <c r="A240" s="234" t="s">
        <v>144</v>
      </c>
      <c r="B240" s="235">
        <f>SUM(B226:B239)</f>
        <v>65</v>
      </c>
      <c r="C240" s="236">
        <f>SUM(C226:C239)</f>
        <v>1</v>
      </c>
    </row>
    <row r="241" spans="1:4">
      <c r="A241" s="174"/>
      <c r="B241" s="251"/>
      <c r="C241" s="174"/>
    </row>
    <row r="242" spans="1:4">
      <c r="A242" s="174"/>
      <c r="B242" s="251"/>
      <c r="C242" s="174"/>
    </row>
    <row r="243" spans="1:4" ht="12.95">
      <c r="A243" s="1594" t="s">
        <v>261</v>
      </c>
      <c r="B243" s="1595"/>
      <c r="C243" s="1596"/>
    </row>
    <row r="244" spans="1:4" ht="12.95">
      <c r="A244" s="220" t="s">
        <v>261</v>
      </c>
      <c r="B244" s="221" t="s">
        <v>1425</v>
      </c>
      <c r="C244" s="220" t="s">
        <v>1426</v>
      </c>
    </row>
    <row r="245" spans="1:4" ht="12.95">
      <c r="A245" s="271" t="s">
        <v>2306</v>
      </c>
      <c r="B245" s="246">
        <f>COUNTIF('ANALISA INSIDEN'!AA$10:AA$78,1)</f>
        <v>4</v>
      </c>
      <c r="C245" s="269">
        <f t="shared" ref="C245:C251" si="9">+B245/B$252</f>
        <v>6.1538461538461542E-2</v>
      </c>
      <c r="D245" s="248"/>
    </row>
    <row r="246" spans="1:4" ht="12.95">
      <c r="A246" s="272" t="s">
        <v>2307</v>
      </c>
      <c r="B246" s="226">
        <f>COUNTIF('ANALISA INSIDEN'!AA$10:AA$78,2)</f>
        <v>0</v>
      </c>
      <c r="C246" s="256">
        <f t="shared" si="9"/>
        <v>0</v>
      </c>
      <c r="D246" s="248"/>
    </row>
    <row r="247" spans="1:4" ht="12.95">
      <c r="A247" s="272" t="s">
        <v>2308</v>
      </c>
      <c r="B247" s="226">
        <f>COUNTIF('ANALISA INSIDEN'!AA$10:AA$78,3)</f>
        <v>16</v>
      </c>
      <c r="C247" s="256">
        <f t="shared" si="9"/>
        <v>0.24615384615384617</v>
      </c>
      <c r="D247" s="248"/>
    </row>
    <row r="248" spans="1:4" ht="12.95">
      <c r="A248" s="272" t="s">
        <v>2309</v>
      </c>
      <c r="B248" s="226">
        <f>COUNTIF('ANALISA INSIDEN'!AA$10:AA$78,4)</f>
        <v>16</v>
      </c>
      <c r="C248" s="256">
        <f t="shared" si="9"/>
        <v>0.24615384615384617</v>
      </c>
      <c r="D248" s="248"/>
    </row>
    <row r="249" spans="1:4" ht="12.95">
      <c r="A249" s="272" t="s">
        <v>2310</v>
      </c>
      <c r="B249" s="226">
        <f>COUNTIF('ANALISA INSIDEN'!AA$10:AA$78,5)</f>
        <v>0</v>
      </c>
      <c r="C249" s="256">
        <f t="shared" si="9"/>
        <v>0</v>
      </c>
      <c r="D249" s="248"/>
    </row>
    <row r="250" spans="1:4" ht="12.95">
      <c r="A250" s="272" t="s">
        <v>2311</v>
      </c>
      <c r="B250" s="226">
        <f>COUNTIF('ANALISA INSIDEN'!AA$10:AA$78,6)</f>
        <v>0</v>
      </c>
      <c r="C250" s="256">
        <f t="shared" si="9"/>
        <v>0</v>
      </c>
      <c r="D250" s="248"/>
    </row>
    <row r="251" spans="1:4" ht="12.95">
      <c r="A251" s="267" t="s">
        <v>2312</v>
      </c>
      <c r="B251" s="241">
        <f>COUNTIF('ANALISA INSIDEN'!AA$10:AA$78,7)</f>
        <v>29</v>
      </c>
      <c r="C251" s="257">
        <f t="shared" si="9"/>
        <v>0.44615384615384618</v>
      </c>
      <c r="D251" s="248"/>
    </row>
    <row r="252" spans="1:4" ht="12.95">
      <c r="A252" s="234" t="s">
        <v>144</v>
      </c>
      <c r="B252" s="235">
        <f>SUM(B245:B251)</f>
        <v>65</v>
      </c>
      <c r="C252" s="236">
        <f>SUM(C245:C251)</f>
        <v>1</v>
      </c>
    </row>
    <row r="253" spans="1:4">
      <c r="A253" s="174"/>
      <c r="B253" s="251"/>
      <c r="C253" s="174"/>
    </row>
    <row r="254" spans="1:4">
      <c r="A254" s="174"/>
      <c r="B254" s="251"/>
      <c r="C254" s="174"/>
    </row>
    <row r="255" spans="1:4" ht="12.95">
      <c r="A255" s="1594" t="s">
        <v>265</v>
      </c>
      <c r="B255" s="1595"/>
      <c r="C255" s="1596"/>
    </row>
    <row r="256" spans="1:4" ht="12.95">
      <c r="A256" s="220" t="s">
        <v>265</v>
      </c>
      <c r="B256" s="221" t="s">
        <v>1425</v>
      </c>
      <c r="C256" s="220" t="s">
        <v>1426</v>
      </c>
    </row>
    <row r="257" spans="1:4" ht="12.95">
      <c r="A257" s="273" t="s">
        <v>2313</v>
      </c>
      <c r="B257" s="246">
        <f>COUNTIF('ANALISA INSIDEN'!AB$10:AB$78,1)</f>
        <v>6</v>
      </c>
      <c r="C257" s="269">
        <f t="shared" ref="C257:C264" si="10">+B257/B$265</f>
        <v>0.25</v>
      </c>
      <c r="D257" s="248"/>
    </row>
    <row r="258" spans="1:4" ht="12.95">
      <c r="A258" s="273" t="s">
        <v>2314</v>
      </c>
      <c r="B258" s="226">
        <f>COUNTIF('ANALISA INSIDEN'!AB$10:AB$78,2)</f>
        <v>0</v>
      </c>
      <c r="C258" s="256">
        <f t="shared" si="10"/>
        <v>0</v>
      </c>
      <c r="D258" s="248"/>
    </row>
    <row r="259" spans="1:4" ht="12.95">
      <c r="A259" s="273" t="s">
        <v>2315</v>
      </c>
      <c r="B259" s="226">
        <f>COUNTIF('ANALISA INSIDEN'!AB$10:AB$78,3)</f>
        <v>0</v>
      </c>
      <c r="C259" s="256">
        <f t="shared" si="10"/>
        <v>0</v>
      </c>
      <c r="D259" s="248"/>
    </row>
    <row r="260" spans="1:4" ht="12.95">
      <c r="A260" s="273" t="s">
        <v>2316</v>
      </c>
      <c r="B260" s="226">
        <f>COUNTIF('ANALISA INSIDEN'!AB$10:AB$78,4)</f>
        <v>11</v>
      </c>
      <c r="C260" s="256">
        <f t="shared" si="10"/>
        <v>0.45833333333333331</v>
      </c>
      <c r="D260" s="248"/>
    </row>
    <row r="261" spans="1:4" ht="12.95">
      <c r="A261" s="273" t="s">
        <v>2317</v>
      </c>
      <c r="B261" s="226">
        <f>COUNTIF('ANALISA INSIDEN'!AB$10:AB$78,5)</f>
        <v>0</v>
      </c>
      <c r="C261" s="256">
        <f t="shared" si="10"/>
        <v>0</v>
      </c>
      <c r="D261" s="248"/>
    </row>
    <row r="262" spans="1:4" ht="12.95">
      <c r="A262" s="273" t="s">
        <v>2318</v>
      </c>
      <c r="B262" s="226">
        <f>COUNTIF('ANALISA INSIDEN'!AB$10:AB$78,6)</f>
        <v>5</v>
      </c>
      <c r="C262" s="256">
        <f t="shared" si="10"/>
        <v>0.20833333333333334</v>
      </c>
      <c r="D262" s="248"/>
    </row>
    <row r="263" spans="1:4" ht="12.95">
      <c r="A263" s="273" t="s">
        <v>2319</v>
      </c>
      <c r="B263" s="226">
        <f>COUNTIF('ANALISA INSIDEN'!AB$10:AB$78,7)</f>
        <v>0</v>
      </c>
      <c r="C263" s="256">
        <f t="shared" si="10"/>
        <v>0</v>
      </c>
      <c r="D263" s="248"/>
    </row>
    <row r="264" spans="1:4" ht="12.95">
      <c r="A264" s="273" t="s">
        <v>2320</v>
      </c>
      <c r="B264" s="241">
        <f>COUNTIF('ANALISA INSIDEN'!AB$10:AB$78,8)</f>
        <v>2</v>
      </c>
      <c r="C264" s="257">
        <f t="shared" si="10"/>
        <v>8.3333333333333329E-2</v>
      </c>
      <c r="D264" s="248"/>
    </row>
    <row r="265" spans="1:4" ht="12.95">
      <c r="A265" s="234" t="s">
        <v>144</v>
      </c>
      <c r="B265" s="235">
        <f>SUM(B257:B264)</f>
        <v>24</v>
      </c>
      <c r="C265" s="236">
        <f>SUM(C257:C264)</f>
        <v>1</v>
      </c>
    </row>
    <row r="266" spans="1:4">
      <c r="A266" s="174"/>
      <c r="B266" s="251"/>
      <c r="C266" s="174"/>
    </row>
    <row r="267" spans="1:4">
      <c r="A267" s="174"/>
      <c r="B267" s="251"/>
      <c r="C267" s="174"/>
    </row>
    <row r="268" spans="1:4" ht="12.95">
      <c r="A268" s="1594" t="s">
        <v>196</v>
      </c>
      <c r="B268" s="1595"/>
      <c r="C268" s="1596"/>
    </row>
    <row r="269" spans="1:4" ht="12.95">
      <c r="A269" s="220" t="s">
        <v>2321</v>
      </c>
      <c r="B269" s="221" t="s">
        <v>1425</v>
      </c>
      <c r="C269" s="220" t="s">
        <v>1426</v>
      </c>
    </row>
    <row r="270" spans="1:4" ht="12.95">
      <c r="A270" s="268" t="s">
        <v>2322</v>
      </c>
      <c r="B270" s="223">
        <f>COUNTIF('ANALISA INSIDEN'!AC$10:AC$34,1)</f>
        <v>0</v>
      </c>
      <c r="C270" s="269" t="e">
        <f t="shared" ref="C270:C276" si="11">+B270/B$277</f>
        <v>#DIV/0!</v>
      </c>
      <c r="D270" s="248"/>
    </row>
    <row r="271" spans="1:4" ht="12.95">
      <c r="A271" s="270" t="s">
        <v>2323</v>
      </c>
      <c r="B271" s="223">
        <f>COUNTIF('ANALISA INSIDEN'!AC$10:AC$34,2)</f>
        <v>0</v>
      </c>
      <c r="C271" s="256" t="e">
        <f t="shared" si="11"/>
        <v>#DIV/0!</v>
      </c>
      <c r="D271" s="248"/>
    </row>
    <row r="272" spans="1:4" ht="12.95">
      <c r="A272" s="270" t="s">
        <v>2324</v>
      </c>
      <c r="B272" s="223">
        <f>COUNTIF('ANALISA INSIDEN'!AC$10:AC$34,3)</f>
        <v>0</v>
      </c>
      <c r="C272" s="256" t="e">
        <f t="shared" si="11"/>
        <v>#DIV/0!</v>
      </c>
      <c r="D272" s="248"/>
    </row>
    <row r="273" spans="1:4" ht="12.95">
      <c r="A273" s="270" t="s">
        <v>2325</v>
      </c>
      <c r="B273" s="223">
        <f>COUNTIF('ANALISA INSIDEN'!AC$10:AC$34,4)</f>
        <v>0</v>
      </c>
      <c r="C273" s="256" t="e">
        <f t="shared" si="11"/>
        <v>#DIV/0!</v>
      </c>
      <c r="D273" s="248"/>
    </row>
    <row r="274" spans="1:4" ht="12.95">
      <c r="A274" s="270" t="s">
        <v>2326</v>
      </c>
      <c r="B274" s="223">
        <f>COUNTIF('ANALISA INSIDEN'!AC$10:AC$34,5)</f>
        <v>0</v>
      </c>
      <c r="C274" s="256" t="e">
        <f t="shared" si="11"/>
        <v>#DIV/0!</v>
      </c>
      <c r="D274" s="248"/>
    </row>
    <row r="275" spans="1:4" ht="12.95">
      <c r="A275" s="270" t="s">
        <v>2327</v>
      </c>
      <c r="B275" s="223">
        <f>COUNTIF('ANALISA INSIDEN'!AC$10:AC$34,6)</f>
        <v>0</v>
      </c>
      <c r="C275" s="256" t="e">
        <f t="shared" si="11"/>
        <v>#DIV/0!</v>
      </c>
      <c r="D275" s="248"/>
    </row>
    <row r="276" spans="1:4" ht="12.95">
      <c r="A276" s="259" t="s">
        <v>2328</v>
      </c>
      <c r="B276" s="223">
        <f>COUNTIF('ANALISA INSIDEN'!AC$10:AC$34,7)</f>
        <v>0</v>
      </c>
      <c r="C276" s="257" t="e">
        <f t="shared" si="11"/>
        <v>#DIV/0!</v>
      </c>
      <c r="D276" s="248"/>
    </row>
    <row r="277" spans="1:4" ht="12.95">
      <c r="A277" s="234" t="s">
        <v>144</v>
      </c>
      <c r="B277" s="235">
        <f>SUM(B270:B276)</f>
        <v>0</v>
      </c>
      <c r="C277" s="236" t="e">
        <f>SUM(C270:C276)</f>
        <v>#DIV/0!</v>
      </c>
      <c r="D277" s="248"/>
    </row>
  </sheetData>
  <sheetProtection algorithmName="SHA-512" hashValue="tu7J00j7GhCCQD7f7Ed0BeyS0/05uX5y//1gI5+ehje0gQ2T6tEQW+w1d92v4ce+U+yQAVxgTEkRm+W7BVo5lg==" saltValue="HjQ5kTwQIa15xuylwnTm7A==" spinCount="100000" sheet="1" objects="1" scenarios="1"/>
  <mergeCells count="22">
    <mergeCell ref="A122:C122"/>
    <mergeCell ref="A5:L5"/>
    <mergeCell ref="A6:L6"/>
    <mergeCell ref="A7:L7"/>
    <mergeCell ref="A11:C11"/>
    <mergeCell ref="A23:C23"/>
    <mergeCell ref="A35:C35"/>
    <mergeCell ref="A42:C42"/>
    <mergeCell ref="A62:C62"/>
    <mergeCell ref="A91:C91"/>
    <mergeCell ref="A103:C103"/>
    <mergeCell ref="A110:C110"/>
    <mergeCell ref="A224:C224"/>
    <mergeCell ref="A243:C243"/>
    <mergeCell ref="A255:C255"/>
    <mergeCell ref="A268:C268"/>
    <mergeCell ref="A135:C135"/>
    <mergeCell ref="A149:C149"/>
    <mergeCell ref="A159:C159"/>
    <mergeCell ref="A169:C169"/>
    <mergeCell ref="A186:C186"/>
    <mergeCell ref="A202:C202"/>
  </mergeCells>
  <dataValidations count="1">
    <dataValidation type="textLength" allowBlank="1" showInputMessage="1" showErrorMessage="1" errorTitle="ERROR FILE" error="Maaf JANGAN diganti..." sqref="A62:C62 A64:A87" xr:uid="{00000000-0002-0000-0B00-000000000000}">
      <formula1>2500</formula1>
      <formula2>36420</formula2>
    </dataValidation>
  </dataValidations>
  <printOptions horizontalCentered="1"/>
  <pageMargins left="0.32" right="0.36" top="0.44" bottom="0.54" header="0.32" footer="0.45"/>
  <pageSetup paperSize="9" scale="60" orientation="portrait" horizontalDpi="4294967294" r:id="rId1"/>
  <headerFooter alignWithMargins="0"/>
  <rowBreaks count="2" manualBreakCount="2">
    <brk id="120" max="12" man="1"/>
    <brk id="222" max="12" man="1"/>
  </rowBreak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4:J20"/>
  <sheetViews>
    <sheetView zoomScale="25" zoomScaleNormal="25" workbookViewId="0">
      <selection activeCell="N17" sqref="N17"/>
    </sheetView>
  </sheetViews>
  <sheetFormatPr defaultRowHeight="14.45"/>
  <cols>
    <col min="4" max="4" width="78.5703125" customWidth="1"/>
    <col min="5" max="5" width="108.85546875" customWidth="1"/>
    <col min="6" max="9" width="42" customWidth="1"/>
    <col min="10" max="10" width="51.140625" customWidth="1"/>
  </cols>
  <sheetData>
    <row r="4" spans="4:10" ht="90.95" customHeight="1">
      <c r="D4" s="477" t="s">
        <v>194</v>
      </c>
      <c r="E4" s="478" t="s">
        <v>196</v>
      </c>
      <c r="F4" s="479" t="s">
        <v>182</v>
      </c>
      <c r="G4" s="480" t="s">
        <v>183</v>
      </c>
      <c r="H4" s="480" t="s">
        <v>184</v>
      </c>
      <c r="I4" s="480" t="s">
        <v>185</v>
      </c>
      <c r="J4" s="480" t="s">
        <v>181</v>
      </c>
    </row>
    <row r="5" spans="4:10" ht="82.5" customHeight="1">
      <c r="D5" s="1559" t="s">
        <v>681</v>
      </c>
      <c r="E5" s="458" t="s">
        <v>683</v>
      </c>
      <c r="F5" s="481" t="s">
        <v>685</v>
      </c>
      <c r="G5" s="460" t="s">
        <v>607</v>
      </c>
      <c r="H5" s="482" t="s">
        <v>131</v>
      </c>
      <c r="I5" s="460" t="s">
        <v>214</v>
      </c>
      <c r="J5" s="458" t="s">
        <v>2329</v>
      </c>
    </row>
    <row r="6" spans="4:10" ht="93.6" customHeight="1">
      <c r="D6" s="1559"/>
      <c r="E6" s="458" t="s">
        <v>686</v>
      </c>
      <c r="F6" s="481" t="s">
        <v>688</v>
      </c>
      <c r="G6" s="460" t="s">
        <v>293</v>
      </c>
      <c r="H6" s="482" t="s">
        <v>136</v>
      </c>
      <c r="I6" s="460" t="s">
        <v>214</v>
      </c>
      <c r="J6" s="458"/>
    </row>
    <row r="7" spans="4:10" ht="73.5" customHeight="1">
      <c r="D7" s="1559"/>
      <c r="E7" s="458" t="s">
        <v>683</v>
      </c>
      <c r="F7" s="483" t="s">
        <v>685</v>
      </c>
      <c r="G7" s="460" t="s">
        <v>607</v>
      </c>
      <c r="H7" s="482" t="s">
        <v>131</v>
      </c>
      <c r="I7" s="460" t="s">
        <v>214</v>
      </c>
      <c r="J7" s="458"/>
    </row>
    <row r="8" spans="4:10" ht="73.5" customHeight="1">
      <c r="D8" s="1559"/>
      <c r="E8" s="458" t="s">
        <v>691</v>
      </c>
      <c r="F8" s="483" t="s">
        <v>685</v>
      </c>
      <c r="G8" s="460" t="s">
        <v>692</v>
      </c>
      <c r="H8" s="482" t="s">
        <v>131</v>
      </c>
      <c r="I8" s="460" t="s">
        <v>2330</v>
      </c>
      <c r="J8" s="458" t="s">
        <v>582</v>
      </c>
    </row>
    <row r="9" spans="4:10" ht="73.5" customHeight="1">
      <c r="D9" s="1559"/>
      <c r="E9" s="484" t="s">
        <v>693</v>
      </c>
      <c r="F9" s="483" t="s">
        <v>685</v>
      </c>
      <c r="G9" s="460" t="s">
        <v>694</v>
      </c>
      <c r="H9" s="482" t="s">
        <v>1445</v>
      </c>
      <c r="I9" s="460" t="s">
        <v>214</v>
      </c>
      <c r="J9" s="458" t="s">
        <v>2331</v>
      </c>
    </row>
    <row r="10" spans="4:10" ht="73.5" customHeight="1">
      <c r="D10" s="1559"/>
      <c r="E10" s="458" t="s">
        <v>696</v>
      </c>
      <c r="F10" s="483" t="s">
        <v>688</v>
      </c>
      <c r="G10" s="460" t="s">
        <v>694</v>
      </c>
      <c r="H10" s="482" t="s">
        <v>1445</v>
      </c>
      <c r="I10" s="460" t="s">
        <v>214</v>
      </c>
      <c r="J10" s="458"/>
    </row>
    <row r="11" spans="4:10" ht="73.5" customHeight="1">
      <c r="D11" s="1559"/>
      <c r="E11" s="458" t="s">
        <v>697</v>
      </c>
      <c r="F11" s="481" t="s">
        <v>698</v>
      </c>
      <c r="G11" s="460" t="s">
        <v>694</v>
      </c>
      <c r="H11" s="482" t="s">
        <v>1445</v>
      </c>
      <c r="I11" s="460" t="s">
        <v>1448</v>
      </c>
      <c r="J11" s="458"/>
    </row>
    <row r="12" spans="4:10" ht="73.5" customHeight="1">
      <c r="D12" s="1559"/>
      <c r="E12" s="458" t="s">
        <v>699</v>
      </c>
      <c r="F12" s="483" t="s">
        <v>700</v>
      </c>
      <c r="G12" s="460" t="s">
        <v>694</v>
      </c>
      <c r="H12" s="482" t="s">
        <v>1445</v>
      </c>
      <c r="I12" s="460" t="s">
        <v>1448</v>
      </c>
      <c r="J12" s="458"/>
    </row>
    <row r="13" spans="4:10" ht="73.5" customHeight="1">
      <c r="D13" s="1559"/>
      <c r="E13" s="458" t="s">
        <v>691</v>
      </c>
      <c r="F13" s="483" t="s">
        <v>685</v>
      </c>
      <c r="G13" s="460" t="s">
        <v>607</v>
      </c>
      <c r="H13" s="482" t="s">
        <v>131</v>
      </c>
      <c r="I13" s="460" t="s">
        <v>2330</v>
      </c>
      <c r="J13" s="458" t="s">
        <v>582</v>
      </c>
    </row>
    <row r="14" spans="4:10" ht="97.5" customHeight="1">
      <c r="D14" s="1559"/>
      <c r="E14" s="458" t="s">
        <v>703</v>
      </c>
      <c r="F14" s="483" t="s">
        <v>705</v>
      </c>
      <c r="G14" s="460" t="s">
        <v>429</v>
      </c>
      <c r="H14" s="482" t="s">
        <v>142</v>
      </c>
      <c r="I14" s="460" t="s">
        <v>214</v>
      </c>
      <c r="J14" s="458"/>
    </row>
    <row r="15" spans="4:10" ht="121.5" customHeight="1">
      <c r="D15" s="1559"/>
      <c r="E15" s="458" t="s">
        <v>706</v>
      </c>
      <c r="F15" s="483" t="s">
        <v>688</v>
      </c>
      <c r="G15" s="460" t="s">
        <v>607</v>
      </c>
      <c r="H15" s="482" t="s">
        <v>131</v>
      </c>
      <c r="I15" s="460" t="s">
        <v>217</v>
      </c>
      <c r="J15" s="458" t="s">
        <v>707</v>
      </c>
    </row>
    <row r="16" spans="4:10" ht="73.5" customHeight="1">
      <c r="D16" s="1559"/>
      <c r="E16" s="458" t="s">
        <v>709</v>
      </c>
      <c r="F16" s="483" t="s">
        <v>688</v>
      </c>
      <c r="G16" s="460" t="s">
        <v>429</v>
      </c>
      <c r="H16" s="482" t="s">
        <v>142</v>
      </c>
      <c r="I16" s="460" t="s">
        <v>1448</v>
      </c>
      <c r="J16" s="458"/>
    </row>
    <row r="17" spans="4:10" ht="73.5" customHeight="1">
      <c r="D17" s="1559"/>
      <c r="E17" s="462" t="s">
        <v>711</v>
      </c>
      <c r="F17" s="483" t="s">
        <v>700</v>
      </c>
      <c r="G17" s="460" t="s">
        <v>249</v>
      </c>
      <c r="H17" s="482" t="s">
        <v>140</v>
      </c>
      <c r="I17" s="460" t="s">
        <v>217</v>
      </c>
      <c r="J17" s="458" t="s">
        <v>712</v>
      </c>
    </row>
    <row r="18" spans="4:10" ht="73.5" customHeight="1">
      <c r="D18" s="1559"/>
      <c r="E18" s="458" t="s">
        <v>714</v>
      </c>
      <c r="F18" s="483" t="s">
        <v>685</v>
      </c>
      <c r="G18" s="460" t="s">
        <v>293</v>
      </c>
      <c r="H18" s="482" t="s">
        <v>136</v>
      </c>
      <c r="I18" s="460" t="s">
        <v>2330</v>
      </c>
      <c r="J18" s="458"/>
    </row>
    <row r="19" spans="4:10" ht="73.5" customHeight="1">
      <c r="D19" s="1559"/>
      <c r="E19" s="458" t="s">
        <v>715</v>
      </c>
      <c r="F19" s="481" t="s">
        <v>698</v>
      </c>
      <c r="G19" s="460" t="s">
        <v>607</v>
      </c>
      <c r="H19" s="482" t="s">
        <v>131</v>
      </c>
      <c r="I19" s="460" t="s">
        <v>217</v>
      </c>
      <c r="J19" s="458"/>
    </row>
    <row r="20" spans="4:10" ht="73.5" customHeight="1">
      <c r="D20" s="1559"/>
      <c r="E20" s="458" t="s">
        <v>717</v>
      </c>
      <c r="F20" s="481" t="s">
        <v>530</v>
      </c>
      <c r="G20" s="460" t="s">
        <v>249</v>
      </c>
      <c r="H20" s="482" t="s">
        <v>140</v>
      </c>
      <c r="I20" s="460" t="s">
        <v>217</v>
      </c>
      <c r="J20" s="458" t="s">
        <v>2332</v>
      </c>
    </row>
  </sheetData>
  <mergeCells count="1">
    <mergeCell ref="D5:D20"/>
  </mergeCells>
  <conditionalFormatting sqref="I5:I20">
    <cfRule type="containsText" dxfId="13" priority="1" operator="containsText" text="CLOSED">
      <formula>NOT(ISERROR(SEARCH("CLOSED",I5)))</formula>
    </cfRule>
    <cfRule type="containsText" dxfId="12" priority="2" operator="containsText" text="Open">
      <formula>NOT(ISERROR(SEARCH("Open",I5)))</formula>
    </cfRule>
    <cfRule type="containsText" dxfId="11" priority="3" operator="containsText" text="Closed">
      <formula>NOT(ISERROR(SEARCH("Closed",I5)))</formula>
    </cfRule>
    <cfRule type="containsText" dxfId="10" priority="4" operator="containsText" text="Overdue">
      <formula>NOT(ISERROR(SEARCH("Overdue",I5)))</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5"/>
  <dimension ref="A3:W22"/>
  <sheetViews>
    <sheetView zoomScale="70" zoomScaleNormal="70" workbookViewId="0">
      <selection activeCell="J26" sqref="J26"/>
    </sheetView>
  </sheetViews>
  <sheetFormatPr defaultRowHeight="14.45"/>
  <cols>
    <col min="1" max="1" width="16.7109375" bestFit="1" customWidth="1"/>
    <col min="2" max="2" width="16.28515625" bestFit="1" customWidth="1"/>
    <col min="3" max="3" width="5.85546875" customWidth="1"/>
    <col min="4" max="4" width="8.7109375" customWidth="1"/>
    <col min="5" max="5" width="8.5703125" customWidth="1"/>
    <col min="6" max="6" width="7.28515625" customWidth="1"/>
    <col min="7" max="7" width="11.28515625" bestFit="1" customWidth="1"/>
    <col min="10" max="10" width="20.7109375" customWidth="1"/>
    <col min="15" max="15" width="11.28515625" style="25" bestFit="1" customWidth="1"/>
    <col min="17" max="17" width="18.140625" bestFit="1" customWidth="1"/>
  </cols>
  <sheetData>
    <row r="3" spans="1:23">
      <c r="A3" s="43" t="s">
        <v>2333</v>
      </c>
      <c r="B3" s="43" t="s">
        <v>1479</v>
      </c>
      <c r="K3" s="51"/>
    </row>
    <row r="4" spans="1:23">
      <c r="A4" s="43" t="s">
        <v>1480</v>
      </c>
      <c r="B4" t="s">
        <v>1181</v>
      </c>
      <c r="C4" t="s">
        <v>1463</v>
      </c>
      <c r="D4" t="s">
        <v>2330</v>
      </c>
      <c r="E4" t="s">
        <v>1140</v>
      </c>
      <c r="F4" t="s">
        <v>2334</v>
      </c>
      <c r="G4" t="s">
        <v>79</v>
      </c>
    </row>
    <row r="5" spans="1:23">
      <c r="A5" s="44" t="s">
        <v>213</v>
      </c>
      <c r="B5">
        <v>6</v>
      </c>
      <c r="D5">
        <v>4</v>
      </c>
      <c r="G5">
        <v>10</v>
      </c>
    </row>
    <row r="6" spans="1:23">
      <c r="A6" s="44" t="s">
        <v>2335</v>
      </c>
      <c r="B6">
        <v>2</v>
      </c>
      <c r="D6">
        <v>2</v>
      </c>
      <c r="G6">
        <v>4</v>
      </c>
    </row>
    <row r="7" spans="1:23">
      <c r="A7" s="44" t="s">
        <v>2336</v>
      </c>
      <c r="B7">
        <v>2</v>
      </c>
      <c r="G7">
        <v>2</v>
      </c>
    </row>
    <row r="8" spans="1:23">
      <c r="A8" s="44" t="s">
        <v>935</v>
      </c>
      <c r="B8">
        <v>5</v>
      </c>
      <c r="D8">
        <v>1</v>
      </c>
      <c r="G8">
        <v>6</v>
      </c>
    </row>
    <row r="9" spans="1:23">
      <c r="A9" s="44" t="s">
        <v>2337</v>
      </c>
      <c r="B9">
        <v>4</v>
      </c>
      <c r="C9">
        <v>1</v>
      </c>
      <c r="D9">
        <v>4</v>
      </c>
      <c r="E9">
        <v>1</v>
      </c>
      <c r="G9">
        <v>10</v>
      </c>
    </row>
    <row r="10" spans="1:23">
      <c r="A10" s="44" t="s">
        <v>249</v>
      </c>
      <c r="C10">
        <v>3</v>
      </c>
      <c r="G10">
        <v>3</v>
      </c>
    </row>
    <row r="11" spans="1:23">
      <c r="A11" s="44" t="s">
        <v>2338</v>
      </c>
      <c r="B11">
        <v>2</v>
      </c>
      <c r="G11">
        <v>2</v>
      </c>
      <c r="I11" s="1601" t="s">
        <v>1439</v>
      </c>
      <c r="J11" s="1602" t="s">
        <v>2339</v>
      </c>
      <c r="K11" s="1601" t="s">
        <v>2340</v>
      </c>
      <c r="L11" s="1601"/>
      <c r="M11" s="1601"/>
      <c r="N11" s="1601"/>
      <c r="O11" s="1602" t="s">
        <v>79</v>
      </c>
    </row>
    <row r="12" spans="1:23">
      <c r="A12" s="44" t="s">
        <v>694</v>
      </c>
      <c r="B12">
        <v>2</v>
      </c>
      <c r="D12">
        <v>1</v>
      </c>
      <c r="G12">
        <v>3</v>
      </c>
      <c r="I12" s="1601"/>
      <c r="J12" s="1602"/>
      <c r="K12" s="53" t="s">
        <v>1181</v>
      </c>
      <c r="L12" s="55" t="s">
        <v>1463</v>
      </c>
      <c r="M12" s="54" t="s">
        <v>2330</v>
      </c>
      <c r="N12" s="56" t="s">
        <v>1140</v>
      </c>
      <c r="O12" s="1602"/>
      <c r="Q12" s="46" t="s">
        <v>1480</v>
      </c>
      <c r="R12" s="46" t="s">
        <v>1181</v>
      </c>
      <c r="S12" s="46" t="s">
        <v>1463</v>
      </c>
      <c r="T12" s="46" t="s">
        <v>2330</v>
      </c>
      <c r="U12" s="46" t="s">
        <v>1140</v>
      </c>
      <c r="V12" s="46" t="s">
        <v>2334</v>
      </c>
      <c r="W12" s="46" t="s">
        <v>79</v>
      </c>
    </row>
    <row r="13" spans="1:23">
      <c r="A13" s="44" t="s">
        <v>2334</v>
      </c>
      <c r="I13" s="50">
        <v>1</v>
      </c>
      <c r="J13" s="49" t="s">
        <v>213</v>
      </c>
      <c r="K13" s="50">
        <v>6</v>
      </c>
      <c r="L13" s="50">
        <v>0</v>
      </c>
      <c r="M13" s="50">
        <v>4</v>
      </c>
      <c r="N13" s="50">
        <v>0</v>
      </c>
      <c r="O13" s="50">
        <v>10</v>
      </c>
      <c r="Q13" s="44" t="s">
        <v>213</v>
      </c>
      <c r="R13">
        <v>6</v>
      </c>
      <c r="T13">
        <v>4</v>
      </c>
      <c r="W13">
        <v>10</v>
      </c>
    </row>
    <row r="14" spans="1:23">
      <c r="A14" s="44" t="s">
        <v>79</v>
      </c>
      <c r="B14">
        <v>23</v>
      </c>
      <c r="C14">
        <v>4</v>
      </c>
      <c r="D14">
        <v>12</v>
      </c>
      <c r="E14">
        <v>1</v>
      </c>
      <c r="G14">
        <v>40</v>
      </c>
      <c r="I14" s="50">
        <v>2</v>
      </c>
      <c r="J14" s="49" t="s">
        <v>2335</v>
      </c>
      <c r="K14" s="50">
        <v>2</v>
      </c>
      <c r="L14" s="50">
        <v>0</v>
      </c>
      <c r="M14" s="50">
        <v>2</v>
      </c>
      <c r="N14" s="50">
        <v>0</v>
      </c>
      <c r="O14" s="50">
        <v>4</v>
      </c>
      <c r="Q14" s="44" t="s">
        <v>2335</v>
      </c>
      <c r="R14">
        <v>2</v>
      </c>
      <c r="T14">
        <v>2</v>
      </c>
      <c r="W14">
        <v>4</v>
      </c>
    </row>
    <row r="15" spans="1:23">
      <c r="I15" s="50">
        <v>3</v>
      </c>
      <c r="J15" s="49" t="s">
        <v>2336</v>
      </c>
      <c r="K15" s="50">
        <v>2</v>
      </c>
      <c r="L15" s="50">
        <v>0</v>
      </c>
      <c r="M15" s="50">
        <v>0</v>
      </c>
      <c r="N15" s="50">
        <v>0</v>
      </c>
      <c r="O15" s="50">
        <v>2</v>
      </c>
      <c r="Q15" s="44" t="s">
        <v>2336</v>
      </c>
      <c r="R15">
        <v>2</v>
      </c>
      <c r="W15">
        <v>2</v>
      </c>
    </row>
    <row r="16" spans="1:23">
      <c r="I16" s="50">
        <v>4</v>
      </c>
      <c r="J16" s="49" t="s">
        <v>935</v>
      </c>
      <c r="K16" s="50">
        <v>5</v>
      </c>
      <c r="L16" s="50">
        <v>0</v>
      </c>
      <c r="M16" s="50">
        <v>1</v>
      </c>
      <c r="N16" s="50">
        <v>0</v>
      </c>
      <c r="O16" s="50">
        <v>6</v>
      </c>
      <c r="Q16" s="44" t="s">
        <v>935</v>
      </c>
      <c r="R16">
        <v>5</v>
      </c>
      <c r="T16">
        <v>1</v>
      </c>
      <c r="W16">
        <v>6</v>
      </c>
    </row>
    <row r="17" spans="9:23">
      <c r="I17" s="50">
        <v>5</v>
      </c>
      <c r="J17" s="49" t="s">
        <v>2337</v>
      </c>
      <c r="K17" s="50">
        <v>5</v>
      </c>
      <c r="L17" s="50">
        <v>0</v>
      </c>
      <c r="M17" s="50">
        <v>4</v>
      </c>
      <c r="N17" s="50">
        <v>1</v>
      </c>
      <c r="O17" s="50">
        <v>10</v>
      </c>
      <c r="Q17" s="44" t="s">
        <v>2337</v>
      </c>
      <c r="R17">
        <v>5</v>
      </c>
      <c r="T17">
        <v>4</v>
      </c>
      <c r="U17">
        <v>1</v>
      </c>
      <c r="W17">
        <v>10</v>
      </c>
    </row>
    <row r="18" spans="9:23">
      <c r="I18" s="50">
        <v>6</v>
      </c>
      <c r="J18" s="49" t="s">
        <v>249</v>
      </c>
      <c r="K18" s="50">
        <v>0</v>
      </c>
      <c r="L18" s="50">
        <v>3</v>
      </c>
      <c r="M18" s="50">
        <v>0</v>
      </c>
      <c r="N18" s="50">
        <v>0</v>
      </c>
      <c r="O18" s="50">
        <v>3</v>
      </c>
      <c r="Q18" s="44" t="s">
        <v>249</v>
      </c>
      <c r="S18">
        <v>3</v>
      </c>
      <c r="W18">
        <v>3</v>
      </c>
    </row>
    <row r="19" spans="9:23">
      <c r="I19" s="50">
        <v>6</v>
      </c>
      <c r="J19" s="49" t="s">
        <v>2338</v>
      </c>
      <c r="K19" s="50">
        <v>2</v>
      </c>
      <c r="L19" s="50">
        <v>0</v>
      </c>
      <c r="M19" s="50">
        <v>0</v>
      </c>
      <c r="N19" s="50">
        <v>0</v>
      </c>
      <c r="O19" s="50">
        <v>2</v>
      </c>
      <c r="Q19" s="44" t="s">
        <v>2338</v>
      </c>
      <c r="R19">
        <v>2</v>
      </c>
      <c r="W19">
        <v>2</v>
      </c>
    </row>
    <row r="20" spans="9:23">
      <c r="I20" s="50">
        <v>7</v>
      </c>
      <c r="J20" s="49" t="s">
        <v>694</v>
      </c>
      <c r="K20" s="50">
        <v>3</v>
      </c>
      <c r="L20" s="50">
        <v>0</v>
      </c>
      <c r="M20" s="50">
        <v>0</v>
      </c>
      <c r="N20" s="50">
        <v>0</v>
      </c>
      <c r="O20" s="50">
        <v>3</v>
      </c>
      <c r="Q20" s="44" t="s">
        <v>694</v>
      </c>
      <c r="R20">
        <v>3</v>
      </c>
      <c r="W20">
        <v>3</v>
      </c>
    </row>
    <row r="21" spans="9:23">
      <c r="I21" s="1600" t="s">
        <v>144</v>
      </c>
      <c r="J21" s="1600"/>
      <c r="K21" s="57">
        <f>SUM(K13:K20)</f>
        <v>25</v>
      </c>
      <c r="L21" s="58">
        <f>SUM(L13:L20)</f>
        <v>3</v>
      </c>
      <c r="M21" s="59">
        <f>SUM(M13:M20)</f>
        <v>11</v>
      </c>
      <c r="N21" s="60">
        <f>SUM(N13:N20)</f>
        <v>1</v>
      </c>
      <c r="O21" s="52">
        <f>SUM(K21:N21)</f>
        <v>40</v>
      </c>
      <c r="Q21" s="44" t="s">
        <v>2334</v>
      </c>
    </row>
    <row r="22" spans="9:23">
      <c r="Q22" s="45" t="s">
        <v>79</v>
      </c>
      <c r="R22" s="47">
        <v>25</v>
      </c>
      <c r="S22" s="47">
        <v>3</v>
      </c>
      <c r="T22" s="47">
        <v>11</v>
      </c>
      <c r="U22" s="47">
        <v>1</v>
      </c>
      <c r="V22" s="47"/>
      <c r="W22" s="47">
        <v>40</v>
      </c>
    </row>
  </sheetData>
  <mergeCells count="5">
    <mergeCell ref="I21:J21"/>
    <mergeCell ref="K11:N11"/>
    <mergeCell ref="J11:J12"/>
    <mergeCell ref="I11:I12"/>
    <mergeCell ref="O11:O12"/>
  </mergeCell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dimension ref="G4:P26"/>
  <sheetViews>
    <sheetView topLeftCell="C1" zoomScale="55" zoomScaleNormal="55" workbookViewId="0">
      <selection activeCell="Q12" sqref="Q12"/>
    </sheetView>
  </sheetViews>
  <sheetFormatPr defaultRowHeight="14.45"/>
  <cols>
    <col min="7" max="7" width="16.5703125" bestFit="1" customWidth="1"/>
    <col min="10" max="10" width="15.42578125" bestFit="1" customWidth="1"/>
  </cols>
  <sheetData>
    <row r="4" spans="7:16">
      <c r="I4" t="s">
        <v>2341</v>
      </c>
      <c r="O4" t="s">
        <v>1455</v>
      </c>
      <c r="P4" t="s">
        <v>2330</v>
      </c>
    </row>
    <row r="5" spans="7:16" ht="39.950000000000003">
      <c r="G5" s="3" t="s">
        <v>2342</v>
      </c>
      <c r="H5" s="4" t="s">
        <v>249</v>
      </c>
      <c r="I5" s="4" t="s">
        <v>140</v>
      </c>
      <c r="J5" s="4" t="s">
        <v>2343</v>
      </c>
      <c r="K5" s="5" t="s">
        <v>1463</v>
      </c>
      <c r="N5" s="42" t="s">
        <v>140</v>
      </c>
      <c r="O5" s="42">
        <v>6</v>
      </c>
      <c r="P5">
        <v>4</v>
      </c>
    </row>
    <row r="6" spans="7:16" ht="20.100000000000001">
      <c r="G6" s="6" t="s">
        <v>2344</v>
      </c>
      <c r="H6" s="4" t="s">
        <v>2345</v>
      </c>
      <c r="I6" s="4" t="s">
        <v>140</v>
      </c>
      <c r="J6" s="7">
        <v>44216</v>
      </c>
      <c r="K6" s="5" t="s">
        <v>1463</v>
      </c>
      <c r="N6" s="42" t="s">
        <v>1441</v>
      </c>
      <c r="O6" s="42">
        <v>7</v>
      </c>
      <c r="P6">
        <v>1</v>
      </c>
    </row>
    <row r="7" spans="7:16" ht="30">
      <c r="G7" s="6" t="s">
        <v>2346</v>
      </c>
      <c r="H7" s="4" t="s">
        <v>226</v>
      </c>
      <c r="I7" s="4" t="s">
        <v>2347</v>
      </c>
      <c r="J7" s="7">
        <v>44217</v>
      </c>
      <c r="K7" s="5" t="s">
        <v>1463</v>
      </c>
      <c r="N7" s="42" t="s">
        <v>2347</v>
      </c>
      <c r="O7" s="42">
        <v>0</v>
      </c>
      <c r="P7">
        <v>4</v>
      </c>
    </row>
    <row r="8" spans="7:16" ht="20.100000000000001">
      <c r="G8" s="8" t="s">
        <v>2344</v>
      </c>
      <c r="H8" s="9" t="s">
        <v>2345</v>
      </c>
      <c r="I8" s="4" t="s">
        <v>140</v>
      </c>
      <c r="J8" s="10">
        <v>44232</v>
      </c>
      <c r="K8" s="5" t="s">
        <v>1463</v>
      </c>
      <c r="N8" s="42" t="s">
        <v>144</v>
      </c>
      <c r="O8" s="42">
        <f>SUM(O5:O7)</f>
        <v>13</v>
      </c>
      <c r="P8" s="42">
        <f>SUM(P5:P7)</f>
        <v>9</v>
      </c>
    </row>
    <row r="9" spans="7:16" ht="30">
      <c r="G9" s="8" t="s">
        <v>2348</v>
      </c>
      <c r="H9" s="9" t="s">
        <v>1241</v>
      </c>
      <c r="I9" s="4" t="s">
        <v>2347</v>
      </c>
      <c r="J9" s="10">
        <v>44232</v>
      </c>
      <c r="K9" s="5" t="s">
        <v>1463</v>
      </c>
    </row>
    <row r="10" spans="7:16" ht="30">
      <c r="G10" s="6" t="s">
        <v>2348</v>
      </c>
      <c r="H10" s="4" t="s">
        <v>1241</v>
      </c>
      <c r="I10" s="4" t="s">
        <v>2347</v>
      </c>
      <c r="J10" s="7">
        <v>44232</v>
      </c>
      <c r="K10" s="5" t="s">
        <v>1463</v>
      </c>
    </row>
    <row r="11" spans="7:16" ht="30">
      <c r="G11" s="3" t="s">
        <v>2349</v>
      </c>
      <c r="H11" s="9" t="s">
        <v>2345</v>
      </c>
      <c r="I11" s="4" t="s">
        <v>140</v>
      </c>
      <c r="J11" s="7">
        <v>44242</v>
      </c>
      <c r="K11" s="5" t="s">
        <v>1463</v>
      </c>
    </row>
    <row r="12" spans="7:16" ht="20.100000000000001">
      <c r="G12" s="3" t="s">
        <v>2350</v>
      </c>
      <c r="H12" s="4" t="s">
        <v>213</v>
      </c>
      <c r="I12" s="4" t="s">
        <v>2347</v>
      </c>
      <c r="J12" s="7">
        <v>44242</v>
      </c>
      <c r="K12" s="5" t="s">
        <v>1463</v>
      </c>
    </row>
    <row r="13" spans="7:16" ht="30">
      <c r="G13" s="3" t="s">
        <v>2351</v>
      </c>
      <c r="H13" s="4" t="s">
        <v>2352</v>
      </c>
      <c r="I13" s="4" t="s">
        <v>1441</v>
      </c>
      <c r="J13" s="7">
        <v>44242</v>
      </c>
      <c r="K13" s="5" t="s">
        <v>1463</v>
      </c>
    </row>
    <row r="14" spans="7:16" ht="60">
      <c r="G14" s="11" t="s">
        <v>2353</v>
      </c>
      <c r="H14" s="12" t="s">
        <v>2354</v>
      </c>
      <c r="I14" s="4" t="s">
        <v>140</v>
      </c>
      <c r="J14" s="13" t="s">
        <v>2355</v>
      </c>
      <c r="K14" s="5" t="s">
        <v>1463</v>
      </c>
    </row>
    <row r="15" spans="7:16" ht="20.100000000000001">
      <c r="G15" s="11" t="s">
        <v>2356</v>
      </c>
      <c r="H15" s="12" t="s">
        <v>2354</v>
      </c>
      <c r="I15" s="4" t="s">
        <v>140</v>
      </c>
      <c r="J15" s="13" t="s">
        <v>2355</v>
      </c>
      <c r="K15" s="5" t="s">
        <v>1463</v>
      </c>
    </row>
    <row r="16" spans="7:16" ht="30">
      <c r="G16" s="14" t="s">
        <v>2357</v>
      </c>
      <c r="H16" s="12" t="s">
        <v>2354</v>
      </c>
      <c r="I16" s="4" t="s">
        <v>140</v>
      </c>
      <c r="J16" s="13" t="s">
        <v>2355</v>
      </c>
      <c r="K16" s="5" t="s">
        <v>1463</v>
      </c>
    </row>
    <row r="17" spans="7:11" ht="50.1">
      <c r="G17" s="14" t="s">
        <v>2358</v>
      </c>
      <c r="H17" s="12" t="s">
        <v>2354</v>
      </c>
      <c r="I17" s="4" t="s">
        <v>140</v>
      </c>
      <c r="J17" s="13" t="s">
        <v>2355</v>
      </c>
      <c r="K17" s="5" t="s">
        <v>1463</v>
      </c>
    </row>
    <row r="18" spans="7:11" ht="50.1">
      <c r="G18" s="14" t="s">
        <v>2359</v>
      </c>
      <c r="H18" s="12" t="s">
        <v>2354</v>
      </c>
      <c r="I18" s="4" t="s">
        <v>140</v>
      </c>
      <c r="J18" s="13" t="s">
        <v>2355</v>
      </c>
      <c r="K18" s="5" t="s">
        <v>1463</v>
      </c>
    </row>
    <row r="19" spans="7:11" ht="31.5">
      <c r="G19" s="15" t="s">
        <v>2360</v>
      </c>
      <c r="H19" s="40" t="s">
        <v>2361</v>
      </c>
      <c r="I19" s="40" t="s">
        <v>1441</v>
      </c>
      <c r="J19" s="17" t="s">
        <v>2362</v>
      </c>
      <c r="K19" s="5" t="s">
        <v>1463</v>
      </c>
    </row>
    <row r="20" spans="7:11" ht="63">
      <c r="G20" s="15" t="s">
        <v>2363</v>
      </c>
      <c r="H20" s="16" t="s">
        <v>2361</v>
      </c>
      <c r="I20" s="40" t="s">
        <v>1441</v>
      </c>
      <c r="J20" s="41">
        <v>44287</v>
      </c>
      <c r="K20" s="5" t="s">
        <v>1463</v>
      </c>
    </row>
    <row r="21" spans="7:11" ht="63">
      <c r="G21" s="15" t="s">
        <v>2364</v>
      </c>
      <c r="H21" s="16" t="s">
        <v>2365</v>
      </c>
      <c r="I21" s="40" t="s">
        <v>140</v>
      </c>
      <c r="J21" s="17" t="s">
        <v>2366</v>
      </c>
      <c r="K21" s="5" t="s">
        <v>1463</v>
      </c>
    </row>
    <row r="22" spans="7:11" ht="73.5">
      <c r="G22" s="15" t="s">
        <v>2367</v>
      </c>
      <c r="H22" s="16" t="s">
        <v>2368</v>
      </c>
      <c r="I22" s="16" t="s">
        <v>1441</v>
      </c>
      <c r="J22" s="41">
        <v>44287</v>
      </c>
      <c r="K22" s="5" t="s">
        <v>1463</v>
      </c>
    </row>
    <row r="23" spans="7:11" ht="52.5">
      <c r="G23" s="15" t="s">
        <v>2369</v>
      </c>
      <c r="H23" s="16" t="s">
        <v>2361</v>
      </c>
      <c r="I23" s="16" t="s">
        <v>1441</v>
      </c>
      <c r="J23" s="16" t="s">
        <v>2370</v>
      </c>
      <c r="K23" s="5" t="s">
        <v>1463</v>
      </c>
    </row>
    <row r="24" spans="7:11" ht="31.5">
      <c r="G24" s="15" t="s">
        <v>2360</v>
      </c>
      <c r="H24" s="16" t="s">
        <v>2361</v>
      </c>
      <c r="I24" s="16" t="s">
        <v>1441</v>
      </c>
      <c r="J24" s="17" t="s">
        <v>2362</v>
      </c>
      <c r="K24" s="5" t="s">
        <v>1463</v>
      </c>
    </row>
    <row r="25" spans="7:11" ht="21">
      <c r="G25" s="14" t="s">
        <v>2371</v>
      </c>
      <c r="H25" s="16" t="s">
        <v>2372</v>
      </c>
      <c r="I25" s="16" t="s">
        <v>1441</v>
      </c>
      <c r="J25" s="16" t="s">
        <v>2373</v>
      </c>
      <c r="K25" s="5" t="s">
        <v>1463</v>
      </c>
    </row>
    <row r="26" spans="7:11" ht="31.5">
      <c r="G26" s="15" t="s">
        <v>2374</v>
      </c>
      <c r="H26" s="16" t="s">
        <v>2361</v>
      </c>
      <c r="I26" s="16" t="s">
        <v>1441</v>
      </c>
      <c r="J26" s="16" t="s">
        <v>2375</v>
      </c>
      <c r="K26" s="5" t="s">
        <v>1463</v>
      </c>
    </row>
  </sheetData>
  <protectedRanges>
    <protectedRange sqref="K5:K9" name="Range1_1_2_9_1_1_1_1"/>
    <protectedRange sqref="K10" name="Range1_1_2_9_1_1_1_1_1"/>
    <protectedRange sqref="K11" name="Range1_1_2_9_1_1_1_1_2"/>
    <protectedRange sqref="K12" name="Range1_1_2_9_1_1_1_1_3"/>
    <protectedRange sqref="K13" name="Range1_1_2_9_1_1_1_1_4"/>
    <protectedRange sqref="K14:K26" name="Range1_1_2_9_1_1_1_1_5"/>
  </protectedRanges>
  <autoFilter ref="G4:N26" xr:uid="{00000000-0009-0000-0000-00000E000000}"/>
  <sortState xmlns:xlrd2="http://schemas.microsoft.com/office/spreadsheetml/2017/richdata2" ref="N5:O7">
    <sortCondition descending="1" ref="O5:O7"/>
  </sortState>
  <conditionalFormatting sqref="K5:K26">
    <cfRule type="containsText" dxfId="9" priority="1" operator="containsText" text="Open">
      <formula>NOT(ISERROR(SEARCH("Open",K5)))</formula>
    </cfRule>
    <cfRule type="containsText" dxfId="8" priority="2" operator="containsText" text="Overdue">
      <formula>NOT(ISERROR(SEARCH("Overdue",K5)))</formula>
    </cfRule>
    <cfRule type="containsText" dxfId="7" priority="3" operator="containsText" text="On Progress">
      <formula>NOT(ISERROR(SEARCH("On Progress",K5)))</formula>
    </cfRule>
    <cfRule type="containsText" dxfId="6" priority="4" operator="containsText" text="Open">
      <formula>NOT(ISERROR(SEARCH("Open",K5)))</formula>
    </cfRule>
    <cfRule type="containsText" dxfId="5" priority="5" operator="containsText" text="Close">
      <formula>NOT(ISERROR(SEARCH("Close",K5)))</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7"/>
  <dimension ref="F3:L33"/>
  <sheetViews>
    <sheetView topLeftCell="A17" zoomScale="70" zoomScaleNormal="70" workbookViewId="0">
      <selection activeCell="J28" sqref="J28"/>
    </sheetView>
  </sheetViews>
  <sheetFormatPr defaultRowHeight="14.45"/>
  <cols>
    <col min="6" max="6" width="4.7109375" customWidth="1"/>
    <col min="7" max="7" width="54.42578125" customWidth="1"/>
    <col min="9" max="9" width="15.42578125" bestFit="1" customWidth="1"/>
    <col min="10" max="10" width="15.42578125" customWidth="1"/>
  </cols>
  <sheetData>
    <row r="3" spans="6:11" ht="180">
      <c r="F3" s="3" t="s">
        <v>2342</v>
      </c>
      <c r="G3" s="4" t="s">
        <v>249</v>
      </c>
      <c r="H3" s="4" t="s">
        <v>2376</v>
      </c>
      <c r="I3" s="4" t="s">
        <v>2343</v>
      </c>
      <c r="J3" s="4"/>
      <c r="K3" s="5" t="s">
        <v>1463</v>
      </c>
    </row>
    <row r="4" spans="6:11" ht="80.099999999999994">
      <c r="F4" s="6" t="s">
        <v>2344</v>
      </c>
      <c r="G4" s="4" t="s">
        <v>2345</v>
      </c>
      <c r="H4" s="4" t="s">
        <v>2377</v>
      </c>
      <c r="I4" s="7">
        <v>44216</v>
      </c>
      <c r="J4" s="7"/>
      <c r="K4" s="5" t="s">
        <v>1463</v>
      </c>
    </row>
    <row r="5" spans="6:11" ht="110.1">
      <c r="F5" s="6" t="s">
        <v>2346</v>
      </c>
      <c r="G5" s="4" t="s">
        <v>226</v>
      </c>
      <c r="H5" s="4" t="s">
        <v>2378</v>
      </c>
      <c r="I5" s="7">
        <v>44217</v>
      </c>
      <c r="J5" s="7"/>
      <c r="K5" s="5" t="s">
        <v>1463</v>
      </c>
    </row>
    <row r="6" spans="6:11" ht="80.099999999999994">
      <c r="F6" s="8" t="s">
        <v>2344</v>
      </c>
      <c r="G6" s="9" t="s">
        <v>2345</v>
      </c>
      <c r="H6" s="9"/>
      <c r="I6" s="10">
        <v>44232</v>
      </c>
      <c r="J6" s="10"/>
      <c r="K6" s="5" t="s">
        <v>1463</v>
      </c>
    </row>
    <row r="7" spans="6:11" ht="110.1">
      <c r="F7" s="8" t="s">
        <v>2348</v>
      </c>
      <c r="G7" s="9" t="s">
        <v>1241</v>
      </c>
      <c r="H7" s="9"/>
      <c r="I7" s="10">
        <v>44232</v>
      </c>
      <c r="J7" s="10"/>
      <c r="K7" s="5" t="s">
        <v>1463</v>
      </c>
    </row>
    <row r="8" spans="6:11" ht="110.1">
      <c r="F8" s="6" t="s">
        <v>2348</v>
      </c>
      <c r="G8" s="4" t="s">
        <v>1241</v>
      </c>
      <c r="H8" s="4"/>
      <c r="I8" s="7">
        <v>44232</v>
      </c>
      <c r="J8" s="7"/>
      <c r="K8" s="5" t="s">
        <v>1463</v>
      </c>
    </row>
    <row r="9" spans="6:11" ht="120">
      <c r="F9" s="3" t="s">
        <v>2349</v>
      </c>
      <c r="G9" s="9" t="s">
        <v>2345</v>
      </c>
      <c r="H9" s="9"/>
      <c r="I9" s="7">
        <v>44242</v>
      </c>
      <c r="J9" s="7"/>
      <c r="K9" s="5" t="s">
        <v>1463</v>
      </c>
    </row>
    <row r="10" spans="6:11" ht="80.099999999999994">
      <c r="F10" s="3" t="s">
        <v>2350</v>
      </c>
      <c r="G10" s="4" t="s">
        <v>213</v>
      </c>
      <c r="H10" s="4"/>
      <c r="I10" s="7">
        <v>44242</v>
      </c>
      <c r="J10" s="7"/>
      <c r="K10" s="5" t="s">
        <v>1463</v>
      </c>
    </row>
    <row r="11" spans="6:11" ht="219.95">
      <c r="F11" s="11" t="s">
        <v>2353</v>
      </c>
      <c r="G11" s="12" t="s">
        <v>2354</v>
      </c>
      <c r="H11" s="12"/>
      <c r="I11" s="13" t="s">
        <v>2355</v>
      </c>
      <c r="J11" s="13"/>
      <c r="K11" s="5" t="s">
        <v>1463</v>
      </c>
    </row>
    <row r="12" spans="6:11" ht="90">
      <c r="F12" s="11" t="s">
        <v>2356</v>
      </c>
      <c r="G12" s="12" t="s">
        <v>2354</v>
      </c>
      <c r="H12" s="12"/>
      <c r="I12" s="13" t="s">
        <v>2355</v>
      </c>
      <c r="J12" s="13"/>
      <c r="K12" s="5" t="s">
        <v>1463</v>
      </c>
    </row>
    <row r="13" spans="6:11" ht="90">
      <c r="F13" s="14" t="s">
        <v>2357</v>
      </c>
      <c r="G13" s="12" t="s">
        <v>2354</v>
      </c>
      <c r="H13" s="12"/>
      <c r="I13" s="13" t="s">
        <v>2355</v>
      </c>
      <c r="J13" s="13"/>
      <c r="K13" s="5" t="s">
        <v>1463</v>
      </c>
    </row>
    <row r="14" spans="6:11" ht="210">
      <c r="F14" s="14" t="s">
        <v>2358</v>
      </c>
      <c r="G14" s="12" t="s">
        <v>2354</v>
      </c>
      <c r="H14" s="12"/>
      <c r="I14" s="13" t="s">
        <v>2355</v>
      </c>
      <c r="J14" s="13"/>
      <c r="K14" s="5" t="s">
        <v>1463</v>
      </c>
    </row>
    <row r="15" spans="6:11" ht="170.1">
      <c r="F15" s="14" t="s">
        <v>2359</v>
      </c>
      <c r="G15" s="12" t="s">
        <v>2354</v>
      </c>
      <c r="H15" s="12"/>
      <c r="I15" s="13" t="s">
        <v>2355</v>
      </c>
      <c r="J15" s="13"/>
      <c r="K15" s="5" t="s">
        <v>1463</v>
      </c>
    </row>
    <row r="16" spans="6:11" ht="241.5">
      <c r="F16" s="15" t="s">
        <v>2364</v>
      </c>
      <c r="G16" s="16" t="s">
        <v>2365</v>
      </c>
      <c r="H16" s="16"/>
      <c r="I16" s="17" t="s">
        <v>2366</v>
      </c>
      <c r="J16" s="17"/>
      <c r="K16" s="5" t="s">
        <v>1463</v>
      </c>
    </row>
    <row r="17" spans="6:12" ht="39.950000000000003">
      <c r="F17" s="14" t="s">
        <v>2371</v>
      </c>
      <c r="G17" s="16" t="s">
        <v>2372</v>
      </c>
      <c r="H17" s="16"/>
      <c r="I17" s="16" t="s">
        <v>2373</v>
      </c>
      <c r="J17" s="16"/>
      <c r="K17" s="5" t="s">
        <v>1463</v>
      </c>
    </row>
    <row r="21" spans="6:12" ht="15" customHeight="1">
      <c r="F21" s="1603" t="s">
        <v>93</v>
      </c>
      <c r="G21" s="27" t="s">
        <v>2379</v>
      </c>
      <c r="H21" s="1606" t="s">
        <v>2380</v>
      </c>
      <c r="I21" s="1607"/>
      <c r="J21" s="1608"/>
      <c r="K21" s="1605" t="s">
        <v>2381</v>
      </c>
      <c r="L21" s="1605"/>
    </row>
    <row r="22" spans="6:12">
      <c r="F22" s="1604"/>
      <c r="G22" s="28"/>
      <c r="H22" s="18" t="s">
        <v>1427</v>
      </c>
      <c r="I22" s="19" t="s">
        <v>2382</v>
      </c>
      <c r="J22" s="19" t="s">
        <v>123</v>
      </c>
      <c r="K22" s="19" t="s">
        <v>2383</v>
      </c>
      <c r="L22" s="19" t="s">
        <v>2384</v>
      </c>
    </row>
    <row r="23" spans="6:12" ht="15.6">
      <c r="F23" s="20">
        <v>1</v>
      </c>
      <c r="G23" s="23" t="s">
        <v>2385</v>
      </c>
      <c r="H23" s="21">
        <v>7</v>
      </c>
      <c r="I23" s="22">
        <v>0</v>
      </c>
      <c r="J23" s="22">
        <f>SUM(H23:I23)</f>
        <v>7</v>
      </c>
      <c r="K23" s="21">
        <v>7</v>
      </c>
      <c r="L23" s="21">
        <v>0</v>
      </c>
    </row>
    <row r="24" spans="6:12" ht="15.6">
      <c r="F24" s="20">
        <v>2</v>
      </c>
      <c r="G24" s="24" t="s">
        <v>2386</v>
      </c>
      <c r="H24" s="21">
        <v>3</v>
      </c>
      <c r="I24" s="22">
        <v>1</v>
      </c>
      <c r="J24" s="22">
        <f t="shared" ref="J24:J32" si="0">SUM(H24:I24)</f>
        <v>4</v>
      </c>
      <c r="K24" s="21">
        <v>4</v>
      </c>
      <c r="L24" s="21">
        <v>0</v>
      </c>
    </row>
    <row r="25" spans="6:12" ht="15.6">
      <c r="F25" s="20">
        <v>3</v>
      </c>
      <c r="G25" s="23" t="s">
        <v>2387</v>
      </c>
      <c r="H25" s="21">
        <v>3</v>
      </c>
      <c r="I25" s="22">
        <v>0</v>
      </c>
      <c r="J25" s="22">
        <f t="shared" si="0"/>
        <v>3</v>
      </c>
      <c r="K25" s="21">
        <v>3</v>
      </c>
      <c r="L25" s="21">
        <v>0</v>
      </c>
    </row>
    <row r="26" spans="6:12" ht="15.6">
      <c r="F26" s="20">
        <v>4</v>
      </c>
      <c r="G26" s="23" t="s">
        <v>2388</v>
      </c>
      <c r="H26" s="21">
        <v>2</v>
      </c>
      <c r="I26" s="22">
        <v>1</v>
      </c>
      <c r="J26" s="22">
        <f t="shared" si="0"/>
        <v>3</v>
      </c>
      <c r="K26" s="21">
        <v>3</v>
      </c>
      <c r="L26" s="21">
        <v>0</v>
      </c>
    </row>
    <row r="27" spans="6:12" ht="15.6">
      <c r="F27" s="20">
        <v>5</v>
      </c>
      <c r="G27" s="24" t="s">
        <v>2389</v>
      </c>
      <c r="H27" s="21">
        <v>2</v>
      </c>
      <c r="I27" s="22">
        <v>0</v>
      </c>
      <c r="J27" s="22">
        <f t="shared" si="0"/>
        <v>2</v>
      </c>
      <c r="K27" s="21">
        <v>2</v>
      </c>
      <c r="L27" s="21">
        <v>0</v>
      </c>
    </row>
    <row r="28" spans="6:12" ht="15.6">
      <c r="F28" s="20">
        <v>6</v>
      </c>
      <c r="G28" s="23" t="s">
        <v>2390</v>
      </c>
      <c r="H28" s="21">
        <v>1</v>
      </c>
      <c r="I28" s="22">
        <v>1</v>
      </c>
      <c r="J28" s="22">
        <f t="shared" si="0"/>
        <v>2</v>
      </c>
      <c r="K28" s="21">
        <v>2</v>
      </c>
      <c r="L28" s="21">
        <v>0</v>
      </c>
    </row>
    <row r="29" spans="6:12" ht="15.6">
      <c r="F29" s="20">
        <v>7</v>
      </c>
      <c r="G29" s="24" t="s">
        <v>2391</v>
      </c>
      <c r="H29" s="21">
        <v>2</v>
      </c>
      <c r="I29" s="22">
        <v>0</v>
      </c>
      <c r="J29" s="22">
        <f t="shared" si="0"/>
        <v>2</v>
      </c>
      <c r="K29" s="21">
        <v>2</v>
      </c>
      <c r="L29" s="21">
        <v>0</v>
      </c>
    </row>
    <row r="30" spans="6:12" ht="15.6">
      <c r="F30" s="20">
        <v>8</v>
      </c>
      <c r="G30" s="24" t="s">
        <v>2392</v>
      </c>
      <c r="H30" s="21">
        <v>2</v>
      </c>
      <c r="I30" s="22">
        <v>0</v>
      </c>
      <c r="J30" s="22">
        <f t="shared" si="0"/>
        <v>2</v>
      </c>
      <c r="K30" s="21">
        <v>2</v>
      </c>
      <c r="L30" s="21">
        <v>0</v>
      </c>
    </row>
    <row r="31" spans="6:12" ht="15.6">
      <c r="F31" s="20">
        <v>9</v>
      </c>
      <c r="G31" s="24" t="s">
        <v>2393</v>
      </c>
      <c r="H31" s="21">
        <v>1</v>
      </c>
      <c r="I31" s="22">
        <v>0</v>
      </c>
      <c r="J31" s="22">
        <f t="shared" si="0"/>
        <v>1</v>
      </c>
      <c r="K31" s="21">
        <v>1</v>
      </c>
      <c r="L31" s="21">
        <v>0</v>
      </c>
    </row>
    <row r="32" spans="6:12" ht="15.6">
      <c r="F32" s="20">
        <v>10</v>
      </c>
      <c r="G32" s="24" t="s">
        <v>2394</v>
      </c>
      <c r="H32" s="21">
        <v>0</v>
      </c>
      <c r="I32" s="22">
        <v>1</v>
      </c>
      <c r="J32" s="22">
        <f t="shared" si="0"/>
        <v>1</v>
      </c>
      <c r="K32" s="21">
        <v>1</v>
      </c>
      <c r="L32" s="21">
        <v>0</v>
      </c>
    </row>
    <row r="33" spans="7:12">
      <c r="G33" s="26" t="s">
        <v>144</v>
      </c>
      <c r="H33" s="25">
        <f>SUM(H23:H32)</f>
        <v>23</v>
      </c>
      <c r="I33" s="25">
        <f>SUM(I23:I32)</f>
        <v>4</v>
      </c>
      <c r="J33" s="25">
        <f>SUM(J23:J32)</f>
        <v>27</v>
      </c>
      <c r="K33" s="25">
        <f>SUM(K23:K32)</f>
        <v>27</v>
      </c>
      <c r="L33" s="25"/>
    </row>
  </sheetData>
  <protectedRanges>
    <protectedRange sqref="K3:K7" name="Range1_1_2_9_1_1_1_1"/>
    <protectedRange sqref="K8" name="Range1_1_2_9_1_1_1_1_1"/>
    <protectedRange sqref="K9" name="Range1_1_2_9_1_1_1_1_2"/>
    <protectedRange sqref="K10" name="Range1_1_2_9_1_1_1_1_3"/>
    <protectedRange sqref="K11:K15" name="Range1_1_2_9_1_1_1_1_4"/>
    <protectedRange sqref="K16" name="Range1_1_2_9_1_1_1_1_5"/>
    <protectedRange sqref="K17" name="Range1_1_2_9_1_1_1_1_6"/>
  </protectedRanges>
  <mergeCells count="3">
    <mergeCell ref="F21:F22"/>
    <mergeCell ref="K21:L21"/>
    <mergeCell ref="H21:J21"/>
  </mergeCells>
  <conditionalFormatting sqref="K3:K17">
    <cfRule type="containsText" dxfId="4" priority="1" operator="containsText" text="Open">
      <formula>NOT(ISERROR(SEARCH("Open",K3)))</formula>
    </cfRule>
    <cfRule type="containsText" dxfId="3" priority="2" operator="containsText" text="Overdue">
      <formula>NOT(ISERROR(SEARCH("Overdue",K3)))</formula>
    </cfRule>
    <cfRule type="containsText" dxfId="2" priority="3" operator="containsText" text="On Progress">
      <formula>NOT(ISERROR(SEARCH("On Progress",K3)))</formula>
    </cfRule>
    <cfRule type="containsText" dxfId="1" priority="4" operator="containsText" text="Open">
      <formula>NOT(ISERROR(SEARCH("Open",K3)))</formula>
    </cfRule>
    <cfRule type="containsText" dxfId="0" priority="5" operator="containsText" text="Close">
      <formula>NOT(ISERROR(SEARCH("Close",K3)))</formula>
    </cfRule>
  </conditionalFormatting>
  <pageMargins left="0.7" right="0.7" top="0.75" bottom="0.75" header="0.3" footer="0.3"/>
  <pageSetup paperSize="257"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8caaa2d-b3bb-455d-9f25-f82c2eb7b895" xsi:nil="true"/>
    <lcf76f155ced4ddcb4097134ff3c332f xmlns="8847b9c5-17f3-468b-8389-9d027eb5917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048ECB4BBB044F8E8854402699F3FB" ma:contentTypeVersion="18" ma:contentTypeDescription="Create a new document." ma:contentTypeScope="" ma:versionID="0674b0b45ed44838e467936576655068">
  <xsd:schema xmlns:xsd="http://www.w3.org/2001/XMLSchema" xmlns:xs="http://www.w3.org/2001/XMLSchema" xmlns:p="http://schemas.microsoft.com/office/2006/metadata/properties" xmlns:ns2="8847b9c5-17f3-468b-8389-9d027eb59178" xmlns:ns3="38caaa2d-b3bb-455d-9f25-f82c2eb7b895" targetNamespace="http://schemas.microsoft.com/office/2006/metadata/properties" ma:root="true" ma:fieldsID="b5c51ff308604b9912135fcf18e20868" ns2:_="" ns3:_="">
    <xsd:import namespace="8847b9c5-17f3-468b-8389-9d027eb59178"/>
    <xsd:import namespace="38caaa2d-b3bb-455d-9f25-f82c2eb7b8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47b9c5-17f3-468b-8389-9d027eb591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b4698d8-aed2-4f6f-aa9a-ab7138b90d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caaa2d-b3bb-455d-9f25-f82c2eb7b89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b8c9df-1d0a-45c2-9577-8b3b1b379d82}" ma:internalName="TaxCatchAll" ma:showField="CatchAllData" ma:web="38caaa2d-b3bb-455d-9f25-f82c2eb7b8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2F7528-B938-486C-9537-D499C0C211F2}"/>
</file>

<file path=customXml/itemProps2.xml><?xml version="1.0" encoding="utf-8"?>
<ds:datastoreItem xmlns:ds="http://schemas.openxmlformats.org/officeDocument/2006/customXml" ds:itemID="{A6BA2762-87BB-4101-8559-26A3AB159D08}"/>
</file>

<file path=customXml/itemProps3.xml><?xml version="1.0" encoding="utf-8"?>
<ds:datastoreItem xmlns:ds="http://schemas.openxmlformats.org/officeDocument/2006/customXml" ds:itemID="{89813C5E-7B95-4C9E-9B7C-4F241BA597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Dimas Aji Saputra</dc:creator>
  <cp:keywords/>
  <dc:description/>
  <cp:lastModifiedBy>Dian Hadi Nurrohim</cp:lastModifiedBy>
  <cp:revision/>
  <dcterms:created xsi:type="dcterms:W3CDTF">2019-05-03T08:42:50Z</dcterms:created>
  <dcterms:modified xsi:type="dcterms:W3CDTF">2023-06-02T10:20:37Z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0x01010078048ECB4BBB044F8E8854402699F3FB</vt:lpwstr>
  </property>
  <property fmtid="{D5CDD505-2E9C-101B-9397-08002B2CF9AE}" pid="3" name="MediaServiceImageTags">
    <vt:lpwstr/>
  </property>
</Properties>
</file>